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isual Inspection" sheetId="2" state="visible" r:id="rId2"/>
    <sheet xmlns:r="http://schemas.openxmlformats.org/officeDocument/2006/relationships" name="Balloon Inspection" sheetId="3" state="visible" r:id="rId3"/>
    <sheet xmlns:r="http://schemas.openxmlformats.org/officeDocument/2006/relationships" name="Valve Integrity" sheetId="4" state="visible" r:id="rId4"/>
    <sheet xmlns:r="http://schemas.openxmlformats.org/officeDocument/2006/relationships" name="Final Inspection" sheetId="5" state="visible" r:id="rId5"/>
    <sheet xmlns:r="http://schemas.openxmlformats.org/officeDocument/2006/relationships" name="Daily Summary (handwritten)" sheetId="6" state="visible" r:id="rId6"/>
    <sheet xmlns:r="http://schemas.openxmlformats.org/officeDocument/2006/relationships" name="Defect Co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8421C"/>
      <sz val="14"/>
    </font>
    <font>
      <name val="Arial"/>
      <i val="1"/>
      <color rgb="006B6256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4A443B"/>
      <sz val="9"/>
    </font>
  </fonts>
  <fills count="4">
    <fill>
      <patternFill/>
    </fill>
    <fill>
      <patternFill patternType="gray125"/>
    </fill>
    <fill>
      <patternFill patternType="solid">
        <fgColor rgb="00C8421C"/>
      </patternFill>
    </fill>
    <fill>
      <patternFill patternType="solid">
        <fgColor rgb="00FAF6EF"/>
      </patternFill>
    </fill>
  </fills>
  <borders count="2">
    <border>
      <left/>
      <right/>
      <top/>
      <bottom/>
      <diagonal/>
    </border>
    <border>
      <left style="thin">
        <color rgb="00D8CFC0"/>
      </left>
      <right style="thin">
        <color rgb="00D8CFC0"/>
      </right>
      <top style="thin">
        <color rgb="00D8CFC0"/>
      </top>
      <bottom style="thin">
        <color rgb="00D8CF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30" customWidth="1" min="4" max="4"/>
    <col width="38" customWidth="1" min="5" max="5"/>
  </cols>
  <sheetData>
    <row r="1">
      <c r="A1" s="1" t="inlineStr">
        <is>
          <t>Disposafe Shop-Floor Daily Log — Field Schema</t>
        </is>
      </c>
    </row>
    <row r="2">
      <c r="A2" s="2" t="inlineStr">
        <is>
          <t>Extracted from physical daily inspection log sheets (date observed: 16-Jun-2026). Reference only.</t>
        </is>
      </c>
    </row>
    <row r="4" ht="26" customHeight="1">
      <c r="A4" s="3" t="inlineStr">
        <is>
          <t>Log Sheet (printed title)</t>
        </is>
      </c>
      <c r="B4" s="3" t="inlineStr">
        <is>
          <t>Doc No.</t>
        </is>
      </c>
      <c r="C4" s="3" t="inlineStr">
        <is>
          <t>Effective</t>
        </is>
      </c>
      <c r="D4" s="3" t="inlineStr">
        <is>
          <t>Maps to app stage</t>
        </is>
      </c>
      <c r="E4" s="3" t="inlineStr">
        <is>
          <t>Stage TOTAL (16-Jun)</t>
        </is>
      </c>
    </row>
    <row r="5">
      <c r="A5" s="4" t="inlineStr">
        <is>
          <t>DAILY VISUAL INSPECTION REPORT</t>
        </is>
      </c>
      <c r="B5" s="4" t="inlineStr">
        <is>
          <t>F/ASSEM/02-00</t>
        </is>
      </c>
      <c r="C5" s="4" t="inlineStr">
        <is>
          <t>07-12-2024</t>
        </is>
      </c>
      <c r="D5" s="4" t="inlineStr">
        <is>
          <t>visual (Visual Inspection)</t>
        </is>
      </c>
      <c r="E5" s="4" t="inlineStr">
        <is>
          <t>Chk 12640 / Acc 11109 / Rej 834 / 6.59%</t>
        </is>
      </c>
    </row>
    <row r="6">
      <c r="A6" s="5" t="inlineStr">
        <is>
          <t>DAILY BALLOON INSPECTION REPORT</t>
        </is>
      </c>
      <c r="B6" s="5" t="inlineStr">
        <is>
          <t>F/ASM/03-01</t>
        </is>
      </c>
      <c r="C6" s="5" t="inlineStr">
        <is>
          <t>25-12-2025</t>
        </is>
      </c>
      <c r="D6" s="5" t="inlineStr">
        <is>
          <t>balloon (Balloon Testing)</t>
        </is>
      </c>
      <c r="E6" s="5" t="inlineStr">
        <is>
          <t>Chk 10282 / Acc 9969 / Rej 313 / 3.04%</t>
        </is>
      </c>
    </row>
    <row r="7">
      <c r="A7" s="4" t="inlineStr">
        <is>
          <t>DAILY VALVE INTEGRITY REPORT</t>
        </is>
      </c>
      <c r="B7" s="4" t="inlineStr">
        <is>
          <t>F/ASM/12-01</t>
        </is>
      </c>
      <c r="C7" s="4" t="inlineStr">
        <is>
          <t>25-12-2025</t>
        </is>
      </c>
      <c r="D7" s="4" t="inlineStr">
        <is>
          <t>valve-integrity (Valve Integrity)</t>
        </is>
      </c>
      <c r="E7" s="4" t="inlineStr">
        <is>
          <t>Chk 11192 / Rej 279 / 2.32%</t>
        </is>
      </c>
    </row>
    <row r="8">
      <c r="A8" s="5" t="inlineStr">
        <is>
          <t>FINAL INSPECTION REPORT</t>
        </is>
      </c>
      <c r="B8" s="5" t="inlineStr">
        <is>
          <t>F/ASM/13-00</t>
        </is>
      </c>
      <c r="C8" s="5" t="inlineStr">
        <is>
          <t>25-12-2025</t>
        </is>
      </c>
      <c r="D8" s="5" t="inlineStr">
        <is>
          <t>final (Final Inspection)</t>
        </is>
      </c>
      <c r="E8" s="5" t="inlineStr">
        <is>
          <t>Chk 9302 / Acc 9169 / Rej 133 / 1.42%</t>
        </is>
      </c>
    </row>
    <row r="9">
      <c r="A9" s="4" t="inlineStr">
        <is>
          <t>Handwritten DAILY SUMMARY</t>
        </is>
      </c>
      <c r="B9" s="4" t="inlineStr">
        <is>
          <t>(none)</t>
        </is>
      </c>
      <c r="C9" s="4" t="inlineStr">
        <is>
          <t>—</t>
        </is>
      </c>
      <c r="D9" s="4" t="inlineStr">
        <is>
          <t>roll-up of all 4 stages</t>
        </is>
      </c>
      <c r="E9" s="4" t="inlineStr">
        <is>
          <t>Total 44216 / 41960 / 1559 / 13.37%</t>
        </is>
      </c>
    </row>
    <row r="11">
      <c r="A11" s="6" t="inlineStr">
        <is>
          <t>Notes:</t>
        </is>
      </c>
    </row>
    <row r="12">
      <c r="A12" s="7" t="inlineStr">
        <is>
          <t>• Every sheet header block spans 1-3 printed rows; data is per batch (B.NO) and SIZE (e.g. 6FR..26FR), then a TOTAL and TOTAL% row.</t>
        </is>
      </c>
    </row>
    <row r="13">
      <c r="A13" s="7" t="inlineStr">
        <is>
          <t>• Visual &amp; Final use a 21-column 'REASON FOR REJECTION' matrix (codes 1-21 below). Balloon &amp; Valve use named defect-mode columns.</t>
        </is>
      </c>
    </row>
    <row r="14">
      <c r="A14" s="7" t="inlineStr">
        <is>
          <t>• REJ% / HOLD% are derived (Rej÷Checked, Hold÷Checked) — the app recomputes these; it never trusts the stated %.</t>
        </is>
      </c>
    </row>
    <row r="15">
      <c r="A15" s="7" t="inlineStr">
        <is>
          <t>• Handwritten summary labels differ from printed titles: 'Balloon Inflation' = Balloon report; 'Balloon Inspection' = Valve Integrity report.</t>
        </is>
      </c>
    </row>
    <row r="16">
      <c r="A16" s="7" t="inlineStr">
        <is>
          <t>• The app's parsers read CHECKED/REC QTY, REJ QTY and the defect columns per size; ACCEPT/HOLD are captured but not required for KPIs.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DAILY VISUAL INSPECTION REPORT</t>
        </is>
      </c>
    </row>
    <row r="2">
      <c r="A2" s="2" t="inlineStr">
        <is>
          <t>Doc F/ASSEM/02-00 · eff 07-12-2024 · app stage: visual</t>
        </is>
      </c>
    </row>
    <row r="4" ht="26" customHeight="1">
      <c r="A4" s="3" t="inlineStr">
        <is>
          <t>#</t>
        </is>
      </c>
      <c r="B4" s="3" t="inlineStr">
        <is>
          <t>Column Header (verbatim)</t>
        </is>
      </c>
      <c r="C4" s="3" t="inlineStr">
        <is>
          <t>Field Role</t>
        </is>
      </c>
      <c r="D4" s="3" t="inlineStr">
        <is>
          <t>Data Type</t>
        </is>
      </c>
      <c r="E4" s="3" t="inlineStr">
        <is>
          <t>Example (16-Jun)</t>
        </is>
      </c>
      <c r="F4" s="3" t="inlineStr">
        <is>
          <t>Notes</t>
        </is>
      </c>
    </row>
    <row r="5">
      <c r="A5" s="4" t="inlineStr">
        <is>
          <t>1</t>
        </is>
      </c>
      <c r="B5" s="4" t="inlineStr">
        <is>
          <t>B.NO</t>
        </is>
      </c>
      <c r="C5" s="4" t="inlineStr">
        <is>
          <t>batch id</t>
        </is>
      </c>
      <c r="D5" s="4" t="inlineStr">
        <is>
          <t>text</t>
        </is>
      </c>
      <c r="E5" s="4" t="inlineStr">
        <is>
          <t>26F02</t>
        </is>
      </c>
      <c r="F5" s="4" t="inlineStr">
        <is>
          <t>Batch / lot number</t>
        </is>
      </c>
    </row>
    <row r="6">
      <c r="A6" s="5" t="inlineStr">
        <is>
          <t>2</t>
        </is>
      </c>
      <c r="B6" s="5" t="inlineStr">
        <is>
          <t>SIZE</t>
        </is>
      </c>
      <c r="C6" s="5" t="inlineStr">
        <is>
          <t>size</t>
        </is>
      </c>
      <c r="D6" s="5" t="inlineStr">
        <is>
          <t>text</t>
        </is>
      </c>
      <c r="E6" s="5" t="inlineStr">
        <is>
          <t>24FR</t>
        </is>
      </c>
      <c r="F6" s="5" t="inlineStr">
        <is>
          <t>French size 6FR–26FR</t>
        </is>
      </c>
    </row>
    <row r="7">
      <c r="A7" s="4" t="inlineStr">
        <is>
          <t>3</t>
        </is>
      </c>
      <c r="B7" s="4" t="inlineStr">
        <is>
          <t>REC. QTY</t>
        </is>
      </c>
      <c r="C7" s="4" t="inlineStr">
        <is>
          <t>checked</t>
        </is>
      </c>
      <c r="D7" s="4" t="inlineStr">
        <is>
          <t>integer</t>
        </is>
      </c>
      <c r="E7" s="4" t="inlineStr">
        <is>
          <t>3119</t>
        </is>
      </c>
      <c r="F7" s="4" t="inlineStr">
        <is>
          <t>Units received/inspected (denominator)</t>
        </is>
      </c>
    </row>
    <row r="8">
      <c r="A8" s="5" t="inlineStr">
        <is>
          <t>4</t>
        </is>
      </c>
      <c r="B8" s="5" t="inlineStr">
        <is>
          <t>ACCEPT QTY</t>
        </is>
      </c>
      <c r="C8" s="5" t="inlineStr">
        <is>
          <t>accepted</t>
        </is>
      </c>
      <c r="D8" s="5" t="inlineStr">
        <is>
          <t>integer</t>
        </is>
      </c>
      <c r="E8" s="5" t="inlineStr">
        <is>
          <t>2525</t>
        </is>
      </c>
      <c r="F8" s="5" t="inlineStr">
        <is>
          <t>Units passed</t>
        </is>
      </c>
    </row>
    <row r="9">
      <c r="A9" s="4" t="inlineStr">
        <is>
          <t>5</t>
        </is>
      </c>
      <c r="B9" s="4" t="inlineStr">
        <is>
          <t>HOLD QTY</t>
        </is>
      </c>
      <c r="C9" s="4" t="inlineStr">
        <is>
          <t>hold</t>
        </is>
      </c>
      <c r="D9" s="4" t="inlineStr">
        <is>
          <t>integer</t>
        </is>
      </c>
      <c r="E9" s="4" t="inlineStr">
        <is>
          <t>212</t>
        </is>
      </c>
      <c r="F9" s="4" t="inlineStr">
        <is>
          <t>Units held</t>
        </is>
      </c>
    </row>
    <row r="10">
      <c r="A10" s="5" t="inlineStr">
        <is>
          <t>6</t>
        </is>
      </c>
      <c r="B10" s="5" t="inlineStr">
        <is>
          <t>HOLD %</t>
        </is>
      </c>
      <c r="C10" s="5" t="inlineStr">
        <is>
          <t>derived</t>
        </is>
      </c>
      <c r="D10" s="5" t="inlineStr">
        <is>
          <t>percent</t>
        </is>
      </c>
      <c r="E10" s="5" t="inlineStr">
        <is>
          <t>6.79</t>
        </is>
      </c>
      <c r="F10" s="5">
        <f> HOLD QTY ÷ REC QTY (recomputed by app)</f>
        <v/>
      </c>
    </row>
    <row r="11">
      <c r="A11" s="4" t="inlineStr">
        <is>
          <t>7</t>
        </is>
      </c>
      <c r="B11" s="4" t="inlineStr">
        <is>
          <t>REJ. QTY</t>
        </is>
      </c>
      <c r="C11" s="4" t="inlineStr">
        <is>
          <t>rejected</t>
        </is>
      </c>
      <c r="D11" s="4" t="inlineStr">
        <is>
          <t>integer</t>
        </is>
      </c>
      <c r="E11" s="4" t="inlineStr">
        <is>
          <t>382</t>
        </is>
      </c>
      <c r="F11" s="4" t="inlineStr">
        <is>
          <t>Units rejected</t>
        </is>
      </c>
    </row>
    <row r="12">
      <c r="A12" s="5" t="inlineStr">
        <is>
          <t>8</t>
        </is>
      </c>
      <c r="B12" s="5" t="inlineStr">
        <is>
          <t>REJ %</t>
        </is>
      </c>
      <c r="C12" s="5" t="inlineStr">
        <is>
          <t>derived</t>
        </is>
      </c>
      <c r="D12" s="5" t="inlineStr">
        <is>
          <t>percent</t>
        </is>
      </c>
      <c r="E12" s="5" t="inlineStr">
        <is>
          <t>10.6</t>
        </is>
      </c>
      <c r="F12" s="5">
        <f> REJ QTY ÷ REC QTY (recomputed by app)</f>
        <v/>
      </c>
    </row>
    <row r="13">
      <c r="A13" s="4" t="inlineStr">
        <is>
          <t>9</t>
        </is>
      </c>
      <c r="B13" s="4" t="inlineStr">
        <is>
          <t>1 (COAG)</t>
        </is>
      </c>
      <c r="C13" s="4" t="inlineStr">
        <is>
          <t>defect_count</t>
        </is>
      </c>
      <c r="D13" s="4" t="inlineStr">
        <is>
          <t>integer</t>
        </is>
      </c>
      <c r="E13" s="4" t="inlineStr"/>
      <c r="F13" s="4" t="inlineStr">
        <is>
          <t>Coagulum — reason-for-rejection matrix col 1</t>
        </is>
      </c>
    </row>
    <row r="14">
      <c r="A14" s="5" t="inlineStr">
        <is>
          <t>10</t>
        </is>
      </c>
      <c r="B14" s="5" t="inlineStr">
        <is>
          <t>2 (SD)</t>
        </is>
      </c>
      <c r="C14" s="5" t="inlineStr">
        <is>
          <t>defect_count</t>
        </is>
      </c>
      <c r="D14" s="5" t="inlineStr">
        <is>
          <t>integer</t>
        </is>
      </c>
      <c r="E14" s="5" t="inlineStr"/>
      <c r="F14" s="5" t="inlineStr">
        <is>
          <t>Surface Defect — reason-for-rejection matrix col 2</t>
        </is>
      </c>
    </row>
    <row r="15">
      <c r="A15" s="4" t="inlineStr">
        <is>
          <t>11</t>
        </is>
      </c>
      <c r="B15" s="4" t="inlineStr">
        <is>
          <t>3 (TT)</t>
        </is>
      </c>
      <c r="C15" s="4" t="inlineStr">
        <is>
          <t>defect_count</t>
        </is>
      </c>
      <c r="D15" s="4" t="inlineStr">
        <is>
          <t>integer</t>
        </is>
      </c>
      <c r="E15" s="4" t="inlineStr"/>
      <c r="F15" s="4" t="inlineStr">
        <is>
          <t>Thin Tip — reason-for-rejection matrix col 3</t>
        </is>
      </c>
    </row>
    <row r="16">
      <c r="A16" s="5" t="inlineStr">
        <is>
          <t>12</t>
        </is>
      </c>
      <c r="B16" s="5" t="inlineStr">
        <is>
          <t>4 (BL)</t>
        </is>
      </c>
      <c r="C16" s="5" t="inlineStr">
        <is>
          <t>defect_count</t>
        </is>
      </c>
      <c r="D16" s="5" t="inlineStr">
        <is>
          <t>integer</t>
        </is>
      </c>
      <c r="E16" s="5" t="inlineStr"/>
      <c r="F16" s="5" t="inlineStr">
        <is>
          <t>Blister — reason-for-rejection matrix col 4</t>
        </is>
      </c>
    </row>
    <row r="17">
      <c r="A17" s="4" t="inlineStr">
        <is>
          <t>13</t>
        </is>
      </c>
      <c r="B17" s="4" t="inlineStr">
        <is>
          <t>5 (PS)</t>
        </is>
      </c>
      <c r="C17" s="4" t="inlineStr">
        <is>
          <t>defect_count</t>
        </is>
      </c>
      <c r="D17" s="4" t="inlineStr">
        <is>
          <t>integer</t>
        </is>
      </c>
      <c r="E17" s="4" t="inlineStr"/>
      <c r="F17" s="4" t="inlineStr">
        <is>
          <t>Ply Separation — reason-for-rejection matrix col 5</t>
        </is>
      </c>
    </row>
    <row r="18">
      <c r="A18" s="5" t="inlineStr">
        <is>
          <t>14</t>
        </is>
      </c>
      <c r="B18" s="5" t="inlineStr">
        <is>
          <t>6 (SB)</t>
        </is>
      </c>
      <c r="C18" s="5" t="inlineStr">
        <is>
          <t>defect_count</t>
        </is>
      </c>
      <c r="D18" s="5" t="inlineStr">
        <is>
          <t>integer</t>
        </is>
      </c>
      <c r="E18" s="5" t="inlineStr"/>
      <c r="F18" s="5" t="inlineStr">
        <is>
          <t>Step Balloon — reason-for-rejection matrix col 6</t>
        </is>
      </c>
    </row>
    <row r="19">
      <c r="A19" s="4" t="inlineStr">
        <is>
          <t>15</t>
        </is>
      </c>
      <c r="B19" s="4" t="inlineStr">
        <is>
          <t>7 (PW)</t>
        </is>
      </c>
      <c r="C19" s="4" t="inlineStr">
        <is>
          <t>defect_count</t>
        </is>
      </c>
      <c r="D19" s="4" t="inlineStr">
        <is>
          <t>integer</t>
        </is>
      </c>
      <c r="E19" s="4" t="inlineStr"/>
      <c r="F19" s="4" t="inlineStr">
        <is>
          <t>Projected Wire — reason-for-rejection matrix col 7</t>
        </is>
      </c>
    </row>
    <row r="20">
      <c r="A20" s="5" t="inlineStr">
        <is>
          <t>16</t>
        </is>
      </c>
      <c r="B20" s="5" t="inlineStr">
        <is>
          <t>8 (FP)</t>
        </is>
      </c>
      <c r="C20" s="5" t="inlineStr">
        <is>
          <t>defect_count</t>
        </is>
      </c>
      <c r="D20" s="5" t="inlineStr">
        <is>
          <t>integer</t>
        </is>
      </c>
      <c r="E20" s="5" t="inlineStr"/>
      <c r="F20" s="5" t="inlineStr">
        <is>
          <t>Foreign Particle — reason-for-rejection matrix col 8</t>
        </is>
      </c>
    </row>
    <row r="21">
      <c r="A21" s="4" t="inlineStr">
        <is>
          <t>17</t>
        </is>
      </c>
      <c r="B21" s="4" t="inlineStr">
        <is>
          <t>9 (RW)</t>
        </is>
      </c>
      <c r="C21" s="4" t="inlineStr">
        <is>
          <t>defect_count</t>
        </is>
      </c>
      <c r="D21" s="4" t="inlineStr">
        <is>
          <t>integer</t>
        </is>
      </c>
      <c r="E21" s="4" t="inlineStr"/>
      <c r="F21" s="4" t="inlineStr">
        <is>
          <t>Raised Wire — reason-for-rejection matrix col 9</t>
        </is>
      </c>
    </row>
    <row r="22">
      <c r="A22" s="5" t="inlineStr">
        <is>
          <t>18</t>
        </is>
      </c>
      <c r="B22" s="5" t="inlineStr">
        <is>
          <t>10 (BEP)</t>
        </is>
      </c>
      <c r="C22" s="5" t="inlineStr">
        <is>
          <t>defect_count</t>
        </is>
      </c>
      <c r="D22" s="5" t="inlineStr">
        <is>
          <t>integer</t>
        </is>
      </c>
      <c r="E22" s="5" t="inlineStr"/>
      <c r="F22" s="5" t="inlineStr">
        <is>
          <t>Bad Eye Punching — reason-for-rejection matrix col 10</t>
        </is>
      </c>
    </row>
    <row r="23">
      <c r="A23" s="4" t="inlineStr">
        <is>
          <t>19</t>
        </is>
      </c>
      <c r="B23" s="4" t="inlineStr">
        <is>
          <t>11 (DEC)</t>
        </is>
      </c>
      <c r="C23" s="4" t="inlineStr">
        <is>
          <t>defect_count</t>
        </is>
      </c>
      <c r="D23" s="4" t="inlineStr">
        <is>
          <t>integer</t>
        </is>
      </c>
      <c r="E23" s="4" t="inlineStr"/>
      <c r="F23" s="4" t="inlineStr">
        <is>
          <t>Decolorisation — reason-for-rejection matrix col 11</t>
        </is>
      </c>
    </row>
    <row r="24">
      <c r="A24" s="5" t="inlineStr">
        <is>
          <t>20</t>
        </is>
      </c>
      <c r="B24" s="5" t="inlineStr">
        <is>
          <t>12 (BM)</t>
        </is>
      </c>
      <c r="C24" s="5" t="inlineStr">
        <is>
          <t>defect_count</t>
        </is>
      </c>
      <c r="D24" s="5" t="inlineStr">
        <is>
          <t>integer</t>
        </is>
      </c>
      <c r="E24" s="5" t="inlineStr"/>
      <c r="F24" s="5" t="inlineStr">
        <is>
          <t>Black Mark — reason-for-rejection matrix col 12</t>
        </is>
      </c>
    </row>
    <row r="25">
      <c r="A25" s="4" t="inlineStr">
        <is>
          <t>21</t>
        </is>
      </c>
      <c r="B25" s="4" t="inlineStr">
        <is>
          <t>13 (WEB)</t>
        </is>
      </c>
      <c r="C25" s="4" t="inlineStr">
        <is>
          <t>defect_count</t>
        </is>
      </c>
      <c r="D25" s="4" t="inlineStr">
        <is>
          <t>integer</t>
        </is>
      </c>
      <c r="E25" s="4" t="inlineStr"/>
      <c r="F25" s="4" t="inlineStr">
        <is>
          <t>Webbing — reason-for-rejection matrix col 13</t>
        </is>
      </c>
    </row>
    <row r="26">
      <c r="A26" s="5" t="inlineStr">
        <is>
          <t>22</t>
        </is>
      </c>
      <c r="B26" s="5" t="inlineStr">
        <is>
          <t>14 (BT)</t>
        </is>
      </c>
      <c r="C26" s="5" t="inlineStr">
        <is>
          <t>defect_count</t>
        </is>
      </c>
      <c r="D26" s="5" t="inlineStr">
        <is>
          <t>integer</t>
        </is>
      </c>
      <c r="E26" s="5" t="inlineStr"/>
      <c r="F26" s="5" t="inlineStr">
        <is>
          <t>Bad Trimming — reason-for-rejection matrix col 14</t>
        </is>
      </c>
    </row>
    <row r="27">
      <c r="A27" s="4" t="inlineStr">
        <is>
          <t>23</t>
        </is>
      </c>
      <c r="B27" s="4" t="inlineStr">
        <is>
          <t>15 (SF)</t>
        </is>
      </c>
      <c r="C27" s="4" t="inlineStr">
        <is>
          <t>defect_count</t>
        </is>
      </c>
      <c r="D27" s="4" t="inlineStr">
        <is>
          <t>integer</t>
        </is>
      </c>
      <c r="E27" s="4" t="inlineStr"/>
      <c r="F27" s="4" t="inlineStr">
        <is>
          <t>Short Funnel — reason-for-rejection matrix col 15</t>
        </is>
      </c>
    </row>
    <row r="28">
      <c r="A28" s="5" t="inlineStr">
        <is>
          <t>24</t>
        </is>
      </c>
      <c r="B28" s="5" t="inlineStr">
        <is>
          <t>16 (BIC)</t>
        </is>
      </c>
      <c r="C28" s="5" t="inlineStr">
        <is>
          <t>defect_count</t>
        </is>
      </c>
      <c r="D28" s="5" t="inlineStr">
        <is>
          <t>integer</t>
        </is>
      </c>
      <c r="E28" s="5" t="inlineStr"/>
      <c r="F28" s="5" t="inlineStr">
        <is>
          <t>Bend In Catheter — reason-for-rejection matrix col 16</t>
        </is>
      </c>
    </row>
    <row r="29">
      <c r="A29" s="4" t="inlineStr">
        <is>
          <t>25</t>
        </is>
      </c>
      <c r="B29" s="4" t="inlineStr">
        <is>
          <t>17 (WK)</t>
        </is>
      </c>
      <c r="C29" s="4" t="inlineStr">
        <is>
          <t>defect_count</t>
        </is>
      </c>
      <c r="D29" s="4" t="inlineStr">
        <is>
          <t>integer</t>
        </is>
      </c>
      <c r="E29" s="4" t="inlineStr"/>
      <c r="F29" s="4" t="inlineStr">
        <is>
          <t>Wrinkle — reason-for-rejection matrix col 17</t>
        </is>
      </c>
    </row>
    <row r="30">
      <c r="A30" s="5" t="inlineStr">
        <is>
          <t>26</t>
        </is>
      </c>
      <c r="B30" s="5" t="inlineStr">
        <is>
          <t>18 (BMP)</t>
        </is>
      </c>
      <c r="C30" s="5" t="inlineStr">
        <is>
          <t>defect_count</t>
        </is>
      </c>
      <c r="D30" s="5" t="inlineStr">
        <is>
          <t>integer</t>
        </is>
      </c>
      <c r="E30" s="5" t="inlineStr"/>
      <c r="F30" s="5" t="inlineStr">
        <is>
          <t>Bump — reason-for-rejection matrix col 18</t>
        </is>
      </c>
    </row>
    <row r="31">
      <c r="A31" s="4" t="inlineStr">
        <is>
          <t>27</t>
        </is>
      </c>
      <c r="B31" s="4" t="inlineStr">
        <is>
          <t>19 (TF)</t>
        </is>
      </c>
      <c r="C31" s="4" t="inlineStr">
        <is>
          <t>defect_count</t>
        </is>
      </c>
      <c r="D31" s="4" t="inlineStr">
        <is>
          <t>integer</t>
        </is>
      </c>
      <c r="E31" s="4" t="inlineStr"/>
      <c r="F31" s="4" t="inlineStr">
        <is>
          <t>Torn Funnel — reason-for-rejection matrix col 19</t>
        </is>
      </c>
    </row>
    <row r="32">
      <c r="A32" s="5" t="inlineStr">
        <is>
          <t>28</t>
        </is>
      </c>
      <c r="B32" s="5" t="inlineStr">
        <is>
          <t>20 (PH)</t>
        </is>
      </c>
      <c r="C32" s="5" t="inlineStr">
        <is>
          <t>defect_count</t>
        </is>
      </c>
      <c r="D32" s="5" t="inlineStr">
        <is>
          <t>integer</t>
        </is>
      </c>
      <c r="E32" s="5" t="inlineStr"/>
      <c r="F32" s="5" t="inlineStr">
        <is>
          <t>Pin Hole — reason-for-rejection matrix col 20</t>
        </is>
      </c>
    </row>
    <row r="33">
      <c r="A33" s="4" t="inlineStr">
        <is>
          <t>29</t>
        </is>
      </c>
      <c r="B33" s="4" t="inlineStr">
        <is>
          <t>21 (BST)</t>
        </is>
      </c>
      <c r="C33" s="4" t="inlineStr">
        <is>
          <t>defect_count</t>
        </is>
      </c>
      <c r="D33" s="4" t="inlineStr">
        <is>
          <t>integer</t>
        </is>
      </c>
      <c r="E33" s="4" t="inlineStr"/>
      <c r="F33" s="4" t="inlineStr">
        <is>
          <t>Bad Stripping — reason-for-rejection matrix col 21</t>
        </is>
      </c>
    </row>
    <row r="35">
      <c r="A35" s="2" t="inlineStr">
        <is>
          <t>Defect matrix: 21 numbered columns map to the codes on the 'Defect Codes' sheet. TOTAL row Chk 12640 / Acc 11109 / Hold 647 (5.51%) / Rej 834 (6.59%).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DAILY BALLOON INSPECTION REPORT</t>
        </is>
      </c>
    </row>
    <row r="2">
      <c r="A2" s="2" t="inlineStr">
        <is>
          <t>Doc F/ASM/03-01 · eff 25-12-2025 · app stage: balloon</t>
        </is>
      </c>
    </row>
    <row r="4" ht="26" customHeight="1">
      <c r="A4" s="3" t="inlineStr">
        <is>
          <t>#</t>
        </is>
      </c>
      <c r="B4" s="3" t="inlineStr">
        <is>
          <t>Column Header (verbatim)</t>
        </is>
      </c>
      <c r="C4" s="3" t="inlineStr">
        <is>
          <t>Field Role</t>
        </is>
      </c>
      <c r="D4" s="3" t="inlineStr">
        <is>
          <t>Data Type</t>
        </is>
      </c>
      <c r="E4" s="3" t="inlineStr">
        <is>
          <t>Example (16-Jun)</t>
        </is>
      </c>
      <c r="F4" s="3" t="inlineStr">
        <is>
          <t>Notes</t>
        </is>
      </c>
    </row>
    <row r="5">
      <c r="A5" s="4" t="inlineStr">
        <is>
          <t>1</t>
        </is>
      </c>
      <c r="B5" s="4" t="inlineStr">
        <is>
          <t>S.No</t>
        </is>
      </c>
      <c r="C5" s="4" t="inlineStr">
        <is>
          <t>row index</t>
        </is>
      </c>
      <c r="D5" s="4" t="inlineStr">
        <is>
          <t>integer</t>
        </is>
      </c>
      <c r="E5" s="4" t="inlineStr">
        <is>
          <t>1</t>
        </is>
      </c>
      <c r="F5" s="4" t="inlineStr">
        <is>
          <t>Serial number on sheet</t>
        </is>
      </c>
    </row>
    <row r="6">
      <c r="A6" s="5" t="inlineStr">
        <is>
          <t>2</t>
        </is>
      </c>
      <c r="B6" s="5" t="inlineStr">
        <is>
          <t>B.NO</t>
        </is>
      </c>
      <c r="C6" s="5" t="inlineStr">
        <is>
          <t>batch id</t>
        </is>
      </c>
      <c r="D6" s="5" t="inlineStr">
        <is>
          <t>text</t>
        </is>
      </c>
      <c r="E6" s="5" t="inlineStr">
        <is>
          <t>26F06</t>
        </is>
      </c>
      <c r="F6" s="5" t="inlineStr">
        <is>
          <t>Batch / lot number</t>
        </is>
      </c>
    </row>
    <row r="7">
      <c r="A7" s="4" t="inlineStr">
        <is>
          <t>3</t>
        </is>
      </c>
      <c r="B7" s="4" t="inlineStr">
        <is>
          <t>SIZE</t>
        </is>
      </c>
      <c r="C7" s="4" t="inlineStr">
        <is>
          <t>size</t>
        </is>
      </c>
      <c r="D7" s="4" t="inlineStr">
        <is>
          <t>text</t>
        </is>
      </c>
      <c r="E7" s="4" t="inlineStr">
        <is>
          <t>24FR</t>
        </is>
      </c>
      <c r="F7" s="4" t="inlineStr">
        <is>
          <t>French size</t>
        </is>
      </c>
    </row>
    <row r="8">
      <c r="A8" s="5" t="inlineStr">
        <is>
          <t>4</t>
        </is>
      </c>
      <c r="B8" s="5" t="inlineStr">
        <is>
          <t>CHECKED QTY</t>
        </is>
      </c>
      <c r="C8" s="5" t="inlineStr">
        <is>
          <t>checked</t>
        </is>
      </c>
      <c r="D8" s="5" t="inlineStr">
        <is>
          <t>integer</t>
        </is>
      </c>
      <c r="E8" s="5" t="inlineStr">
        <is>
          <t>2575</t>
        </is>
      </c>
      <c r="F8" s="5" t="inlineStr">
        <is>
          <t>Units inspected (denominator)</t>
        </is>
      </c>
    </row>
    <row r="9">
      <c r="A9" s="4" t="inlineStr">
        <is>
          <t>5</t>
        </is>
      </c>
      <c r="B9" s="4" t="inlineStr">
        <is>
          <t>ACCEPT QTY</t>
        </is>
      </c>
      <c r="C9" s="4" t="inlineStr">
        <is>
          <t>accepted</t>
        </is>
      </c>
      <c r="D9" s="4" t="inlineStr">
        <is>
          <t>integer</t>
        </is>
      </c>
      <c r="E9" s="4" t="inlineStr">
        <is>
          <t>2567</t>
        </is>
      </c>
      <c r="F9" s="4" t="inlineStr">
        <is>
          <t>Units passed</t>
        </is>
      </c>
    </row>
    <row r="10">
      <c r="A10" s="5" t="inlineStr">
        <is>
          <t>6</t>
        </is>
      </c>
      <c r="B10" s="5" t="inlineStr">
        <is>
          <t>HOLD QTY</t>
        </is>
      </c>
      <c r="C10" s="5" t="inlineStr">
        <is>
          <t>hold</t>
        </is>
      </c>
      <c r="D10" s="5" t="inlineStr">
        <is>
          <t>integer</t>
        </is>
      </c>
      <c r="E10" s="5" t="inlineStr">
        <is>
          <t>—</t>
        </is>
      </c>
      <c r="F10" s="5" t="inlineStr">
        <is>
          <t>Units held (often blank)</t>
        </is>
      </c>
    </row>
    <row r="11">
      <c r="A11" s="4" t="inlineStr">
        <is>
          <t>7</t>
        </is>
      </c>
      <c r="B11" s="4" t="inlineStr">
        <is>
          <t>REJ. QTY</t>
        </is>
      </c>
      <c r="C11" s="4" t="inlineStr">
        <is>
          <t>rejected</t>
        </is>
      </c>
      <c r="D11" s="4" t="inlineStr">
        <is>
          <t>integer</t>
        </is>
      </c>
      <c r="E11" s="4" t="inlineStr">
        <is>
          <t>8</t>
        </is>
      </c>
      <c r="F11" s="4" t="inlineStr">
        <is>
          <t>Units rejected</t>
        </is>
      </c>
    </row>
    <row r="12">
      <c r="A12" s="5" t="inlineStr">
        <is>
          <t>8</t>
        </is>
      </c>
      <c r="B12" s="5" t="inlineStr">
        <is>
          <t>REJ. %</t>
        </is>
      </c>
      <c r="C12" s="5" t="inlineStr">
        <is>
          <t>derived</t>
        </is>
      </c>
      <c r="D12" s="5" t="inlineStr">
        <is>
          <t>percent</t>
        </is>
      </c>
      <c r="E12" s="5" t="inlineStr">
        <is>
          <t>0.31</t>
        </is>
      </c>
      <c r="F12" s="5">
        <f> REJ QTY ÷ CHECKED QTY</f>
        <v/>
      </c>
    </row>
    <row r="13">
      <c r="A13" s="4" t="inlineStr">
        <is>
          <t>9</t>
        </is>
      </c>
      <c r="B13" s="4" t="inlineStr">
        <is>
          <t>STRUCK BALLOON</t>
        </is>
      </c>
      <c r="C13" s="4" t="inlineStr">
        <is>
          <t>defect_count</t>
        </is>
      </c>
      <c r="D13" s="4" t="inlineStr">
        <is>
          <t>integer</t>
        </is>
      </c>
      <c r="E13" s="4" t="inlineStr">
        <is>
          <t>8</t>
        </is>
      </c>
      <c r="F13" s="4" t="inlineStr">
        <is>
          <t>Defect mode → app code STBL</t>
        </is>
      </c>
    </row>
    <row r="14">
      <c r="A14" s="5" t="inlineStr">
        <is>
          <t>10</t>
        </is>
      </c>
      <c r="B14" s="5" t="inlineStr">
        <is>
          <t>BALLOON BRUST</t>
        </is>
      </c>
      <c r="C14" s="5" t="inlineStr">
        <is>
          <t>defect_count</t>
        </is>
      </c>
      <c r="D14" s="5" t="inlineStr">
        <is>
          <t>integer</t>
        </is>
      </c>
      <c r="E14" s="5" t="inlineStr">
        <is>
          <t>221</t>
        </is>
      </c>
      <c r="F14" s="5" t="inlineStr">
        <is>
          <t>'Burst' (sheet spelling) → app code BLBR</t>
        </is>
      </c>
    </row>
    <row r="15">
      <c r="A15" s="4" t="inlineStr">
        <is>
          <t>11</t>
        </is>
      </c>
      <c r="B15" s="4" t="inlineStr">
        <is>
          <t>LEAKAGE</t>
        </is>
      </c>
      <c r="C15" s="4" t="inlineStr">
        <is>
          <t>defect_count</t>
        </is>
      </c>
      <c r="D15" s="4" t="inlineStr">
        <is>
          <t>integer</t>
        </is>
      </c>
      <c r="E15" s="4" t="inlineStr">
        <is>
          <t>—</t>
        </is>
      </c>
      <c r="F15" s="4" t="inlineStr">
        <is>
          <t>Defect mode → app code LEAK</t>
        </is>
      </c>
    </row>
    <row r="16">
      <c r="A16" s="5" t="inlineStr">
        <is>
          <t>12</t>
        </is>
      </c>
      <c r="B16" s="5" t="inlineStr">
        <is>
          <t>OTHERS</t>
        </is>
      </c>
      <c r="C16" s="5" t="inlineStr">
        <is>
          <t>defect_count</t>
        </is>
      </c>
      <c r="D16" s="5" t="inlineStr">
        <is>
          <t>integer</t>
        </is>
      </c>
      <c r="E16" s="5" t="inlineStr">
        <is>
          <t>7</t>
        </is>
      </c>
      <c r="F16" s="5" t="inlineStr">
        <is>
          <t>Uncategorised → app code OTH</t>
        </is>
      </c>
    </row>
    <row r="17">
      <c r="A17" s="4" t="inlineStr">
        <is>
          <t>13</t>
        </is>
      </c>
      <c r="B17" s="4" t="inlineStr">
        <is>
          <t>Remarks</t>
        </is>
      </c>
      <c r="C17" s="4" t="inlineStr">
        <is>
          <t>note</t>
        </is>
      </c>
      <c r="D17" s="4" t="inlineStr">
        <is>
          <t>text</t>
        </is>
      </c>
      <c r="E17" s="4" t="inlineStr"/>
      <c r="F17" s="4" t="inlineStr">
        <is>
          <t>Free-text remarks</t>
        </is>
      </c>
    </row>
    <row r="19">
      <c r="A19" s="2" t="inlineStr">
        <is>
          <t>Named defect-mode columns (no numbered matrix). TOTAL Chk 10282 / Acc 9969 / Rej 313 (3.04%).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DAILY VALVE INTEGRITY REPORT</t>
        </is>
      </c>
    </row>
    <row r="2">
      <c r="A2" s="2" t="inlineStr">
        <is>
          <t>Doc F/ASM/12-01 · eff 25-12-2025 · app stage: valve-integrity</t>
        </is>
      </c>
    </row>
    <row r="4" ht="26" customHeight="1">
      <c r="A4" s="3" t="inlineStr">
        <is>
          <t>#</t>
        </is>
      </c>
      <c r="B4" s="3" t="inlineStr">
        <is>
          <t>Column Header (verbatim)</t>
        </is>
      </c>
      <c r="C4" s="3" t="inlineStr">
        <is>
          <t>Field Role</t>
        </is>
      </c>
      <c r="D4" s="3" t="inlineStr">
        <is>
          <t>Data Type</t>
        </is>
      </c>
      <c r="E4" s="3" t="inlineStr">
        <is>
          <t>Example (16-Jun)</t>
        </is>
      </c>
      <c r="F4" s="3" t="inlineStr">
        <is>
          <t>Notes</t>
        </is>
      </c>
    </row>
    <row r="5">
      <c r="A5" s="4" t="inlineStr">
        <is>
          <t>1</t>
        </is>
      </c>
      <c r="B5" s="4" t="inlineStr">
        <is>
          <t>S.NO</t>
        </is>
      </c>
      <c r="C5" s="4" t="inlineStr">
        <is>
          <t>row index</t>
        </is>
      </c>
      <c r="D5" s="4" t="inlineStr">
        <is>
          <t>integer</t>
        </is>
      </c>
      <c r="E5" s="4" t="inlineStr">
        <is>
          <t>1</t>
        </is>
      </c>
      <c r="F5" s="4" t="inlineStr">
        <is>
          <t>Serial number</t>
        </is>
      </c>
    </row>
    <row r="6">
      <c r="A6" s="5" t="inlineStr">
        <is>
          <t>2</t>
        </is>
      </c>
      <c r="B6" s="5" t="inlineStr">
        <is>
          <t>B.NO</t>
        </is>
      </c>
      <c r="C6" s="5" t="inlineStr">
        <is>
          <t>batch id</t>
        </is>
      </c>
      <c r="D6" s="5" t="inlineStr">
        <is>
          <t>text</t>
        </is>
      </c>
      <c r="E6" s="5" t="inlineStr">
        <is>
          <t>26F08</t>
        </is>
      </c>
      <c r="F6" s="5" t="inlineStr">
        <is>
          <t>Batch / lot number</t>
        </is>
      </c>
    </row>
    <row r="7">
      <c r="A7" s="4" t="inlineStr">
        <is>
          <t>3</t>
        </is>
      </c>
      <c r="B7" s="4" t="inlineStr">
        <is>
          <t>SIZE</t>
        </is>
      </c>
      <c r="C7" s="4" t="inlineStr">
        <is>
          <t>size</t>
        </is>
      </c>
      <c r="D7" s="4" t="inlineStr">
        <is>
          <t>text</t>
        </is>
      </c>
      <c r="E7" s="4" t="inlineStr">
        <is>
          <t>16FR</t>
        </is>
      </c>
      <c r="F7" s="4" t="inlineStr">
        <is>
          <t>French size</t>
        </is>
      </c>
    </row>
    <row r="8">
      <c r="A8" s="5" t="inlineStr">
        <is>
          <t>4</t>
        </is>
      </c>
      <c r="B8" s="5" t="inlineStr">
        <is>
          <t>CHECKED QTY</t>
        </is>
      </c>
      <c r="C8" s="5" t="inlineStr">
        <is>
          <t>checked</t>
        </is>
      </c>
      <c r="D8" s="5" t="inlineStr">
        <is>
          <t>integer</t>
        </is>
      </c>
      <c r="E8" s="5" t="inlineStr">
        <is>
          <t>2398</t>
        </is>
      </c>
      <c r="F8" s="5" t="inlineStr">
        <is>
          <t>Units inspected (denominator)</t>
        </is>
      </c>
    </row>
    <row r="9">
      <c r="A9" s="4" t="inlineStr">
        <is>
          <t>5</t>
        </is>
      </c>
      <c r="B9" s="4" t="inlineStr">
        <is>
          <t>ACCEPT QTY</t>
        </is>
      </c>
      <c r="C9" s="4" t="inlineStr">
        <is>
          <t>accepted</t>
        </is>
      </c>
      <c r="D9" s="4" t="inlineStr">
        <is>
          <t>integer</t>
        </is>
      </c>
      <c r="E9" s="4" t="inlineStr">
        <is>
          <t>2742</t>
        </is>
      </c>
      <c r="F9" s="4" t="inlineStr">
        <is>
          <t>Units passed</t>
        </is>
      </c>
    </row>
    <row r="10">
      <c r="A10" s="5" t="inlineStr">
        <is>
          <t>6</t>
        </is>
      </c>
      <c r="B10" s="5" t="inlineStr">
        <is>
          <t>HOLD QTY</t>
        </is>
      </c>
      <c r="C10" s="5" t="inlineStr">
        <is>
          <t>hold</t>
        </is>
      </c>
      <c r="D10" s="5" t="inlineStr">
        <is>
          <t>integer</t>
        </is>
      </c>
      <c r="E10" s="5" t="inlineStr">
        <is>
          <t>56</t>
        </is>
      </c>
      <c r="F10" s="5" t="inlineStr">
        <is>
          <t>Units held</t>
        </is>
      </c>
    </row>
    <row r="11">
      <c r="A11" s="4" t="inlineStr">
        <is>
          <t>7</t>
        </is>
      </c>
      <c r="B11" s="4" t="inlineStr">
        <is>
          <t>REJ. QTY</t>
        </is>
      </c>
      <c r="C11" s="4" t="inlineStr">
        <is>
          <t>rejected</t>
        </is>
      </c>
      <c r="D11" s="4" t="inlineStr">
        <is>
          <t>integer</t>
        </is>
      </c>
      <c r="E11" s="4" t="inlineStr">
        <is>
          <t>56</t>
        </is>
      </c>
      <c r="F11" s="4" t="inlineStr">
        <is>
          <t>Units rejected</t>
        </is>
      </c>
    </row>
    <row r="12">
      <c r="A12" s="5" t="inlineStr">
        <is>
          <t>8</t>
        </is>
      </c>
      <c r="B12" s="5" t="inlineStr">
        <is>
          <t>REJ. %</t>
        </is>
      </c>
      <c r="C12" s="5" t="inlineStr">
        <is>
          <t>derived</t>
        </is>
      </c>
      <c r="D12" s="5" t="inlineStr">
        <is>
          <t>percent</t>
        </is>
      </c>
      <c r="E12" s="5" t="inlineStr">
        <is>
          <t>2.00</t>
        </is>
      </c>
      <c r="F12" s="5">
        <f> REJ QTY ÷ CHECKED QTY</f>
        <v/>
      </c>
    </row>
    <row r="13">
      <c r="A13" s="4" t="inlineStr">
        <is>
          <t>9</t>
        </is>
      </c>
      <c r="B13" s="4" t="inlineStr">
        <is>
          <t>LEAKAGE</t>
        </is>
      </c>
      <c r="C13" s="4" t="inlineStr">
        <is>
          <t>defect_count</t>
        </is>
      </c>
      <c r="D13" s="4" t="inlineStr">
        <is>
          <t>integer</t>
        </is>
      </c>
      <c r="E13" s="4" t="inlineStr">
        <is>
          <t>40</t>
        </is>
      </c>
      <c r="F13" s="4" t="inlineStr">
        <is>
          <t>Defect mode → app code LEAK</t>
        </is>
      </c>
    </row>
    <row r="14">
      <c r="A14" s="5" t="inlineStr">
        <is>
          <t>10</t>
        </is>
      </c>
      <c r="B14" s="5" t="inlineStr">
        <is>
          <t>90/10</t>
        </is>
      </c>
      <c r="C14" s="5" t="inlineStr">
        <is>
          <t>defect_count</t>
        </is>
      </c>
      <c r="D14" s="5" t="inlineStr">
        <is>
          <t>integer</t>
        </is>
      </c>
      <c r="E14" s="5" t="inlineStr">
        <is>
          <t>15</t>
        </is>
      </c>
      <c r="F14" s="5" t="inlineStr">
        <is>
          <t>Valve ratio defect → app code 90/10</t>
        </is>
      </c>
    </row>
    <row r="15">
      <c r="A15" s="4" t="inlineStr">
        <is>
          <t>11</t>
        </is>
      </c>
      <c r="B15" s="4" t="inlineStr">
        <is>
          <t>BUBBLE</t>
        </is>
      </c>
      <c r="C15" s="4" t="inlineStr">
        <is>
          <t>defect_count</t>
        </is>
      </c>
      <c r="D15" s="4" t="inlineStr">
        <is>
          <t>integer</t>
        </is>
      </c>
      <c r="E15" s="4" t="inlineStr">
        <is>
          <t>—</t>
        </is>
      </c>
      <c r="F15" s="4" t="inlineStr">
        <is>
          <t>Defect mode → app code BUB</t>
        </is>
      </c>
    </row>
    <row r="16">
      <c r="A16" s="5" t="inlineStr">
        <is>
          <t>12</t>
        </is>
      </c>
      <c r="B16" s="5" t="inlineStr">
        <is>
          <t>THIN SPOD</t>
        </is>
      </c>
      <c r="C16" s="5" t="inlineStr">
        <is>
          <t>defect_count</t>
        </is>
      </c>
      <c r="D16" s="5" t="inlineStr">
        <is>
          <t>integer</t>
        </is>
      </c>
      <c r="E16" s="5" t="inlineStr">
        <is>
          <t>51</t>
        </is>
      </c>
      <c r="F16" s="5" t="inlineStr">
        <is>
          <t>'Thin Spot' → app code THSP</t>
        </is>
      </c>
    </row>
    <row r="17">
      <c r="A17" s="4" t="inlineStr">
        <is>
          <t>13</t>
        </is>
      </c>
      <c r="B17" s="4" t="inlineStr">
        <is>
          <t>OTHERS</t>
        </is>
      </c>
      <c r="C17" s="4" t="inlineStr">
        <is>
          <t>defect_count</t>
        </is>
      </c>
      <c r="D17" s="4" t="inlineStr">
        <is>
          <t>integer</t>
        </is>
      </c>
      <c r="E17" s="4" t="inlineStr">
        <is>
          <t>12</t>
        </is>
      </c>
      <c r="F17" s="4" t="inlineStr">
        <is>
          <t>Uncategorised → app code OTH</t>
        </is>
      </c>
    </row>
    <row r="18">
      <c r="A18" s="5" t="inlineStr">
        <is>
          <t>14</t>
        </is>
      </c>
      <c r="B18" s="5" t="inlineStr">
        <is>
          <t>Remarks</t>
        </is>
      </c>
      <c r="C18" s="5" t="inlineStr">
        <is>
          <t>note</t>
        </is>
      </c>
      <c r="D18" s="5" t="inlineStr">
        <is>
          <t>text</t>
        </is>
      </c>
      <c r="E18" s="5" t="inlineStr">
        <is>
          <t>17 eye crack, 2 long lush</t>
        </is>
      </c>
      <c r="F18" s="5" t="inlineStr">
        <is>
          <t>Free-text remarks</t>
        </is>
      </c>
    </row>
    <row r="20">
      <c r="A20" s="2" t="inlineStr">
        <is>
          <t>Named defect-mode columns. TOTAL Chk 11192 / Rej 279 (2.32%). Often printed beside the Balloon block on size-wise workbooks.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FINAL INSPECTION REPORT</t>
        </is>
      </c>
    </row>
    <row r="2">
      <c r="A2" s="2" t="inlineStr">
        <is>
          <t>Doc F/ASM/13-00 · eff 25-12-2025 · app stage: final</t>
        </is>
      </c>
    </row>
    <row r="4" ht="26" customHeight="1">
      <c r="A4" s="3" t="inlineStr">
        <is>
          <t>#</t>
        </is>
      </c>
      <c r="B4" s="3" t="inlineStr">
        <is>
          <t>Column Header (verbatim)</t>
        </is>
      </c>
      <c r="C4" s="3" t="inlineStr">
        <is>
          <t>Field Role</t>
        </is>
      </c>
      <c r="D4" s="3" t="inlineStr">
        <is>
          <t>Data Type</t>
        </is>
      </c>
      <c r="E4" s="3" t="inlineStr">
        <is>
          <t>Example (16-Jun)</t>
        </is>
      </c>
      <c r="F4" s="3" t="inlineStr">
        <is>
          <t>Notes</t>
        </is>
      </c>
    </row>
    <row r="5">
      <c r="A5" s="4" t="inlineStr">
        <is>
          <t>1</t>
        </is>
      </c>
      <c r="B5" s="4" t="inlineStr">
        <is>
          <t>BATCH NO</t>
        </is>
      </c>
      <c r="C5" s="4" t="inlineStr">
        <is>
          <t>batch id</t>
        </is>
      </c>
      <c r="D5" s="4" t="inlineStr">
        <is>
          <t>text</t>
        </is>
      </c>
      <c r="E5" s="4" t="inlineStr">
        <is>
          <t>26F020</t>
        </is>
      </c>
      <c r="F5" s="4" t="inlineStr">
        <is>
          <t>Batch / lot number</t>
        </is>
      </c>
    </row>
    <row r="6">
      <c r="A6" s="5" t="inlineStr">
        <is>
          <t>2</t>
        </is>
      </c>
      <c r="B6" s="5" t="inlineStr">
        <is>
          <t>SIZE</t>
        </is>
      </c>
      <c r="C6" s="5" t="inlineStr">
        <is>
          <t>size</t>
        </is>
      </c>
      <c r="D6" s="5" t="inlineStr">
        <is>
          <t>text</t>
        </is>
      </c>
      <c r="E6" s="5" t="inlineStr">
        <is>
          <t>26FR</t>
        </is>
      </c>
      <c r="F6" s="5" t="inlineStr">
        <is>
          <t>French size</t>
        </is>
      </c>
    </row>
    <row r="7">
      <c r="A7" s="4" t="inlineStr">
        <is>
          <t>3</t>
        </is>
      </c>
      <c r="B7" s="4" t="inlineStr">
        <is>
          <t>REC. QTY</t>
        </is>
      </c>
      <c r="C7" s="4" t="inlineStr">
        <is>
          <t>checked</t>
        </is>
      </c>
      <c r="D7" s="4" t="inlineStr">
        <is>
          <t>integer</t>
        </is>
      </c>
      <c r="E7" s="4" t="inlineStr">
        <is>
          <t>1172</t>
        </is>
      </c>
      <c r="F7" s="4" t="inlineStr">
        <is>
          <t>Units received/inspected (denominator)</t>
        </is>
      </c>
    </row>
    <row r="8">
      <c r="A8" s="5" t="inlineStr">
        <is>
          <t>4</t>
        </is>
      </c>
      <c r="B8" s="5" t="inlineStr">
        <is>
          <t>ACCEPT QTY</t>
        </is>
      </c>
      <c r="C8" s="5" t="inlineStr">
        <is>
          <t>accepted</t>
        </is>
      </c>
      <c r="D8" s="5" t="inlineStr">
        <is>
          <t>integer</t>
        </is>
      </c>
      <c r="E8" s="5" t="inlineStr">
        <is>
          <t>1162</t>
        </is>
      </c>
      <c r="F8" s="5" t="inlineStr">
        <is>
          <t>Units passed</t>
        </is>
      </c>
    </row>
    <row r="9">
      <c r="A9" s="4" t="inlineStr">
        <is>
          <t>5</t>
        </is>
      </c>
      <c r="B9" s="4" t="inlineStr">
        <is>
          <t>HOLD QTY</t>
        </is>
      </c>
      <c r="C9" s="4" t="inlineStr">
        <is>
          <t>hold</t>
        </is>
      </c>
      <c r="D9" s="4" t="inlineStr">
        <is>
          <t>integer</t>
        </is>
      </c>
      <c r="E9" s="4" t="inlineStr">
        <is>
          <t>—</t>
        </is>
      </c>
      <c r="F9" s="4" t="inlineStr">
        <is>
          <t>Units held</t>
        </is>
      </c>
    </row>
    <row r="10">
      <c r="A10" s="5" t="inlineStr">
        <is>
          <t>6</t>
        </is>
      </c>
      <c r="B10" s="5" t="inlineStr">
        <is>
          <t>HOLD %</t>
        </is>
      </c>
      <c r="C10" s="5" t="inlineStr">
        <is>
          <t>derived</t>
        </is>
      </c>
      <c r="D10" s="5" t="inlineStr">
        <is>
          <t>percent</t>
        </is>
      </c>
      <c r="E10" s="5" t="inlineStr"/>
      <c r="F10" s="5">
        <f> HOLD QTY ÷ REC QTY</f>
        <v/>
      </c>
    </row>
    <row r="11">
      <c r="A11" s="4" t="inlineStr">
        <is>
          <t>7</t>
        </is>
      </c>
      <c r="B11" s="4" t="inlineStr">
        <is>
          <t>REJ QTY</t>
        </is>
      </c>
      <c r="C11" s="4" t="inlineStr">
        <is>
          <t>rejected</t>
        </is>
      </c>
      <c r="D11" s="4" t="inlineStr">
        <is>
          <t>integer</t>
        </is>
      </c>
      <c r="E11" s="4" t="inlineStr">
        <is>
          <t>10</t>
        </is>
      </c>
      <c r="F11" s="4" t="inlineStr">
        <is>
          <t>Units rejected</t>
        </is>
      </c>
    </row>
    <row r="12">
      <c r="A12" s="5" t="inlineStr">
        <is>
          <t>8</t>
        </is>
      </c>
      <c r="B12" s="5" t="inlineStr">
        <is>
          <t>REJ%</t>
        </is>
      </c>
      <c r="C12" s="5" t="inlineStr">
        <is>
          <t>derived</t>
        </is>
      </c>
      <c r="D12" s="5" t="inlineStr">
        <is>
          <t>percent</t>
        </is>
      </c>
      <c r="E12" s="5" t="inlineStr">
        <is>
          <t>0.85</t>
        </is>
      </c>
      <c r="F12" s="5">
        <f> REJ QTY ÷ REC QTY</f>
        <v/>
      </c>
    </row>
    <row r="13">
      <c r="A13" s="4" t="inlineStr">
        <is>
          <t>9</t>
        </is>
      </c>
      <c r="B13" s="4" t="inlineStr">
        <is>
          <t>1 (COAG)</t>
        </is>
      </c>
      <c r="C13" s="4" t="inlineStr">
        <is>
          <t>defect_count</t>
        </is>
      </c>
      <c r="D13" s="4" t="inlineStr">
        <is>
          <t>integer</t>
        </is>
      </c>
      <c r="E13" s="4" t="inlineStr"/>
      <c r="F13" s="4" t="inlineStr">
        <is>
          <t>Coagulum — reason-for-rejection matrix col 1</t>
        </is>
      </c>
    </row>
    <row r="14">
      <c r="A14" s="5" t="inlineStr">
        <is>
          <t>10</t>
        </is>
      </c>
      <c r="B14" s="5" t="inlineStr">
        <is>
          <t>2 (SD)</t>
        </is>
      </c>
      <c r="C14" s="5" t="inlineStr">
        <is>
          <t>defect_count</t>
        </is>
      </c>
      <c r="D14" s="5" t="inlineStr">
        <is>
          <t>integer</t>
        </is>
      </c>
      <c r="E14" s="5" t="inlineStr"/>
      <c r="F14" s="5" t="inlineStr">
        <is>
          <t>Surface Defect — reason-for-rejection matrix col 2</t>
        </is>
      </c>
    </row>
    <row r="15">
      <c r="A15" s="4" t="inlineStr">
        <is>
          <t>11</t>
        </is>
      </c>
      <c r="B15" s="4" t="inlineStr">
        <is>
          <t>3 (TT)</t>
        </is>
      </c>
      <c r="C15" s="4" t="inlineStr">
        <is>
          <t>defect_count</t>
        </is>
      </c>
      <c r="D15" s="4" t="inlineStr">
        <is>
          <t>integer</t>
        </is>
      </c>
      <c r="E15" s="4" t="inlineStr"/>
      <c r="F15" s="4" t="inlineStr">
        <is>
          <t>Thin Tip — reason-for-rejection matrix col 3</t>
        </is>
      </c>
    </row>
    <row r="16">
      <c r="A16" s="5" t="inlineStr">
        <is>
          <t>12</t>
        </is>
      </c>
      <c r="B16" s="5" t="inlineStr">
        <is>
          <t>4 (BL)</t>
        </is>
      </c>
      <c r="C16" s="5" t="inlineStr">
        <is>
          <t>defect_count</t>
        </is>
      </c>
      <c r="D16" s="5" t="inlineStr">
        <is>
          <t>integer</t>
        </is>
      </c>
      <c r="E16" s="5" t="inlineStr"/>
      <c r="F16" s="5" t="inlineStr">
        <is>
          <t>Blister — reason-for-rejection matrix col 4</t>
        </is>
      </c>
    </row>
    <row r="17">
      <c r="A17" s="4" t="inlineStr">
        <is>
          <t>13</t>
        </is>
      </c>
      <c r="B17" s="4" t="inlineStr">
        <is>
          <t>5 (PS)</t>
        </is>
      </c>
      <c r="C17" s="4" t="inlineStr">
        <is>
          <t>defect_count</t>
        </is>
      </c>
      <c r="D17" s="4" t="inlineStr">
        <is>
          <t>integer</t>
        </is>
      </c>
      <c r="E17" s="4" t="inlineStr"/>
      <c r="F17" s="4" t="inlineStr">
        <is>
          <t>Ply Separation — reason-for-rejection matrix col 5</t>
        </is>
      </c>
    </row>
    <row r="18">
      <c r="A18" s="5" t="inlineStr">
        <is>
          <t>14</t>
        </is>
      </c>
      <c r="B18" s="5" t="inlineStr">
        <is>
          <t>6 (SB)</t>
        </is>
      </c>
      <c r="C18" s="5" t="inlineStr">
        <is>
          <t>defect_count</t>
        </is>
      </c>
      <c r="D18" s="5" t="inlineStr">
        <is>
          <t>integer</t>
        </is>
      </c>
      <c r="E18" s="5" t="inlineStr"/>
      <c r="F18" s="5" t="inlineStr">
        <is>
          <t>Step Balloon — reason-for-rejection matrix col 6</t>
        </is>
      </c>
    </row>
    <row r="19">
      <c r="A19" s="4" t="inlineStr">
        <is>
          <t>15</t>
        </is>
      </c>
      <c r="B19" s="4" t="inlineStr">
        <is>
          <t>7 (PW)</t>
        </is>
      </c>
      <c r="C19" s="4" t="inlineStr">
        <is>
          <t>defect_count</t>
        </is>
      </c>
      <c r="D19" s="4" t="inlineStr">
        <is>
          <t>integer</t>
        </is>
      </c>
      <c r="E19" s="4" t="inlineStr"/>
      <c r="F19" s="4" t="inlineStr">
        <is>
          <t>Projected Wire — reason-for-rejection matrix col 7</t>
        </is>
      </c>
    </row>
    <row r="20">
      <c r="A20" s="5" t="inlineStr">
        <is>
          <t>16</t>
        </is>
      </c>
      <c r="B20" s="5" t="inlineStr">
        <is>
          <t>8 (FP)</t>
        </is>
      </c>
      <c r="C20" s="5" t="inlineStr">
        <is>
          <t>defect_count</t>
        </is>
      </c>
      <c r="D20" s="5" t="inlineStr">
        <is>
          <t>integer</t>
        </is>
      </c>
      <c r="E20" s="5" t="inlineStr"/>
      <c r="F20" s="5" t="inlineStr">
        <is>
          <t>Foreign Particle — reason-for-rejection matrix col 8</t>
        </is>
      </c>
    </row>
    <row r="21">
      <c r="A21" s="4" t="inlineStr">
        <is>
          <t>17</t>
        </is>
      </c>
      <c r="B21" s="4" t="inlineStr">
        <is>
          <t>9 (RW)</t>
        </is>
      </c>
      <c r="C21" s="4" t="inlineStr">
        <is>
          <t>defect_count</t>
        </is>
      </c>
      <c r="D21" s="4" t="inlineStr">
        <is>
          <t>integer</t>
        </is>
      </c>
      <c r="E21" s="4" t="inlineStr"/>
      <c r="F21" s="4" t="inlineStr">
        <is>
          <t>Raised Wire — reason-for-rejection matrix col 9</t>
        </is>
      </c>
    </row>
    <row r="22">
      <c r="A22" s="5" t="inlineStr">
        <is>
          <t>18</t>
        </is>
      </c>
      <c r="B22" s="5" t="inlineStr">
        <is>
          <t>10 (BEP)</t>
        </is>
      </c>
      <c r="C22" s="5" t="inlineStr">
        <is>
          <t>defect_count</t>
        </is>
      </c>
      <c r="D22" s="5" t="inlineStr">
        <is>
          <t>integer</t>
        </is>
      </c>
      <c r="E22" s="5" t="inlineStr"/>
      <c r="F22" s="5" t="inlineStr">
        <is>
          <t>Bad Eye Punching — reason-for-rejection matrix col 10</t>
        </is>
      </c>
    </row>
    <row r="23">
      <c r="A23" s="4" t="inlineStr">
        <is>
          <t>19</t>
        </is>
      </c>
      <c r="B23" s="4" t="inlineStr">
        <is>
          <t>11 (DEC)</t>
        </is>
      </c>
      <c r="C23" s="4" t="inlineStr">
        <is>
          <t>defect_count</t>
        </is>
      </c>
      <c r="D23" s="4" t="inlineStr">
        <is>
          <t>integer</t>
        </is>
      </c>
      <c r="E23" s="4" t="inlineStr"/>
      <c r="F23" s="4" t="inlineStr">
        <is>
          <t>Decolorisation — reason-for-rejection matrix col 11</t>
        </is>
      </c>
    </row>
    <row r="24">
      <c r="A24" s="5" t="inlineStr">
        <is>
          <t>20</t>
        </is>
      </c>
      <c r="B24" s="5" t="inlineStr">
        <is>
          <t>12 (BM)</t>
        </is>
      </c>
      <c r="C24" s="5" t="inlineStr">
        <is>
          <t>defect_count</t>
        </is>
      </c>
      <c r="D24" s="5" t="inlineStr">
        <is>
          <t>integer</t>
        </is>
      </c>
      <c r="E24" s="5" t="inlineStr"/>
      <c r="F24" s="5" t="inlineStr">
        <is>
          <t>Black Mark — reason-for-rejection matrix col 12</t>
        </is>
      </c>
    </row>
    <row r="25">
      <c r="A25" s="4" t="inlineStr">
        <is>
          <t>21</t>
        </is>
      </c>
      <c r="B25" s="4" t="inlineStr">
        <is>
          <t>13 (WEB)</t>
        </is>
      </c>
      <c r="C25" s="4" t="inlineStr">
        <is>
          <t>defect_count</t>
        </is>
      </c>
      <c r="D25" s="4" t="inlineStr">
        <is>
          <t>integer</t>
        </is>
      </c>
      <c r="E25" s="4" t="inlineStr"/>
      <c r="F25" s="4" t="inlineStr">
        <is>
          <t>Webbing — reason-for-rejection matrix col 13</t>
        </is>
      </c>
    </row>
    <row r="26">
      <c r="A26" s="5" t="inlineStr">
        <is>
          <t>22</t>
        </is>
      </c>
      <c r="B26" s="5" t="inlineStr">
        <is>
          <t>14 (BT)</t>
        </is>
      </c>
      <c r="C26" s="5" t="inlineStr">
        <is>
          <t>defect_count</t>
        </is>
      </c>
      <c r="D26" s="5" t="inlineStr">
        <is>
          <t>integer</t>
        </is>
      </c>
      <c r="E26" s="5" t="inlineStr"/>
      <c r="F26" s="5" t="inlineStr">
        <is>
          <t>Bad Trimming — reason-for-rejection matrix col 14</t>
        </is>
      </c>
    </row>
    <row r="27">
      <c r="A27" s="4" t="inlineStr">
        <is>
          <t>23</t>
        </is>
      </c>
      <c r="B27" s="4" t="inlineStr">
        <is>
          <t>15 (SF)</t>
        </is>
      </c>
      <c r="C27" s="4" t="inlineStr">
        <is>
          <t>defect_count</t>
        </is>
      </c>
      <c r="D27" s="4" t="inlineStr">
        <is>
          <t>integer</t>
        </is>
      </c>
      <c r="E27" s="4" t="inlineStr"/>
      <c r="F27" s="4" t="inlineStr">
        <is>
          <t>Short Funnel — reason-for-rejection matrix col 15</t>
        </is>
      </c>
    </row>
    <row r="28">
      <c r="A28" s="5" t="inlineStr">
        <is>
          <t>24</t>
        </is>
      </c>
      <c r="B28" s="5" t="inlineStr">
        <is>
          <t>16 (BIC)</t>
        </is>
      </c>
      <c r="C28" s="5" t="inlineStr">
        <is>
          <t>defect_count</t>
        </is>
      </c>
      <c r="D28" s="5" t="inlineStr">
        <is>
          <t>integer</t>
        </is>
      </c>
      <c r="E28" s="5" t="inlineStr"/>
      <c r="F28" s="5" t="inlineStr">
        <is>
          <t>Bend In Catheter — reason-for-rejection matrix col 16</t>
        </is>
      </c>
    </row>
    <row r="29">
      <c r="A29" s="4" t="inlineStr">
        <is>
          <t>25</t>
        </is>
      </c>
      <c r="B29" s="4" t="inlineStr">
        <is>
          <t>17 (WK)</t>
        </is>
      </c>
      <c r="C29" s="4" t="inlineStr">
        <is>
          <t>defect_count</t>
        </is>
      </c>
      <c r="D29" s="4" t="inlineStr">
        <is>
          <t>integer</t>
        </is>
      </c>
      <c r="E29" s="4" t="inlineStr"/>
      <c r="F29" s="4" t="inlineStr">
        <is>
          <t>Wrinkle — reason-for-rejection matrix col 17</t>
        </is>
      </c>
    </row>
    <row r="30">
      <c r="A30" s="5" t="inlineStr">
        <is>
          <t>26</t>
        </is>
      </c>
      <c r="B30" s="5" t="inlineStr">
        <is>
          <t>18 (BMP)</t>
        </is>
      </c>
      <c r="C30" s="5" t="inlineStr">
        <is>
          <t>defect_count</t>
        </is>
      </c>
      <c r="D30" s="5" t="inlineStr">
        <is>
          <t>integer</t>
        </is>
      </c>
      <c r="E30" s="5" t="inlineStr"/>
      <c r="F30" s="5" t="inlineStr">
        <is>
          <t>Bump — reason-for-rejection matrix col 18</t>
        </is>
      </c>
    </row>
    <row r="31">
      <c r="A31" s="4" t="inlineStr">
        <is>
          <t>27</t>
        </is>
      </c>
      <c r="B31" s="4" t="inlineStr">
        <is>
          <t>19 (TF)</t>
        </is>
      </c>
      <c r="C31" s="4" t="inlineStr">
        <is>
          <t>defect_count</t>
        </is>
      </c>
      <c r="D31" s="4" t="inlineStr">
        <is>
          <t>integer</t>
        </is>
      </c>
      <c r="E31" s="4" t="inlineStr"/>
      <c r="F31" s="4" t="inlineStr">
        <is>
          <t>Torn Funnel — reason-for-rejection matrix col 19</t>
        </is>
      </c>
    </row>
    <row r="32">
      <c r="A32" s="5" t="inlineStr">
        <is>
          <t>28</t>
        </is>
      </c>
      <c r="B32" s="5" t="inlineStr">
        <is>
          <t>20 (PH)</t>
        </is>
      </c>
      <c r="C32" s="5" t="inlineStr">
        <is>
          <t>defect_count</t>
        </is>
      </c>
      <c r="D32" s="5" t="inlineStr">
        <is>
          <t>integer</t>
        </is>
      </c>
      <c r="E32" s="5" t="inlineStr"/>
      <c r="F32" s="5" t="inlineStr">
        <is>
          <t>Pin Hole — reason-for-rejection matrix col 20</t>
        </is>
      </c>
    </row>
    <row r="33">
      <c r="A33" s="4" t="inlineStr">
        <is>
          <t>29</t>
        </is>
      </c>
      <c r="B33" s="4" t="inlineStr">
        <is>
          <t>21 (BST)</t>
        </is>
      </c>
      <c r="C33" s="4" t="inlineStr">
        <is>
          <t>defect_count</t>
        </is>
      </c>
      <c r="D33" s="4" t="inlineStr">
        <is>
          <t>integer</t>
        </is>
      </c>
      <c r="E33" s="4" t="inlineStr"/>
      <c r="F33" s="4" t="inlineStr">
        <is>
          <t>Bad Stripping — reason-for-rejection matrix col 21</t>
        </is>
      </c>
    </row>
    <row r="35">
      <c r="A35" s="2" t="inlineStr">
        <is>
          <t>Same 21-column reason matrix as Visual. TOTAL Chk 9302 / Acc 9169 / Rej 133 (1.42%).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HANDWRITTEN DAILY SUMMARY</t>
        </is>
      </c>
    </row>
    <row r="2">
      <c r="A2" s="2" t="inlineStr">
        <is>
          <t>Cross-stage roll-up jotted on a ruled sheet · date 16-Jun-2026</t>
        </is>
      </c>
    </row>
    <row r="4" ht="26" customHeight="1">
      <c r="A4" s="3" t="inlineStr">
        <is>
          <t>#</t>
        </is>
      </c>
      <c r="B4" s="3" t="inlineStr">
        <is>
          <t>Column Header (verbatim)</t>
        </is>
      </c>
      <c r="C4" s="3" t="inlineStr">
        <is>
          <t>Field Role</t>
        </is>
      </c>
      <c r="D4" s="3" t="inlineStr">
        <is>
          <t>Data Type</t>
        </is>
      </c>
      <c r="E4" s="3" t="inlineStr">
        <is>
          <t>Example</t>
        </is>
      </c>
      <c r="F4" s="3" t="inlineStr">
        <is>
          <t>Notes</t>
        </is>
      </c>
    </row>
    <row r="5">
      <c r="A5" s="4" t="inlineStr">
        <is>
          <t>1</t>
        </is>
      </c>
      <c r="B5" s="4" t="inlineStr">
        <is>
          <t>Stage</t>
        </is>
      </c>
      <c r="C5" s="4" t="inlineStr">
        <is>
          <t>stage label</t>
        </is>
      </c>
      <c r="D5" s="4" t="inlineStr">
        <is>
          <t>text</t>
        </is>
      </c>
      <c r="E5" s="4" t="inlineStr">
        <is>
          <t>Visual Inspection</t>
        </is>
      </c>
      <c r="F5" s="4" t="inlineStr">
        <is>
          <t>One row per stage (4) + Total</t>
        </is>
      </c>
    </row>
    <row r="6">
      <c r="A6" s="5" t="inlineStr">
        <is>
          <t>2</t>
        </is>
      </c>
      <c r="B6" s="5" t="inlineStr">
        <is>
          <t>Check Qty</t>
        </is>
      </c>
      <c r="C6" s="5" t="inlineStr">
        <is>
          <t>checked</t>
        </is>
      </c>
      <c r="D6" s="5" t="inlineStr">
        <is>
          <t>integer</t>
        </is>
      </c>
      <c r="E6" s="5" t="inlineStr">
        <is>
          <t>12640</t>
        </is>
      </c>
      <c r="F6" s="5" t="inlineStr">
        <is>
          <t>Units inspected at that stage</t>
        </is>
      </c>
    </row>
    <row r="7">
      <c r="A7" s="4" t="inlineStr">
        <is>
          <t>3</t>
        </is>
      </c>
      <c r="B7" s="4" t="inlineStr">
        <is>
          <t>Act Qty</t>
        </is>
      </c>
      <c r="C7" s="4" t="inlineStr">
        <is>
          <t>accepted</t>
        </is>
      </c>
      <c r="D7" s="4" t="inlineStr">
        <is>
          <t>integer</t>
        </is>
      </c>
      <c r="E7" s="4" t="inlineStr">
        <is>
          <t>11109</t>
        </is>
      </c>
      <c r="F7" s="4" t="inlineStr">
        <is>
          <t>'Actual'/accepted units</t>
        </is>
      </c>
    </row>
    <row r="8">
      <c r="A8" s="5" t="inlineStr">
        <is>
          <t>4</t>
        </is>
      </c>
      <c r="B8" s="5" t="inlineStr">
        <is>
          <t>Rej</t>
        </is>
      </c>
      <c r="C8" s="5" t="inlineStr">
        <is>
          <t>rejected</t>
        </is>
      </c>
      <c r="D8" s="5" t="inlineStr">
        <is>
          <t>integer</t>
        </is>
      </c>
      <c r="E8" s="5" t="inlineStr">
        <is>
          <t>834</t>
        </is>
      </c>
      <c r="F8" s="5" t="inlineStr">
        <is>
          <t>Rejected units</t>
        </is>
      </c>
    </row>
    <row r="9">
      <c r="A9" s="4" t="inlineStr">
        <is>
          <t>5</t>
        </is>
      </c>
      <c r="B9" s="4" t="inlineStr">
        <is>
          <t>%</t>
        </is>
      </c>
      <c r="C9" s="4" t="inlineStr">
        <is>
          <t>derived</t>
        </is>
      </c>
      <c r="D9" s="4" t="inlineStr">
        <is>
          <t>percent</t>
        </is>
      </c>
      <c r="E9" s="4" t="inlineStr">
        <is>
          <t>6.59</t>
        </is>
      </c>
      <c r="F9" s="4" t="inlineStr">
        <is>
          <t>Rej ÷ Check</t>
        </is>
      </c>
    </row>
    <row r="11">
      <c r="A11" s="2" t="inlineStr">
        <is>
          <t>Stage rows: Visual Inspection · Balloon Inflation (= Balloon report) · Balloon Inspection (= Valve Integrity report) · Final checking · Total.</t>
        </is>
      </c>
    </row>
    <row r="12">
      <c r="A12" s="2" t="inlineStr">
        <is>
          <t>Extra notes on sheet: 'Railway packing 5000', 'Packing &lt; 6ft' (dispatch/packing counts — not an inspection stage).</t>
        </is>
      </c>
    </row>
    <row r="13">
      <c r="A13" s="2" t="inlineStr">
        <is>
          <t>Total row (16-Jun): Check 44216 / Act 41960 / Rej 1559 / 13.37% (sum-of-stage %, the client's headline convention).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6" customWidth="1" min="3" max="3"/>
    <col width="16" customWidth="1" min="4" max="4"/>
    <col width="22" customWidth="1" min="5" max="5"/>
  </cols>
  <sheetData>
    <row r="1">
      <c r="A1" s="1" t="inlineStr">
        <is>
          <t>DEFECT CODE LEGEND</t>
        </is>
      </c>
    </row>
    <row r="2">
      <c r="A2" s="2" t="inlineStr">
        <is>
          <t>Reason-for-rejection codes used across the daily log sheets</t>
        </is>
      </c>
    </row>
    <row r="4" ht="26" customHeight="1">
      <c r="A4" s="3" t="inlineStr">
        <is>
          <t>Matrix #</t>
        </is>
      </c>
      <c r="B4" s="3" t="inlineStr">
        <is>
          <t>Code</t>
        </is>
      </c>
      <c r="C4" s="3" t="inlineStr">
        <is>
          <t>Full Name (sheet legend)</t>
        </is>
      </c>
      <c r="D4" s="3" t="inlineStr">
        <is>
          <t>Used on</t>
        </is>
      </c>
      <c r="E4" s="3" t="inlineStr">
        <is>
          <t>App registry code</t>
        </is>
      </c>
    </row>
    <row r="5">
      <c r="A5" s="4" t="inlineStr">
        <is>
          <t>1</t>
        </is>
      </c>
      <c r="B5" s="4" t="inlineStr">
        <is>
          <t>COAG</t>
        </is>
      </c>
      <c r="C5" s="4" t="inlineStr">
        <is>
          <t>Coagulum</t>
        </is>
      </c>
      <c r="D5" s="4" t="inlineStr">
        <is>
          <t>Visual, Final</t>
        </is>
      </c>
      <c r="E5" s="4" t="inlineStr">
        <is>
          <t>COAG</t>
        </is>
      </c>
    </row>
    <row r="6">
      <c r="A6" s="5" t="inlineStr">
        <is>
          <t>2</t>
        </is>
      </c>
      <c r="B6" s="5" t="inlineStr">
        <is>
          <t>SD</t>
        </is>
      </c>
      <c r="C6" s="5" t="inlineStr">
        <is>
          <t>Surface Defect</t>
        </is>
      </c>
      <c r="D6" s="5" t="inlineStr">
        <is>
          <t>Visual, Final</t>
        </is>
      </c>
      <c r="E6" s="5" t="inlineStr">
        <is>
          <t>SD</t>
        </is>
      </c>
    </row>
    <row r="7">
      <c r="A7" s="4" t="inlineStr">
        <is>
          <t>3</t>
        </is>
      </c>
      <c r="B7" s="4" t="inlineStr">
        <is>
          <t>TT</t>
        </is>
      </c>
      <c r="C7" s="4" t="inlineStr">
        <is>
          <t>Thin Tip</t>
        </is>
      </c>
      <c r="D7" s="4" t="inlineStr">
        <is>
          <t>Visual, Final</t>
        </is>
      </c>
      <c r="E7" s="4" t="inlineStr">
        <is>
          <t>THSP</t>
        </is>
      </c>
    </row>
    <row r="8">
      <c r="A8" s="5" t="inlineStr">
        <is>
          <t>4</t>
        </is>
      </c>
      <c r="B8" s="5" t="inlineStr">
        <is>
          <t>BL</t>
        </is>
      </c>
      <c r="C8" s="5" t="inlineStr">
        <is>
          <t>Blister</t>
        </is>
      </c>
      <c r="D8" s="5" t="inlineStr">
        <is>
          <t>Visual, Final</t>
        </is>
      </c>
      <c r="E8" s="5" t="inlineStr">
        <is>
          <t>BUB</t>
        </is>
      </c>
    </row>
    <row r="9">
      <c r="A9" s="4" t="inlineStr">
        <is>
          <t>5</t>
        </is>
      </c>
      <c r="B9" s="4" t="inlineStr">
        <is>
          <t>PS</t>
        </is>
      </c>
      <c r="C9" s="4" t="inlineStr">
        <is>
          <t>Ply Separation</t>
        </is>
      </c>
      <c r="D9" s="4" t="inlineStr">
        <is>
          <t>Visual, Final</t>
        </is>
      </c>
      <c r="E9" s="4" t="inlineStr">
        <is>
          <t>(unmapped — shown verbatim)</t>
        </is>
      </c>
    </row>
    <row r="10">
      <c r="A10" s="5" t="inlineStr">
        <is>
          <t>6</t>
        </is>
      </c>
      <c r="B10" s="5" t="inlineStr">
        <is>
          <t>SB</t>
        </is>
      </c>
      <c r="C10" s="5" t="inlineStr">
        <is>
          <t>Step Balloon</t>
        </is>
      </c>
      <c r="D10" s="5" t="inlineStr">
        <is>
          <t>Visual, Final</t>
        </is>
      </c>
      <c r="E10" s="5" t="inlineStr">
        <is>
          <t>STBL</t>
        </is>
      </c>
    </row>
    <row r="11">
      <c r="A11" s="4" t="inlineStr">
        <is>
          <t>7</t>
        </is>
      </c>
      <c r="B11" s="4" t="inlineStr">
        <is>
          <t>PW</t>
        </is>
      </c>
      <c r="C11" s="4" t="inlineStr">
        <is>
          <t>Projected Wire</t>
        </is>
      </c>
      <c r="D11" s="4" t="inlineStr">
        <is>
          <t>Visual, Final</t>
        </is>
      </c>
      <c r="E11" s="4" t="inlineStr">
        <is>
          <t>(unmapped — shown verbatim)</t>
        </is>
      </c>
    </row>
    <row r="12">
      <c r="A12" s="5" t="inlineStr">
        <is>
          <t>8</t>
        </is>
      </c>
      <c r="B12" s="5" t="inlineStr">
        <is>
          <t>FP</t>
        </is>
      </c>
      <c r="C12" s="5" t="inlineStr">
        <is>
          <t>Foreign Particle</t>
        </is>
      </c>
      <c r="D12" s="5" t="inlineStr">
        <is>
          <t>Visual, Final</t>
        </is>
      </c>
      <c r="E12" s="5" t="inlineStr">
        <is>
          <t>(unmapped — shown verbatim)</t>
        </is>
      </c>
    </row>
    <row r="13">
      <c r="A13" s="4" t="inlineStr">
        <is>
          <t>9</t>
        </is>
      </c>
      <c r="B13" s="4" t="inlineStr">
        <is>
          <t>RW</t>
        </is>
      </c>
      <c r="C13" s="4" t="inlineStr">
        <is>
          <t>Raised Wire</t>
        </is>
      </c>
      <c r="D13" s="4" t="inlineStr">
        <is>
          <t>Visual, Final</t>
        </is>
      </c>
      <c r="E13" s="4" t="inlineStr">
        <is>
          <t>RW</t>
        </is>
      </c>
    </row>
    <row r="14">
      <c r="A14" s="5" t="inlineStr">
        <is>
          <t>10</t>
        </is>
      </c>
      <c r="B14" s="5" t="inlineStr">
        <is>
          <t>BEP</t>
        </is>
      </c>
      <c r="C14" s="5" t="inlineStr">
        <is>
          <t>Bad Eye Punching</t>
        </is>
      </c>
      <c r="D14" s="5" t="inlineStr">
        <is>
          <t>Visual, Final</t>
        </is>
      </c>
      <c r="E14" s="5" t="inlineStr">
        <is>
          <t>(unmapped — shown verbatim)</t>
        </is>
      </c>
    </row>
    <row r="15">
      <c r="A15" s="4" t="inlineStr">
        <is>
          <t>11</t>
        </is>
      </c>
      <c r="B15" s="4" t="inlineStr">
        <is>
          <t>DEC</t>
        </is>
      </c>
      <c r="C15" s="4" t="inlineStr">
        <is>
          <t>Decolorisation</t>
        </is>
      </c>
      <c r="D15" s="4" t="inlineStr">
        <is>
          <t>Visual, Final</t>
        </is>
      </c>
      <c r="E15" s="4" t="inlineStr">
        <is>
          <t>(unmapped — shown verbatim)</t>
        </is>
      </c>
    </row>
    <row r="16">
      <c r="A16" s="5" t="inlineStr">
        <is>
          <t>12</t>
        </is>
      </c>
      <c r="B16" s="5" t="inlineStr">
        <is>
          <t>BM</t>
        </is>
      </c>
      <c r="C16" s="5" t="inlineStr">
        <is>
          <t>Black Mark</t>
        </is>
      </c>
      <c r="D16" s="5" t="inlineStr">
        <is>
          <t>Visual, Final</t>
        </is>
      </c>
      <c r="E16" s="5" t="inlineStr">
        <is>
          <t>BM</t>
        </is>
      </c>
    </row>
    <row r="17">
      <c r="A17" s="4" t="inlineStr">
        <is>
          <t>13</t>
        </is>
      </c>
      <c r="B17" s="4" t="inlineStr">
        <is>
          <t>WEB</t>
        </is>
      </c>
      <c r="C17" s="4" t="inlineStr">
        <is>
          <t>Webbing</t>
        </is>
      </c>
      <c r="D17" s="4" t="inlineStr">
        <is>
          <t>Visual, Final</t>
        </is>
      </c>
      <c r="E17" s="4" t="inlineStr">
        <is>
          <t>WEB</t>
        </is>
      </c>
    </row>
    <row r="18">
      <c r="A18" s="5" t="inlineStr">
        <is>
          <t>14</t>
        </is>
      </c>
      <c r="B18" s="5" t="inlineStr">
        <is>
          <t>BT</t>
        </is>
      </c>
      <c r="C18" s="5" t="inlineStr">
        <is>
          <t>Bad Trimming</t>
        </is>
      </c>
      <c r="D18" s="5" t="inlineStr">
        <is>
          <t>Visual, Final</t>
        </is>
      </c>
      <c r="E18" s="5" t="inlineStr">
        <is>
          <t>(unmapped — shown verbatim)</t>
        </is>
      </c>
    </row>
    <row r="19">
      <c r="A19" s="4" t="inlineStr">
        <is>
          <t>15</t>
        </is>
      </c>
      <c r="B19" s="4" t="inlineStr">
        <is>
          <t>SF</t>
        </is>
      </c>
      <c r="C19" s="4" t="inlineStr">
        <is>
          <t>Short Funnel</t>
        </is>
      </c>
      <c r="D19" s="4" t="inlineStr">
        <is>
          <t>Visual, Final</t>
        </is>
      </c>
      <c r="E19" s="4" t="inlineStr">
        <is>
          <t>(unmapped — shown verbatim)</t>
        </is>
      </c>
    </row>
    <row r="20">
      <c r="A20" s="5" t="inlineStr">
        <is>
          <t>16</t>
        </is>
      </c>
      <c r="B20" s="5" t="inlineStr">
        <is>
          <t>BIC</t>
        </is>
      </c>
      <c r="C20" s="5" t="inlineStr">
        <is>
          <t>Bend In Catheter</t>
        </is>
      </c>
      <c r="D20" s="5" t="inlineStr">
        <is>
          <t>Visual, Final</t>
        </is>
      </c>
      <c r="E20" s="5" t="inlineStr">
        <is>
          <t>(unmapped — shown verbatim)</t>
        </is>
      </c>
    </row>
    <row r="21">
      <c r="A21" s="4" t="inlineStr">
        <is>
          <t>17</t>
        </is>
      </c>
      <c r="B21" s="4" t="inlineStr">
        <is>
          <t>WK</t>
        </is>
      </c>
      <c r="C21" s="4" t="inlineStr">
        <is>
          <t>Wrinkle</t>
        </is>
      </c>
      <c r="D21" s="4" t="inlineStr">
        <is>
          <t>Visual, Final</t>
        </is>
      </c>
      <c r="E21" s="4" t="inlineStr">
        <is>
          <t>(unmapped — shown verbatim)</t>
        </is>
      </c>
    </row>
    <row r="22">
      <c r="A22" s="5" t="inlineStr">
        <is>
          <t>18</t>
        </is>
      </c>
      <c r="B22" s="5" t="inlineStr">
        <is>
          <t>BMP</t>
        </is>
      </c>
      <c r="C22" s="5" t="inlineStr">
        <is>
          <t>Bump</t>
        </is>
      </c>
      <c r="D22" s="5" t="inlineStr">
        <is>
          <t>Visual, Final</t>
        </is>
      </c>
      <c r="E22" s="5" t="inlineStr">
        <is>
          <t>(unmapped — shown verbatim)</t>
        </is>
      </c>
    </row>
    <row r="23">
      <c r="A23" s="4" t="inlineStr">
        <is>
          <t>19</t>
        </is>
      </c>
      <c r="B23" s="4" t="inlineStr">
        <is>
          <t>TF</t>
        </is>
      </c>
      <c r="C23" s="4" t="inlineStr">
        <is>
          <t>Torn Funnel</t>
        </is>
      </c>
      <c r="D23" s="4" t="inlineStr">
        <is>
          <t>Visual, Final</t>
        </is>
      </c>
      <c r="E23" s="4" t="inlineStr">
        <is>
          <t>(unmapped — shown verbatim)</t>
        </is>
      </c>
    </row>
    <row r="24">
      <c r="A24" s="5" t="inlineStr">
        <is>
          <t>20</t>
        </is>
      </c>
      <c r="B24" s="5" t="inlineStr">
        <is>
          <t>PH</t>
        </is>
      </c>
      <c r="C24" s="5" t="inlineStr">
        <is>
          <t>Pin Hole</t>
        </is>
      </c>
      <c r="D24" s="5" t="inlineStr">
        <is>
          <t>Visual, Final</t>
        </is>
      </c>
      <c r="E24" s="5" t="inlineStr">
        <is>
          <t>(unmapped — shown verbatim)</t>
        </is>
      </c>
    </row>
    <row r="25">
      <c r="A25" s="4" t="inlineStr">
        <is>
          <t>21</t>
        </is>
      </c>
      <c r="B25" s="4" t="inlineStr">
        <is>
          <t>BST</t>
        </is>
      </c>
      <c r="C25" s="4" t="inlineStr">
        <is>
          <t>Bad Stripping</t>
        </is>
      </c>
      <c r="D25" s="4" t="inlineStr">
        <is>
          <t>Visual, Final</t>
        </is>
      </c>
      <c r="E25" s="4" t="inlineStr">
        <is>
          <t>(unmapped — shown verbatim)</t>
        </is>
      </c>
    </row>
    <row r="26">
      <c r="A26" s="5" t="inlineStr">
        <is>
          <t>—</t>
        </is>
      </c>
      <c r="B26" s="5" t="inlineStr">
        <is>
          <t>STRUCK BALLOON</t>
        </is>
      </c>
      <c r="C26" s="5" t="inlineStr">
        <is>
          <t>Struck Balloon</t>
        </is>
      </c>
      <c r="D26" s="5" t="inlineStr">
        <is>
          <t>Balloon</t>
        </is>
      </c>
      <c r="E26" s="5" t="inlineStr">
        <is>
          <t>STBL</t>
        </is>
      </c>
    </row>
    <row r="27">
      <c r="A27" s="4" t="inlineStr">
        <is>
          <t>—</t>
        </is>
      </c>
      <c r="B27" s="4" t="inlineStr">
        <is>
          <t>BALLOON BRUST</t>
        </is>
      </c>
      <c r="C27" s="4" t="inlineStr">
        <is>
          <t>Balloon Burst</t>
        </is>
      </c>
      <c r="D27" s="4" t="inlineStr">
        <is>
          <t>Balloon</t>
        </is>
      </c>
      <c r="E27" s="4" t="inlineStr">
        <is>
          <t>BLBR</t>
        </is>
      </c>
    </row>
    <row r="28">
      <c r="A28" s="5" t="inlineStr">
        <is>
          <t>—</t>
        </is>
      </c>
      <c r="B28" s="5" t="inlineStr">
        <is>
          <t>LEAKAGE</t>
        </is>
      </c>
      <c r="C28" s="5" t="inlineStr">
        <is>
          <t>Leakage</t>
        </is>
      </c>
      <c r="D28" s="5" t="inlineStr">
        <is>
          <t>Balloon, Valve</t>
        </is>
      </c>
      <c r="E28" s="5" t="inlineStr">
        <is>
          <t>LEAK</t>
        </is>
      </c>
    </row>
    <row r="29">
      <c r="A29" s="4" t="inlineStr">
        <is>
          <t>—</t>
        </is>
      </c>
      <c r="B29" s="4" t="inlineStr">
        <is>
          <t>90/10</t>
        </is>
      </c>
      <c r="C29" s="4" t="inlineStr">
        <is>
          <t>90/10 ratio</t>
        </is>
      </c>
      <c r="D29" s="4" t="inlineStr">
        <is>
          <t>Valve</t>
        </is>
      </c>
      <c r="E29" s="4" t="inlineStr">
        <is>
          <t>90/10</t>
        </is>
      </c>
    </row>
    <row r="30">
      <c r="A30" s="5" t="inlineStr">
        <is>
          <t>—</t>
        </is>
      </c>
      <c r="B30" s="5" t="inlineStr">
        <is>
          <t>BUBBLE</t>
        </is>
      </c>
      <c r="C30" s="5" t="inlineStr">
        <is>
          <t>Bubble</t>
        </is>
      </c>
      <c r="D30" s="5" t="inlineStr">
        <is>
          <t>Valve</t>
        </is>
      </c>
      <c r="E30" s="5" t="inlineStr">
        <is>
          <t>BUB</t>
        </is>
      </c>
    </row>
    <row r="31">
      <c r="A31" s="4" t="inlineStr">
        <is>
          <t>—</t>
        </is>
      </c>
      <c r="B31" s="4" t="inlineStr">
        <is>
          <t>THIN SPOD</t>
        </is>
      </c>
      <c r="C31" s="4" t="inlineStr">
        <is>
          <t>Thin Spot</t>
        </is>
      </c>
      <c r="D31" s="4" t="inlineStr">
        <is>
          <t>Valve</t>
        </is>
      </c>
      <c r="E31" s="4" t="inlineStr">
        <is>
          <t>THSP</t>
        </is>
      </c>
    </row>
    <row r="32">
      <c r="A32" s="5" t="inlineStr">
        <is>
          <t>—</t>
        </is>
      </c>
      <c r="B32" s="5" t="inlineStr">
        <is>
          <t>OTHERS</t>
        </is>
      </c>
      <c r="C32" s="5" t="inlineStr">
        <is>
          <t>Others</t>
        </is>
      </c>
      <c r="D32" s="5" t="inlineStr">
        <is>
          <t>Balloon, Valve</t>
        </is>
      </c>
      <c r="E32" s="5" t="inlineStr">
        <is>
          <t>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2026-06-20T07:01:34Z</dcterms:created>
  <dcterms:modified xmlns:dcterms="http://purl.org/dc/terms/" xmlns:xsi="http://www.w3.org/2001/XMLSchema-instance" xsi:type="dcterms:W3CDTF">2026-06-20T07:01:34Z</dcterms:modified>
</cp:coreProperties>
</file>