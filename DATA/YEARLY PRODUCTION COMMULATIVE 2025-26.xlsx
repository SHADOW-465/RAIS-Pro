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<sst xmlns="http://schemas.openxmlformats.org/spreadsheetml/2006/main" count="7" uniqueCount="7">
  <si>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YEARLY PRODUCTION COMMULATIVE 2025-26</t>
  </si>
  <si>
    <t>S.NO.</t>
  </si>
  <si>
    <t xml:space="preserve">MONTH </t>
  </si>
  <si>
    <t>PRODUCTION QTY</t>
  </si>
  <si>
    <t>DISPATCH QTY</t>
  </si>
  <si>
    <t>TOTAL REJ</t>
  </si>
  <si>
    <t>REJ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</si>
</sst>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mm\-yy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2" fontId="2" fillId="0" borderId="6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2000" b="1"/>
              <a:t>YEARLY PROD</a:t>
            </a:r>
            <a:r>
              <a:rPr altLang="en-IN" sz="2000" b="1"/>
              <a:t>UCTION</a:t>
            </a:r>
            <a:r>
              <a:rPr lang="en-IN" altLang="en-US" sz="2000" b="1"/>
              <a:t> REPORT</a:t>
            </a:r>
            <a:r>
              <a:rPr altLang="en-IN" sz="2000" b="1"/>
              <a:t> 2025</a:t>
            </a:r>
            <a:r>
              <a:rPr lang="en-IN" altLang="en-US" sz="2000" b="1"/>
              <a:t>-2026</a:t>
            </a:r>
            <a:endParaRPr lang="en-IN" altLang="en-US" sz="2000" b="1"/>
          </a:p>
        </c:rich>
      </c:tx>
      <c:layout/>
      <c:overlay val="0"/>
      <c:spPr>
        <a:solidFill>
          <a:srgbClr val="FFFF00"/>
        </a:solidFill>
        <a:ln>
          <a:solidFill>
            <a:sysClr val="windowText" lastClr="000000"/>
          </a:solidFill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55000">
                  <a:schemeClr val="tx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Sheet1!$B$4:$B$12</c:f>
              <c:numCache>
                <c:formatCode>mmm\-yy</c:formatCode>
                <c:ptCount val="9"/>
                <c:pt idx="0" c:formatCode="mmm\-yy">
                  <c:v>45748</c:v>
                </c:pt>
                <c:pt idx="1" c:formatCode="mmm\-yy">
                  <c:v>45778</c:v>
                </c:pt>
                <c:pt idx="2" c:formatCode="mmm\-yy">
                  <c:v>45809</c:v>
                </c:pt>
                <c:pt idx="3" c:formatCode="mmm\-yy">
                  <c:v>45839</c:v>
                </c:pt>
                <c:pt idx="4" c:formatCode="mmm\-yy">
                  <c:v>45870</c:v>
                </c:pt>
                <c:pt idx="5" c:formatCode="mmm\-yy">
                  <c:v>45901</c:v>
                </c:pt>
                <c:pt idx="6" c:formatCode="mmm\-yy">
                  <c:v>45931</c:v>
                </c:pt>
                <c:pt idx="7" c:formatCode="mmm\-yy">
                  <c:v>45962</c:v>
                </c:pt>
                <c:pt idx="8" c:formatCode="mmm\-yy">
                  <c:v>45992</c:v>
                </c:pt>
              </c:numCache>
            </c:numRef>
          </c:cat>
          <c:val>
            <c:numRef>
              <c:f>Sheet1!$C$4:$C$12</c:f>
              <c:numCache>
                <c:formatCode>General</c:formatCode>
                <c:ptCount val="9"/>
                <c:pt idx="0">
                  <c:v>262380</c:v>
                </c:pt>
                <c:pt idx="1">
                  <c:v>321653</c:v>
                </c:pt>
                <c:pt idx="2">
                  <c:v>363590</c:v>
                </c:pt>
                <c:pt idx="3">
                  <c:v>363422</c:v>
                </c:pt>
                <c:pt idx="4">
                  <c:v>314463</c:v>
                </c:pt>
                <c:pt idx="5">
                  <c:v>365091</c:v>
                </c:pt>
                <c:pt idx="6">
                  <c:v>271158</c:v>
                </c:pt>
                <c:pt idx="7">
                  <c:v>319945</c:v>
                </c:pt>
                <c:pt idx="8">
                  <c:v>381116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39282151"/>
        <c:axId val="824691164"/>
      </c:barChart>
      <c:dateAx>
        <c:axId val="4392821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691164"/>
        <c:crosses val="autoZero"/>
        <c:auto val="1"/>
        <c:lblOffset val="100"/>
        <c:baseTimeUnit val="months"/>
      </c:dateAx>
      <c:valAx>
        <c:axId val="8246911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282151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a979dc-a36c-46c9-b39d-c678a60a1c02}"/>
      </c:ext>
    </c:extLst>
  </c:chart>
  <c:spPr>
    <a:solidFill>
      <a:schemeClr val="lt1">
        <a:lumMod val="96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2400" b="1"/>
              <a:t>YEARLY </a:t>
            </a:r>
            <a:r>
              <a:rPr altLang="en-IN" sz="2400" b="1"/>
              <a:t>DISPATCH REPORT 2025-26</a:t>
            </a:r>
            <a:endParaRPr altLang="en-IN" sz="2400" b="1"/>
          </a:p>
        </c:rich>
      </c:tx>
      <c:layout/>
      <c:overlay val="0"/>
      <c:spPr>
        <a:solidFill>
          <a:srgbClr val="FFFF00"/>
        </a:solidFill>
        <a:ln>
          <a:solidFill>
            <a:sysClr val="windowText" lastClr="000000"/>
          </a:solidFill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6752879808737"/>
          <c:y val="0.143440361911067"/>
          <c:w val="0.876621024414982"/>
          <c:h val="0.674721394681673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Sheet1!$B$4:$B$12</c:f>
              <c:numCache>
                <c:formatCode>mmm\-yy</c:formatCode>
                <c:ptCount val="9"/>
                <c:pt idx="0" c:formatCode="mmm\-yy">
                  <c:v>45748</c:v>
                </c:pt>
                <c:pt idx="1" c:formatCode="mmm\-yy">
                  <c:v>45778</c:v>
                </c:pt>
                <c:pt idx="2" c:formatCode="mmm\-yy">
                  <c:v>45809</c:v>
                </c:pt>
                <c:pt idx="3" c:formatCode="mmm\-yy">
                  <c:v>45839</c:v>
                </c:pt>
                <c:pt idx="4" c:formatCode="mmm\-yy">
                  <c:v>45870</c:v>
                </c:pt>
                <c:pt idx="5" c:formatCode="mmm\-yy">
                  <c:v>45901</c:v>
                </c:pt>
                <c:pt idx="6" c:formatCode="mmm\-yy">
                  <c:v>45931</c:v>
                </c:pt>
                <c:pt idx="7" c:formatCode="mmm\-yy">
                  <c:v>45962</c:v>
                </c:pt>
                <c:pt idx="8" c:formatCode="mmm\-yy">
                  <c:v>45992</c:v>
                </c:pt>
              </c:numCache>
            </c:numRef>
          </c:cat>
          <c:val>
            <c:numRef>
              <c:f>Sheet1!$D$4:$D$12</c:f>
              <c:numCache>
                <c:formatCode>General</c:formatCode>
                <c:ptCount val="9"/>
                <c:pt idx="0">
                  <c:v>21750</c:v>
                </c:pt>
                <c:pt idx="1">
                  <c:v>81500</c:v>
                </c:pt>
                <c:pt idx="2">
                  <c:v>58700</c:v>
                </c:pt>
                <c:pt idx="3">
                  <c:v>169760</c:v>
                </c:pt>
                <c:pt idx="4">
                  <c:v>94350</c:v>
                </c:pt>
                <c:pt idx="5">
                  <c:v>19900</c:v>
                </c:pt>
                <c:pt idx="6">
                  <c:v>242300</c:v>
                </c:pt>
                <c:pt idx="7">
                  <c:v>131100</c:v>
                </c:pt>
                <c:pt idx="8">
                  <c:v>136790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630361057"/>
        <c:axId val="854146794"/>
      </c:barChart>
      <c:dateAx>
        <c:axId val="63036105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20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4146794"/>
        <c:crosses val="autoZero"/>
        <c:auto val="1"/>
        <c:lblOffset val="100"/>
        <c:baseTimeUnit val="months"/>
      </c:dateAx>
      <c:valAx>
        <c:axId val="8541467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20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0361057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20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20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fa57bf-19ce-4b35-9ab5-781214c14db9}"/>
      </c:ext>
    </c:extLst>
  </c:chart>
  <c:spPr>
    <a:solidFill>
      <a:schemeClr val="lt1">
        <a:lumMod val="96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2000" b="1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800" b="1"/>
              <a:t>YEARLY REJ</a:t>
            </a:r>
            <a:r>
              <a:rPr lang="en-IN" altLang="en-US" sz="2800" b="1"/>
              <a:t>ECTION</a:t>
            </a:r>
            <a:r>
              <a:rPr sz="2800" b="1"/>
              <a:t> REPORT IN %</a:t>
            </a:r>
            <a:endParaRPr sz="2800" b="1"/>
          </a:p>
        </c:rich>
      </c:tx>
      <c:layout/>
      <c:overlay val="0"/>
      <c:spPr>
        <a:solidFill>
          <a:srgbClr val="FFFF00"/>
        </a:solidFill>
        <a:ln>
          <a:solidFill>
            <a:sysClr val="windowText" lastClr="000000"/>
          </a:solidFill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28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Sheet1!$B$4:$B$12</c:f>
              <c:numCache>
                <c:formatCode>mmm\-yy</c:formatCode>
                <c:ptCount val="9"/>
                <c:pt idx="0" c:formatCode="mmm\-yy">
                  <c:v>45748</c:v>
                </c:pt>
                <c:pt idx="1" c:formatCode="mmm\-yy">
                  <c:v>45778</c:v>
                </c:pt>
                <c:pt idx="2" c:formatCode="mmm\-yy">
                  <c:v>45809</c:v>
                </c:pt>
                <c:pt idx="3" c:formatCode="mmm\-yy">
                  <c:v>45839</c:v>
                </c:pt>
                <c:pt idx="4" c:formatCode="mmm\-yy">
                  <c:v>45870</c:v>
                </c:pt>
                <c:pt idx="5" c:formatCode="mmm\-yy">
                  <c:v>45901</c:v>
                </c:pt>
                <c:pt idx="6" c:formatCode="mmm\-yy">
                  <c:v>45931</c:v>
                </c:pt>
                <c:pt idx="7" c:formatCode="mmm\-yy">
                  <c:v>45962</c:v>
                </c:pt>
                <c:pt idx="8" c:formatCode="mmm\-yy">
                  <c:v>45992</c:v>
                </c:pt>
              </c:numCache>
            </c:numRef>
          </c:cat>
          <c:val>
            <c:numRef>
              <c:f>Sheet1!$F$4:$F$12</c:f>
              <c:numCache>
                <c:formatCode>0.00</c:formatCode>
                <c:ptCount val="9"/>
                <c:pt idx="0">
                  <c:v>12.6465431816449</c:v>
                </c:pt>
                <c:pt idx="1">
                  <c:v>9.95513799031876</c:v>
                </c:pt>
                <c:pt idx="2">
                  <c:v>8.51343546302154</c:v>
                </c:pt>
                <c:pt idx="3">
                  <c:v>6.74505120768693</c:v>
                </c:pt>
                <c:pt idx="4">
                  <c:v>5.92629339540741</c:v>
                </c:pt>
                <c:pt idx="5">
                  <c:v>8.38530667696547</c:v>
                </c:pt>
                <c:pt idx="6">
                  <c:v>12.0516451662868</c:v>
                </c:pt>
                <c:pt idx="7">
                  <c:v>10.4421072371814</c:v>
                </c:pt>
                <c:pt idx="8">
                  <c:v>19.5638598222064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179166637"/>
        <c:axId val="268248841"/>
      </c:barChart>
      <c:dateAx>
        <c:axId val="17916663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8248841"/>
        <c:crosses val="autoZero"/>
        <c:auto val="1"/>
        <c:lblOffset val="100"/>
        <c:baseTimeUnit val="months"/>
      </c:dateAx>
      <c:valAx>
        <c:axId val="2682488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1666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0511748594493297"/>
          <c:y val="0.95989892331355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04a95e-3c1e-4371-8eee-d6b304b485a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19</xdr:row>
      <xdr:rowOff>46990</xdr:rowOff>
    </xdr:from>
    <xdr:to>
      <xdr:col>5</xdr:col>
      <xdr:colOff>1894840</xdr:colOff>
      <xdr:row>49</xdr:row>
      <xdr:rowOff>93980</xdr:rowOff>
    </xdr:to>
    <xdr:graphicFrame>
      <xdr:nvGraphicFramePr>
        <xdr:cNvPr id="3" name="Chart 2"/>
        <xdr:cNvGraphicFramePr/>
      </xdr:nvGraphicFramePr>
      <xdr:xfrm>
        <a:off x="9525" y="6482715"/>
        <a:ext cx="8532495" cy="5761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207645</xdr:colOff>
      <xdr:row>1</xdr:row>
      <xdr:rowOff>5080</xdr:rowOff>
    </xdr:from>
    <xdr:to>
      <xdr:col>20</xdr:col>
      <xdr:colOff>387350</xdr:colOff>
      <xdr:row>15</xdr:row>
      <xdr:rowOff>74295</xdr:rowOff>
    </xdr:to>
    <xdr:graphicFrame>
      <xdr:nvGraphicFramePr>
        <xdr:cNvPr id="4" name="Chart 3"/>
        <xdr:cNvGraphicFramePr/>
      </xdr:nvGraphicFramePr>
      <xdr:xfrm>
        <a:off x="8836025" y="205105"/>
        <a:ext cx="9021445" cy="5542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168910</xdr:colOff>
      <xdr:row>19</xdr:row>
      <xdr:rowOff>56515</xdr:rowOff>
    </xdr:from>
    <xdr:to>
      <xdr:col>20</xdr:col>
      <xdr:colOff>424815</xdr:colOff>
      <xdr:row>49</xdr:row>
      <xdr:rowOff>74295</xdr:rowOff>
    </xdr:to>
    <xdr:graphicFrame>
      <xdr:nvGraphicFramePr>
        <xdr:cNvPr id="2" name="Chart 1"/>
        <xdr:cNvGraphicFramePr/>
      </xdr:nvGraphicFramePr>
      <xdr:xfrm>
        <a:off x="8797290" y="6492240"/>
        <a:ext cx="9097645" cy="5732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0.244763271162123</cdr:x>
      <cdr:y>0.106789716545814</cdr:y>
    </cdr:from>
    <cdr:to>
      <cdr:x>0.300215208034433</cdr:x>
      <cdr:y>0.193803559657218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166620" y="617220"/>
          <a:ext cx="490855" cy="502920"/>
        </a:xfrm>
        <a:prstGeom xmlns:a="http://schemas.openxmlformats.org/drawingml/2006/main" prst="rect">
          <a:avLst/>
        </a:prstGeom>
        <a:ln>
          <a:noFill/>
        </a:ln>
      </cdr:spPr>
      <cdr:txBody xmlns:a="http://schemas.openxmlformats.org/drawingml/2006/main">
        <a:bodyPr vertOverflow="clip" horzOverflow="clip" wrap="square" rtlCol="0" anchor="t"/>
        <a:p>
          <a:endParaRPr lang="en-IN" altLang="en-US" sz="28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s-pc-146\swami sir share sector 6\ARUN\DAILY DATA ENTRY 2025-26\FGS &amp; DISPATCH\SIZEWISE FGS STOC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SEMBLY%20REJECTION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wami sir share sector 6\DAILY DATA ENTRY 2025-26\MONTHLY PRODUCTION REPORT 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wami sir share sector 6\DAILY DATA ENTRY 2025-26\FGS &amp; DISPATCH\SIZEWISE FGS STOC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wami%20sir%20share%20sector%206/DAILY%20DATA%20ENTRY%202025-26/MONTHLY%20PRODUCTION%20REPORT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wami%20sir%20share%20sector%206/DAILY%20DATA%20ENTRY%202025-26/FGS%20&amp;%20DISPATCH/PENDING%20&amp;%20DISPATCH%20ORDER%20STATUS-2025-2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wami%20sir%20share%20sector%206/DAILY%20DATA%20ENTRY%202025-26/FGS%20&amp;%20DISPATCH/SIZEWISE%20FGS%20STOC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RIL 25"/>
      <sheetName val="APRIL25 PRIMARY OUTPUT"/>
      <sheetName val="MAY 25"/>
      <sheetName val="MAY25 PRIMARY OUTPUT"/>
      <sheetName val="JUNE 25"/>
      <sheetName val="JUNE 25 PRIMARY OUTPUT"/>
      <sheetName val="JULY 25"/>
      <sheetName val="JULY 25 PRIMARY OUTPUT"/>
    </sheetNames>
    <sheetDataSet>
      <sheetData sheetId="0"/>
      <sheetData sheetId="1">
        <row r="37">
          <cell r="F37">
            <v>21750</v>
          </cell>
        </row>
      </sheetData>
      <sheetData sheetId="2"/>
      <sheetData sheetId="3">
        <row r="36">
          <cell r="E36">
            <v>81500</v>
          </cell>
        </row>
      </sheetData>
      <sheetData sheetId="4"/>
      <sheetData sheetId="5">
        <row r="35">
          <cell r="E35">
            <v>58700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PRIL 25"/>
      <sheetName val="MAY 25"/>
      <sheetName val="JUNE 25"/>
      <sheetName val="JULY 25"/>
      <sheetName val="AUGUST 25"/>
      <sheetName val="SEPTEMBER 25"/>
      <sheetName val="OCTOBER 25"/>
      <sheetName val="NOVEMBER 25"/>
      <sheetName val="DECEMBER 25"/>
      <sheetName val="JANUARY 26"/>
      <sheetName val="YEARLY 2025-26"/>
    </sheetNames>
    <sheetDataSet>
      <sheetData sheetId="0">
        <row r="41">
          <cell r="P41">
            <v>33182</v>
          </cell>
        </row>
      </sheetData>
      <sheetData sheetId="1">
        <row r="42">
          <cell r="P42">
            <v>32021</v>
          </cell>
        </row>
      </sheetData>
      <sheetData sheetId="2">
        <row r="41">
          <cell r="P41">
            <v>30954</v>
          </cell>
        </row>
      </sheetData>
      <sheetData sheetId="3">
        <row r="42">
          <cell r="P42">
            <v>24513</v>
          </cell>
        </row>
      </sheetData>
      <sheetData sheetId="4">
        <row r="42">
          <cell r="P42">
            <v>18636</v>
          </cell>
        </row>
      </sheetData>
      <sheetData sheetId="5">
        <row r="41">
          <cell r="P41">
            <v>30614</v>
          </cell>
        </row>
      </sheetData>
      <sheetData sheetId="6">
        <row r="42">
          <cell r="P42">
            <v>32679</v>
          </cell>
        </row>
      </sheetData>
      <sheetData sheetId="7">
        <row r="41">
          <cell r="T41">
            <v>33409</v>
          </cell>
        </row>
      </sheetData>
      <sheetData sheetId="8">
        <row r="42">
          <cell r="T42">
            <v>74561</v>
          </cell>
        </row>
      </sheetData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PRIL 25"/>
      <sheetName val="MAY 25"/>
      <sheetName val="JUNE 25"/>
      <sheetName val="JULY 25"/>
      <sheetName val="AUGUST 25"/>
      <sheetName val="SEPTEMBER 25"/>
      <sheetName val="OCTOBER 25"/>
      <sheetName val="SILICON"/>
      <sheetName val="YEAR 2025-26"/>
      <sheetName val="YEARLY REJ 2025-26"/>
      <sheetName val="PRODUCTION QTY 2025-26"/>
    </sheetNames>
    <sheetDataSet>
      <sheetData sheetId="0" refreshError="1">
        <row r="30">
          <cell r="AD30">
            <v>262380</v>
          </cell>
        </row>
      </sheetData>
      <sheetData sheetId="1" refreshError="1">
        <row r="35">
          <cell r="AC35">
            <v>321653</v>
          </cell>
        </row>
      </sheetData>
      <sheetData sheetId="2" refreshError="1">
        <row r="35">
          <cell r="AD35">
            <v>363590</v>
          </cell>
        </row>
      </sheetData>
      <sheetData sheetId="3" refreshError="1">
        <row r="41">
          <cell r="AD41">
            <v>363422</v>
          </cell>
        </row>
      </sheetData>
      <sheetData sheetId="4" refreshError="1">
        <row r="41">
          <cell r="AD41">
            <v>314463</v>
          </cell>
        </row>
      </sheetData>
      <sheetData sheetId="5" refreshError="1">
        <row r="43">
          <cell r="N43">
            <v>365091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PRIL 25"/>
      <sheetName val="APRIL25 PRIMARY OUTPUT"/>
      <sheetName val="MAY 25"/>
      <sheetName val="MAY25 PRIMARY OUTPUT"/>
      <sheetName val="JUNE 25"/>
      <sheetName val="JUNE 25 PRIMARY OUTPUT"/>
      <sheetName val="JULY 25"/>
      <sheetName val="JULY 25 PRIMARY OUTPUT"/>
      <sheetName val="AUGUST 25"/>
      <sheetName val="AUGUST 25 PRIMARY OUTPUT"/>
      <sheetName val="SEPTEMBER 25"/>
      <sheetName val="SEPTEMBER 25 PRIMARY OUTPUT"/>
      <sheetName val="OCTOBER 25"/>
      <sheetName val="OCTOBER 25 PRIMARY OUT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F34">
            <v>169760</v>
          </cell>
        </row>
      </sheetData>
      <sheetData sheetId="8"/>
      <sheetData sheetId="9">
        <row r="34">
          <cell r="F34">
            <v>94350</v>
          </cell>
        </row>
      </sheetData>
      <sheetData sheetId="10"/>
      <sheetData sheetId="11">
        <row r="35">
          <cell r="F35">
            <v>19900</v>
          </cell>
        </row>
      </sheetData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PRIL 25"/>
      <sheetName val="MAY 25"/>
      <sheetName val="JUNE 25"/>
      <sheetName val="JULY 25"/>
      <sheetName val="AUGUST 25"/>
      <sheetName val="SEPTEMBER 25"/>
      <sheetName val="OCTOBER 25"/>
      <sheetName val="NOVEMBER 25"/>
      <sheetName val="DECEMBER 25"/>
      <sheetName val="JANUARY 26"/>
      <sheetName val="SILICON"/>
      <sheetName val="YEAR 2025-26"/>
      <sheetName val="YEARLY REJ 2025-26"/>
      <sheetName val="PRODUCTION QTY 2025-26"/>
    </sheetNames>
    <sheetDataSet>
      <sheetData sheetId="0"/>
      <sheetData sheetId="1"/>
      <sheetData sheetId="2"/>
      <sheetData sheetId="3"/>
      <sheetData sheetId="4"/>
      <sheetData sheetId="5"/>
      <sheetData sheetId="6">
        <row r="44">
          <cell r="N44">
            <v>271158</v>
          </cell>
        </row>
      </sheetData>
      <sheetData sheetId="7">
        <row r="43">
          <cell r="N43">
            <v>319945</v>
          </cell>
        </row>
      </sheetData>
      <sheetData sheetId="8">
        <row r="44">
          <cell r="N44">
            <v>381116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ispatch Plan"/>
      <sheetName val="CHART"/>
    </sheetNames>
    <sheetDataSet>
      <sheetData sheetId="0">
        <row r="65">
          <cell r="AM65">
            <v>242300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PRIL 25"/>
      <sheetName val="APRIL25 PRIMARY OUTPUT"/>
      <sheetName val="MAY 25"/>
      <sheetName val="MAY25 PRIMARY OUTPUT"/>
      <sheetName val="JUNE 25"/>
      <sheetName val="JUNE 25 PRIMARY OUTPUT"/>
      <sheetName val="JULY 25"/>
      <sheetName val="JULY 25 PRIMARY OUTPUT"/>
      <sheetName val="AUGUST 25"/>
      <sheetName val="AUGUST 25 PRIMARY OUTPUT"/>
      <sheetName val="SEPTEMBER 25"/>
      <sheetName val="SEPTEMBER 25 PRIMARY OUTPUT"/>
      <sheetName val="OCTOBER 25"/>
      <sheetName val="OCTOBER 25 PRIMARY OUTPUT"/>
      <sheetName val="NOVEMBER 25"/>
      <sheetName val="NOVEMBER 25 PRIMARY OUTPUT"/>
      <sheetName val="DECEMBER 25"/>
      <sheetName val="DECEMBER 25 PRIMARY OUTPUT"/>
      <sheetName val="JANUARY 25"/>
      <sheetName val="JANUARY 25 PRIMARY OUT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3">
          <cell r="E33">
            <v>131100</v>
          </cell>
        </row>
      </sheetData>
      <sheetData sheetId="16"/>
      <sheetData sheetId="17">
        <row r="34">
          <cell r="E34">
            <v>136790</v>
          </cell>
        </row>
      </sheetData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tabSelected="1" view="pageLayout" zoomScale="70" zoomScaleNormal="100" topLeftCell="A16" workbookViewId="0">
      <selection activeCell="G19" sqref="G19:U50"/>
    </sheetView>
  </sheetViews>
  <sheetFormatPr defaultColWidth="9" defaultRowHeight="15" outlineLevelCol="5"/>
  <cols>
    <col min="2" max="2" width="27.5238095238095" customWidth="1"/>
    <col min="3" max="3" width="21.1142857142857" customWidth="1"/>
    <col min="4" max="4" width="20.4857142857143" customWidth="1"/>
    <col min="5" max="5" width="21.5714285714286" customWidth="1"/>
    <col min="6" max="6" width="29.7142857142857" customWidth="1"/>
    <col min="7" max="7" width="5.77142857142857" customWidth="1"/>
    <col min="19" max="19" width="13.7238095238095" customWidth="1"/>
    <col min="20" max="20" width="14.1142857142857" customWidth="1"/>
  </cols>
  <sheetData>
    <row r="1" ht="15.75"/>
    <row r="2" ht="33" customHeight="1" spans="1:6">
      <c r="A2" s="1" t="s">
        <v>0</v>
      </c>
      <c r="B2" s="2"/>
      <c r="C2" s="2"/>
      <c r="D2" s="2"/>
      <c r="E2" s="2"/>
      <c r="F2" s="3"/>
    </row>
    <row r="3" ht="38" customHeight="1" spans="1:6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</row>
    <row r="4" ht="30" customHeight="1" spans="1:6">
      <c r="A4" s="7">
        <v>1</v>
      </c>
      <c r="B4" s="8">
        <v>45748</v>
      </c>
      <c r="C4" s="9">
        <f>'[3]APRIL 25'!$AD$30</f>
        <v>262380</v>
      </c>
      <c r="D4" s="9">
        <f>'[1]APRIL25 PRIMARY OUTPUT'!$F$37</f>
        <v>21750</v>
      </c>
      <c r="E4" s="9">
        <f>'[2]APRIL 25'!$P$41</f>
        <v>33182</v>
      </c>
      <c r="F4" s="10">
        <f t="shared" ref="F4:F15" si="0">E4/C4*100</f>
        <v>12.6465431816449</v>
      </c>
    </row>
    <row r="5" ht="30" customHeight="1" spans="1:6">
      <c r="A5" s="7">
        <v>2</v>
      </c>
      <c r="B5" s="8">
        <v>45778</v>
      </c>
      <c r="C5" s="9">
        <f>'[3]MAY 25'!$AC$35</f>
        <v>321653</v>
      </c>
      <c r="D5" s="9">
        <f>'[1]MAY25 PRIMARY OUTPUT'!$E$36</f>
        <v>81500</v>
      </c>
      <c r="E5" s="9">
        <f>'[2]MAY 25'!$P$42</f>
        <v>32021</v>
      </c>
      <c r="F5" s="10">
        <f t="shared" si="0"/>
        <v>9.95513799031876</v>
      </c>
    </row>
    <row r="6" ht="30" customHeight="1" spans="1:6">
      <c r="A6" s="7">
        <v>3</v>
      </c>
      <c r="B6" s="8">
        <v>45809</v>
      </c>
      <c r="C6" s="9">
        <f>'[3]JUNE 25'!$AD$35</f>
        <v>363590</v>
      </c>
      <c r="D6" s="9">
        <f>'[1]JUNE 25 PRIMARY OUTPUT'!$E$35</f>
        <v>58700</v>
      </c>
      <c r="E6" s="9">
        <f>'[2]JUNE 25'!$P$41</f>
        <v>30954</v>
      </c>
      <c r="F6" s="10">
        <f t="shared" si="0"/>
        <v>8.51343546302154</v>
      </c>
    </row>
    <row r="7" ht="30" customHeight="1" spans="1:6">
      <c r="A7" s="11">
        <v>4</v>
      </c>
      <c r="B7" s="12">
        <v>45839</v>
      </c>
      <c r="C7" s="13">
        <f>'[3]JULY 25'!$AD$41</f>
        <v>363422</v>
      </c>
      <c r="D7" s="13">
        <f>'[4]JULY 25 PRIMARY OUTPUT'!$F$34</f>
        <v>169760</v>
      </c>
      <c r="E7" s="9">
        <f>'[2]JULY 25'!$P$42</f>
        <v>24513</v>
      </c>
      <c r="F7" s="14">
        <f t="shared" si="0"/>
        <v>6.74505120768693</v>
      </c>
    </row>
    <row r="8" ht="30" customHeight="1" spans="1:6">
      <c r="A8" s="7">
        <v>5</v>
      </c>
      <c r="B8" s="12">
        <v>45870</v>
      </c>
      <c r="C8" s="13">
        <f>'[3]AUGUST 25'!$AD$41</f>
        <v>314463</v>
      </c>
      <c r="D8" s="13">
        <f>'[4]AUGUST 25 PRIMARY OUTPUT'!$F$34</f>
        <v>94350</v>
      </c>
      <c r="E8" s="13">
        <f>'[2]AUGUST 25'!$P$42</f>
        <v>18636</v>
      </c>
      <c r="F8" s="14">
        <f t="shared" si="0"/>
        <v>5.92629339540741</v>
      </c>
    </row>
    <row r="9" ht="30" customHeight="1" spans="1:6">
      <c r="A9" s="7">
        <v>6</v>
      </c>
      <c r="B9" s="8">
        <v>45901</v>
      </c>
      <c r="C9" s="13">
        <f>'[3]SEPTEMBER 25'!$N$43</f>
        <v>365091</v>
      </c>
      <c r="D9" s="13">
        <f>'[4]SEPTEMBER 25 PRIMARY OUTPUT'!$F$35</f>
        <v>19900</v>
      </c>
      <c r="E9" s="13">
        <f>'[2]SEPTEMBER 25'!$P$41</f>
        <v>30614</v>
      </c>
      <c r="F9" s="10">
        <f t="shared" si="0"/>
        <v>8.38530667696547</v>
      </c>
    </row>
    <row r="10" ht="30" customHeight="1" spans="1:6">
      <c r="A10" s="7">
        <v>7</v>
      </c>
      <c r="B10" s="8">
        <v>45931</v>
      </c>
      <c r="C10" s="9">
        <f>'[5]OCTOBER 25'!$N$44</f>
        <v>271158</v>
      </c>
      <c r="D10" s="9">
        <f>'[6]Dispatch Plan'!$AM$65</f>
        <v>242300</v>
      </c>
      <c r="E10" s="9">
        <f>'[2]OCTOBER 25'!$P$42</f>
        <v>32679</v>
      </c>
      <c r="F10" s="10">
        <f t="shared" si="0"/>
        <v>12.0516451662868</v>
      </c>
    </row>
    <row r="11" ht="30" customHeight="1" spans="1:6">
      <c r="A11" s="7">
        <v>8</v>
      </c>
      <c r="B11" s="8">
        <v>45962</v>
      </c>
      <c r="C11" s="9">
        <f>'[5]NOVEMBER 25'!$N$43</f>
        <v>319945</v>
      </c>
      <c r="D11" s="9">
        <f>'[7]NOVEMBER 25 PRIMARY OUTPUT'!$E$33</f>
        <v>131100</v>
      </c>
      <c r="E11" s="9">
        <f>'[2]NOVEMBER 25'!$T$41</f>
        <v>33409</v>
      </c>
      <c r="F11" s="10">
        <f t="shared" si="0"/>
        <v>10.4421072371814</v>
      </c>
    </row>
    <row r="12" ht="30" customHeight="1" spans="1:6">
      <c r="A12" s="7">
        <v>9</v>
      </c>
      <c r="B12" s="8">
        <v>45992</v>
      </c>
      <c r="C12" s="9">
        <f>'[5]DECEMBER 25'!$N$44</f>
        <v>381116</v>
      </c>
      <c r="D12" s="9">
        <f>'[7]DECEMBER 25 PRIMARY OUTPUT'!$E$34</f>
        <v>136790</v>
      </c>
      <c r="E12" s="9">
        <f>'[2]DECEMBER 25'!$T$42</f>
        <v>74561</v>
      </c>
      <c r="F12" s="10">
        <f t="shared" si="0"/>
        <v>19.5638598222064</v>
      </c>
    </row>
    <row r="13" ht="30" customHeight="1" spans="1:6">
      <c r="A13" s="7">
        <v>10</v>
      </c>
      <c r="B13" s="8">
        <v>45658</v>
      </c>
      <c r="C13" s="9"/>
      <c r="D13" s="9"/>
      <c r="E13" s="9"/>
      <c r="F13" s="10" t="e">
        <f t="shared" si="0"/>
        <v>#DIV/0!</v>
      </c>
    </row>
    <row r="14" ht="30" customHeight="1" spans="1:6">
      <c r="A14" s="7">
        <v>11</v>
      </c>
      <c r="B14" s="8">
        <v>45689</v>
      </c>
      <c r="C14" s="9"/>
      <c r="D14" s="9"/>
      <c r="E14" s="9"/>
      <c r="F14" s="10" t="e">
        <f t="shared" si="0"/>
        <v>#DIV/0!</v>
      </c>
    </row>
    <row r="15" ht="30" customHeight="1" spans="1:6">
      <c r="A15" s="15">
        <v>12</v>
      </c>
      <c r="B15" s="16">
        <v>45717</v>
      </c>
      <c r="C15" s="17"/>
      <c r="D15" s="17"/>
      <c r="E15" s="17"/>
      <c r="F15" s="18" t="e">
        <f t="shared" si="0"/>
        <v>#DIV/0!</v>
      </c>
    </row>
  </sheetData>
  <mergeCells count="1">
    <mergeCell ref="A2:F2"/>
  </mergeCells>
  <pageMargins left="0.393055555555556" right="0.251388888888889" top="1.25972222222222" bottom="0.113888888888889" header="0.432638888888889" footer="0.0388888888888889"/>
  <pageSetup paperSize="9" scale="51" fitToHeight="0" orientation="landscape" horizontalDpi="600"/>
  <headerFooter>
    <oddHeader>&amp;L&amp;10&amp;G&amp;C&amp;"times New Roman"&amp;12&amp;BDISPOSAFE HEALTH AND LIFE CARE LIMITED
Plot No.37A, Sector-06, Ballabgarh (Faridabad) Haryana India 121006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PC-134</cp:lastModifiedBy>
  <dcterms:created xsi:type="dcterms:W3CDTF">2025-07-03T07:31:00Z</dcterms:created>
  <dcterms:modified xsi:type="dcterms:W3CDTF">2026-01-06T05:52:55Z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4374F74EF9CE4D80BDFCD1CF0AFE1599_12</vt:lpwstr>
  </property>
  <property fmtid="{D5CDD505-2E9C-101B-9397-08002B2CF9AE}" pid="3" name="KSOProductBuildVer">
    <vt:lpwstr>1033-12.2.0.21179</vt:lpwstr>
  </property>
</Properties>
</file>