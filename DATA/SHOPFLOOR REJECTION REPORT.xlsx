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activeTab="9"/>
  </bookViews>
  <sheets>
    <sheet name="APRIL 25" sheetId="6" r:id="rId1"/>
    <sheet name="MAY 25" sheetId="10" r:id="rId2"/>
    <sheet name="JUNE 25" sheetId="11" r:id="rId3"/>
    <sheet name="JULY 25" sheetId="12" r:id="rId4"/>
    <sheet name="AUGUST 25" sheetId="13" r:id="rId5"/>
    <sheet name="SEPTEMBER 25" sheetId="14" r:id="rId6"/>
    <sheet name="OCTOBER 25" sheetId="15" r:id="rId7"/>
    <sheet name="NOVEMBER 25" sheetId="16" r:id="rId8"/>
    <sheet name="DECEMBER 25" sheetId="17" r:id="rId9"/>
    <sheet name="JANUARY 26" sheetId="18" r:id="rId10"/>
    <sheet name="YEARLY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<sst xmlns="http://schemas.openxmlformats.org/spreadsheetml/2006/main" count="197" uniqueCount="60">
  <si>
    <t>MONTHLY SHOP FLOOR REJECTION REPORT</t>
  </si>
  <si>
    <t>MONTH: APRIL 25</t>
  </si>
  <si>
    <t>DATE</t>
  </si>
  <si>
    <t>No of TROLLEYS</t>
  </si>
  <si>
    <t>COAG</t>
  </si>
  <si>
    <t>Raised Wire</t>
  </si>
  <si>
    <t>Surface Defect</t>
  </si>
  <si>
    <t>Overlaping</t>
  </si>
  <si>
    <t>Black Mark</t>
  </si>
  <si>
    <t>Webbing</t>
  </si>
  <si>
    <t>Missing Formers</t>
  </si>
  <si>
    <t>Others</t>
  </si>
  <si>
    <t>Total</t>
  </si>
  <si>
    <t>TOTAL</t>
  </si>
  <si>
    <t>MONTHLY PRODUCTION SHOP FLOOR REJECTION REPORT</t>
  </si>
  <si>
    <t>MONTH: MAY 25</t>
  </si>
  <si>
    <t>Missing formers</t>
  </si>
  <si>
    <t>SUNDAY</t>
  </si>
  <si>
    <t>MONTHLY PRODUCTION SHOP FLOOR REJECTION REPORT
MONTH - JUNE 2025-26</t>
  </si>
  <si>
    <t>missing formers</t>
  </si>
  <si>
    <t>MONTH: JULY 25</t>
  </si>
  <si>
    <t>missing former</t>
  </si>
  <si>
    <t>MONTH: AUGUST 25</t>
  </si>
  <si>
    <t>HOLIDAY</t>
  </si>
  <si>
    <t>MONTH: SEPTEMBER 25</t>
  </si>
  <si>
    <t>MONTH: OCTOBER 25</t>
  </si>
  <si>
    <t>VIJAYA DASHMI</t>
  </si>
  <si>
    <t>01</t>
  </si>
  <si>
    <t>HAPPY DIWALI</t>
  </si>
  <si>
    <t>MONTH: NOVEMBER 25</t>
  </si>
  <si>
    <t>MONTH: DECEMBER 25</t>
  </si>
  <si>
    <t>MONTH: JANUARY 2026</t>
  </si>
  <si>
    <t>DISPOSAFE HEALTH AND LIFE CARE LIMITED
Plot No.37A, Sector-06, Ballabgarh (Faridabad) Haryana India 121006</t>
  </si>
  <si>
    <t>Doc. No.            :</t>
  </si>
  <si>
    <t>Supersedes        :</t>
  </si>
  <si>
    <t>Effective Date   :</t>
  </si>
  <si>
    <t>UNIT-01 (DEPARTMENT-DIPPING)</t>
  </si>
  <si>
    <t>Page 1 of 1</t>
  </si>
  <si>
    <t>YEARLY PRODUCTION SHOP FLOOR REJECTION REPORT</t>
  </si>
  <si>
    <t>YEAR: 2025-26</t>
  </si>
  <si>
    <t>DATE:</t>
  </si>
  <si>
    <t>MONTH</t>
  </si>
  <si>
    <t>APRIL 25</t>
  </si>
  <si>
    <t>MAY 25</t>
  </si>
  <si>
    <t>JUNE 25</t>
  </si>
  <si>
    <t>JULY 25</t>
  </si>
  <si>
    <t>AUGUST 25</t>
  </si>
  <si>
    <t>SEPTEMBER 25</t>
  </si>
  <si>
    <t>OCTOBER 25</t>
  </si>
  <si>
    <t>NOVEMBER 25</t>
  </si>
  <si>
    <t>DECEMBER 25</t>
  </si>
  <si>
    <t>JANUARY 26</t>
  </si>
  <si>
    <t>FEBRUARY 26</t>
  </si>
  <si>
    <t>MARCH 26</t>
  </si>
  <si>
    <t>RW</t>
  </si>
  <si>
    <t>SD</t>
  </si>
  <si>
    <t>OG</t>
  </si>
  <si>
    <t>BM</t>
  </si>
  <si>
    <t>OTHERS</t>
  </si>
  <si>
    <t>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</si>
</sst>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Arial Black"/>
      <charset val="134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Arial Black"/>
      <charset val="134"/>
    </font>
    <font>
      <b/>
      <sz val="9"/>
      <color theme="1"/>
      <name val="Arial Black"/>
      <charset val="134"/>
    </font>
    <font>
      <b/>
      <sz val="8"/>
      <color theme="1"/>
      <name val="Arial Black"/>
      <charset val="134"/>
    </font>
    <font>
      <b/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9DEFF"/>
        <bgColor indexed="64"/>
      </patternFill>
    </fill>
    <fill>
      <patternFill patternType="solid">
        <fgColor rgb="FF65FFF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BFF91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00B0F0"/>
        </stop>
      </gradientFill>
    </fill>
    <fill>
      <patternFill patternType="solid">
        <fgColor rgb="FFFFB7B7"/>
        <bgColor indexed="64"/>
      </patternFill>
    </fill>
    <fill>
      <gradientFill degree="90">
        <stop position="0">
          <color theme="0"/>
        </stop>
        <stop position="1">
          <color rgb="FF59ECCE"/>
        </stop>
      </gradient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2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4" borderId="31" applyNumberFormat="0" applyAlignment="0" applyProtection="0">
      <alignment vertical="center"/>
    </xf>
    <xf numFmtId="0" fontId="26" fillId="15" borderId="32" applyNumberFormat="0" applyAlignment="0" applyProtection="0">
      <alignment vertical="center"/>
    </xf>
    <xf numFmtId="0" fontId="27" fillId="15" borderId="31" applyNumberFormat="0" applyAlignment="0" applyProtection="0">
      <alignment vertical="center"/>
    </xf>
    <xf numFmtId="0" fontId="28" fillId="16" borderId="33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</cellStyleXfs>
  <cellXfs count="186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distributed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NumberFormat="1"/>
    <xf numFmtId="0" fontId="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58" fontId="12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 wrapText="1"/>
    </xf>
    <xf numFmtId="58" fontId="12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1" xfId="0" applyNumberFormat="1" applyFont="1" applyFill="1" applyBorder="1" applyAlignment="1">
      <alignment horizontal="center" vertical="center"/>
    </xf>
    <xf numFmtId="0" fontId="0" fillId="0" borderId="1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0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58" fontId="12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0" borderId="1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58" fontId="0" fillId="0" borderId="0" xfId="0" applyNumberFormat="1" applyAlignment="1">
      <alignment vertical="center"/>
    </xf>
    <xf numFmtId="0" fontId="0" fillId="0" borderId="10" xfId="0" applyNumberFormat="1" applyFont="1" applyBorder="1" applyAlignment="1">
      <alignment horizontal="center" vertical="center" wrapText="1"/>
    </xf>
    <xf numFmtId="0" fontId="0" fillId="2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 applyAlignment="1">
      <alignment horizontal="center" vertical="center" wrapText="1"/>
    </xf>
    <xf numFmtId="0" fontId="0" fillId="0" borderId="12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14" fillId="2" borderId="1" xfId="0" applyNumberFormat="1" applyFont="1" applyFill="1" applyBorder="1" applyAlignment="1">
      <alignment horizontal="center" vertical="center"/>
    </xf>
    <xf numFmtId="0" fontId="0" fillId="2" borderId="12" xfId="0" applyNumberFormat="1" applyFont="1" applyFill="1" applyBorder="1" applyAlignment="1">
      <alignment horizontal="center" vertical="center"/>
    </xf>
    <xf numFmtId="0" fontId="8" fillId="2" borderId="10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Fill="1" applyBorder="1" applyAlignment="1">
      <alignment horizontal="center" vertical="center"/>
    </xf>
    <xf numFmtId="58" fontId="12" fillId="4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58" fontId="12" fillId="5" borderId="1" xfId="0" applyNumberFormat="1" applyFont="1" applyFill="1" applyBorder="1" applyAlignment="1">
      <alignment horizontal="center" vertical="center"/>
    </xf>
    <xf numFmtId="0" fontId="15" fillId="5" borderId="1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58" fontId="12" fillId="0" borderId="16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 wrapText="1"/>
    </xf>
    <xf numFmtId="58" fontId="12" fillId="0" borderId="16" xfId="0" applyNumberFormat="1" applyFont="1" applyFill="1" applyBorder="1" applyAlignment="1">
      <alignment horizontal="center" vertical="center"/>
    </xf>
    <xf numFmtId="58" fontId="12" fillId="2" borderId="16" xfId="0" applyNumberFormat="1" applyFont="1" applyFill="1" applyBorder="1" applyAlignment="1">
      <alignment horizontal="center" vertical="center"/>
    </xf>
    <xf numFmtId="0" fontId="12" fillId="2" borderId="11" xfId="0" applyNumberFormat="1" applyFont="1" applyFill="1" applyBorder="1" applyAlignment="1">
      <alignment horizontal="center" vertical="center"/>
    </xf>
    <xf numFmtId="0" fontId="12" fillId="2" borderId="11" xfId="0" applyNumberFormat="1" applyFont="1" applyFill="1" applyBorder="1" applyAlignment="1">
      <alignment horizontal="center" vertical="center" wrapText="1"/>
    </xf>
    <xf numFmtId="0" fontId="8" fillId="0" borderId="11" xfId="0" applyNumberFormat="1" applyFont="1" applyFill="1" applyBorder="1" applyAlignment="1">
      <alignment horizontal="center" vertical="center"/>
    </xf>
    <xf numFmtId="0" fontId="8" fillId="0" borderId="11" xfId="0" applyNumberFormat="1" applyFont="1" applyFill="1" applyBorder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8" fillId="0" borderId="12" xfId="0" applyNumberFormat="1" applyFont="1" applyFill="1" applyBorder="1" applyAlignment="1">
      <alignment horizontal="center" vertical="center"/>
    </xf>
    <xf numFmtId="0" fontId="0" fillId="2" borderId="11" xfId="0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NumberFormat="1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2" fillId="0" borderId="21" xfId="0" applyNumberFormat="1" applyFont="1" applyBorder="1" applyAlignment="1">
      <alignment horizontal="center" vertical="center"/>
    </xf>
    <xf numFmtId="0" fontId="2" fillId="0" borderId="21" xfId="0" applyNumberFormat="1" applyFont="1" applyFill="1" applyBorder="1" applyAlignment="1">
      <alignment horizontal="center" vertical="center"/>
    </xf>
    <xf numFmtId="0" fontId="12" fillId="2" borderId="12" xfId="0" applyNumberFormat="1" applyFont="1" applyFill="1" applyBorder="1" applyAlignment="1">
      <alignment horizontal="center" vertical="center" wrapText="1"/>
    </xf>
    <xf numFmtId="0" fontId="2" fillId="2" borderId="12" xfId="0" applyNumberFormat="1" applyFont="1" applyFill="1" applyBorder="1" applyAlignment="1">
      <alignment horizontal="center" vertical="center" wrapText="1"/>
    </xf>
    <xf numFmtId="0" fontId="0" fillId="2" borderId="21" xfId="0" applyNumberFormat="1" applyFill="1" applyBorder="1" applyAlignment="1">
      <alignment horizontal="center" vertical="center"/>
    </xf>
    <xf numFmtId="0" fontId="8" fillId="0" borderId="12" xfId="0" applyNumberFormat="1" applyFont="1" applyFill="1" applyBorder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21" xfId="0" applyNumberFormat="1" applyFill="1" applyBorder="1" applyAlignment="1">
      <alignment horizontal="center" vertical="center"/>
    </xf>
    <xf numFmtId="0" fontId="0" fillId="0" borderId="22" xfId="0" applyNumberFormat="1" applyFill="1" applyBorder="1" applyAlignment="1">
      <alignment horizontal="center" vertical="center"/>
    </xf>
    <xf numFmtId="0" fontId="0" fillId="2" borderId="22" xfId="0" applyNumberForma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11" xfId="0" applyNumberFormat="1" applyFont="1" applyBorder="1" applyAlignment="1">
      <alignment horizontal="center" vertical="center"/>
    </xf>
    <xf numFmtId="0" fontId="12" fillId="0" borderId="11" xfId="0" applyNumberFormat="1" applyFont="1" applyBorder="1" applyAlignment="1">
      <alignment horizontal="center" vertical="center" wrapText="1"/>
    </xf>
    <xf numFmtId="58" fontId="12" fillId="6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2" fillId="6" borderId="2" xfId="0" applyNumberFormat="1" applyFont="1" applyFill="1" applyBorder="1" applyAlignment="1">
      <alignment horizontal="center" vertical="center"/>
    </xf>
    <xf numFmtId="0" fontId="2" fillId="6" borderId="3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1" xfId="0" applyNumberFormat="1" applyFont="1" applyBorder="1" applyAlignment="1">
      <alignment horizontal="center" vertical="center"/>
    </xf>
    <xf numFmtId="0" fontId="12" fillId="0" borderId="12" xfId="0" applyNumberFormat="1" applyFont="1" applyBorder="1" applyAlignment="1">
      <alignment horizontal="center" vertical="center"/>
    </xf>
    <xf numFmtId="0" fontId="0" fillId="0" borderId="12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center" vertical="center" wrapText="1"/>
    </xf>
    <xf numFmtId="0" fontId="12" fillId="2" borderId="10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horizontal="center" vertical="center" wrapText="1"/>
    </xf>
    <xf numFmtId="0" fontId="12" fillId="0" borderId="12" xfId="0" applyNumberFormat="1" applyFont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center" vertical="center" wrapText="1"/>
    </xf>
    <xf numFmtId="0" fontId="0" fillId="2" borderId="11" xfId="0" applyNumberForma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6" borderId="4" xfId="0" applyNumberFormat="1" applyFon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 wrapText="1"/>
    </xf>
    <xf numFmtId="0" fontId="9" fillId="7" borderId="25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58" fontId="12" fillId="9" borderId="16" xfId="0" applyNumberFormat="1" applyFont="1" applyFill="1" applyBorder="1" applyAlignment="1">
      <alignment vertical="center"/>
    </xf>
    <xf numFmtId="0" fontId="2" fillId="9" borderId="1" xfId="0" applyNumberFormat="1" applyFont="1" applyFill="1" applyBorder="1" applyAlignment="1">
      <alignment horizontal="center" vertical="center"/>
    </xf>
    <xf numFmtId="58" fontId="12" fillId="9" borderId="16" xfId="0" applyNumberFormat="1" applyFont="1" applyFill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NumberFormat="1" applyFont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2" fillId="9" borderId="2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8" fillId="0" borderId="11" xfId="0" applyNumberFormat="1" applyFont="1" applyBorder="1" applyAlignment="1">
      <alignment horizontal="center" vertical="center" wrapText="1"/>
    </xf>
    <xf numFmtId="0" fontId="8" fillId="0" borderId="12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1" fillId="10" borderId="21" xfId="0" applyFont="1" applyFill="1" applyBorder="1" applyAlignment="1">
      <alignment horizontal="center" vertical="center" wrapText="1"/>
    </xf>
    <xf numFmtId="0" fontId="0" fillId="0" borderId="12" xfId="0" applyNumberFormat="1" applyFont="1" applyBorder="1" applyAlignment="1">
      <alignment horizontal="center" vertical="center" wrapText="1"/>
    </xf>
    <xf numFmtId="0" fontId="2" fillId="0" borderId="27" xfId="0" applyNumberFormat="1" applyFont="1" applyBorder="1" applyAlignment="1">
      <alignment horizontal="center" vertical="center"/>
    </xf>
    <xf numFmtId="0" fontId="2" fillId="0" borderId="2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59ECCE"/>
      <color rgb="00FFB7B7"/>
      <color rgb="00A569DD"/>
      <color rgb="008BFF91"/>
      <color rgb="0069DEFF"/>
      <color rgb="0065FFFA"/>
      <color rgb="001552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SHOPFLOOR DATEWISE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'APRIL 25'!$A$4:$A$29</c:f>
              <c:numCache>
                <c:formatCode>dd/mm/yyyy</c:formatCode>
                <c:ptCount val="26"/>
                <c:pt idx="0" c:formatCode="dd/mm/yyyy">
                  <c:v>45748</c:v>
                </c:pt>
                <c:pt idx="1" c:formatCode="dd/mm/yyyy">
                  <c:v>45749</c:v>
                </c:pt>
                <c:pt idx="2" c:formatCode="dd/mm/yyyy">
                  <c:v>45750</c:v>
                </c:pt>
                <c:pt idx="3" c:formatCode="dd/mm/yyyy">
                  <c:v>45751</c:v>
                </c:pt>
                <c:pt idx="4" c:formatCode="dd/mm/yyyy">
                  <c:v>45752</c:v>
                </c:pt>
                <c:pt idx="5" c:formatCode="dd/mm/yyyy">
                  <c:v>45754</c:v>
                </c:pt>
                <c:pt idx="6" c:formatCode="dd/mm/yyyy">
                  <c:v>45755</c:v>
                </c:pt>
                <c:pt idx="7" c:formatCode="dd/mm/yyyy">
                  <c:v>45756</c:v>
                </c:pt>
                <c:pt idx="8" c:formatCode="dd/mm/yyyy">
                  <c:v>45757</c:v>
                </c:pt>
                <c:pt idx="9" c:formatCode="dd/mm/yyyy">
                  <c:v>45758</c:v>
                </c:pt>
                <c:pt idx="10" c:formatCode="dd/mm/yyyy">
                  <c:v>45759</c:v>
                </c:pt>
                <c:pt idx="11" c:formatCode="dd/mm/yyyy">
                  <c:v>45761</c:v>
                </c:pt>
                <c:pt idx="12" c:formatCode="dd/mm/yyyy">
                  <c:v>45762</c:v>
                </c:pt>
                <c:pt idx="13" c:formatCode="dd/mm/yyyy">
                  <c:v>45763</c:v>
                </c:pt>
                <c:pt idx="14" c:formatCode="dd/mm/yyyy">
                  <c:v>45764</c:v>
                </c:pt>
                <c:pt idx="15" c:formatCode="dd/mm/yyyy">
                  <c:v>45765</c:v>
                </c:pt>
                <c:pt idx="16" c:formatCode="dd/mm/yyyy">
                  <c:v>45766</c:v>
                </c:pt>
                <c:pt idx="17" c:formatCode="dd/mm/yyyy">
                  <c:v>45768</c:v>
                </c:pt>
                <c:pt idx="18" c:formatCode="dd/mm/yyyy">
                  <c:v>45769</c:v>
                </c:pt>
                <c:pt idx="19" c:formatCode="dd/mm/yyyy">
                  <c:v>45770</c:v>
                </c:pt>
                <c:pt idx="20" c:formatCode="dd/mm/yyyy">
                  <c:v>45771</c:v>
                </c:pt>
                <c:pt idx="21" c:formatCode="dd/mm/yyyy">
                  <c:v>45772</c:v>
                </c:pt>
                <c:pt idx="22" c:formatCode="dd/mm/yyyy">
                  <c:v>45773</c:v>
                </c:pt>
                <c:pt idx="23" c:formatCode="dd/mm/yyyy">
                  <c:v>45775</c:v>
                </c:pt>
                <c:pt idx="24" c:formatCode="dd/mm/yyyy">
                  <c:v>45776</c:v>
                </c:pt>
                <c:pt idx="25" c:formatCode="dd/mm/yyyy">
                  <c:v>45777</c:v>
                </c:pt>
              </c:numCache>
            </c:numRef>
          </c:cat>
          <c:val>
            <c:numRef>
              <c:f>'APRIL 25'!$K$4:$K$29</c:f>
              <c:numCache>
                <c:formatCode>General</c:formatCode>
                <c:ptCount val="26"/>
                <c:pt idx="0">
                  <c:v>26</c:v>
                </c:pt>
                <c:pt idx="1">
                  <c:v>71</c:v>
                </c:pt>
                <c:pt idx="2">
                  <c:v>51</c:v>
                </c:pt>
                <c:pt idx="3">
                  <c:v>65</c:v>
                </c:pt>
                <c:pt idx="4">
                  <c:v>62</c:v>
                </c:pt>
                <c:pt idx="5">
                  <c:v>46</c:v>
                </c:pt>
                <c:pt idx="6">
                  <c:v>46</c:v>
                </c:pt>
                <c:pt idx="7">
                  <c:v>106</c:v>
                </c:pt>
                <c:pt idx="8">
                  <c:v>89</c:v>
                </c:pt>
                <c:pt idx="9">
                  <c:v>82</c:v>
                </c:pt>
                <c:pt idx="10">
                  <c:v>71</c:v>
                </c:pt>
                <c:pt idx="11">
                  <c:v>73</c:v>
                </c:pt>
                <c:pt idx="12">
                  <c:v>53</c:v>
                </c:pt>
                <c:pt idx="13">
                  <c:v>47</c:v>
                </c:pt>
                <c:pt idx="14">
                  <c:v>49</c:v>
                </c:pt>
                <c:pt idx="15">
                  <c:v>53</c:v>
                </c:pt>
                <c:pt idx="16">
                  <c:v>58</c:v>
                </c:pt>
                <c:pt idx="17">
                  <c:v>63</c:v>
                </c:pt>
                <c:pt idx="18">
                  <c:v>56</c:v>
                </c:pt>
                <c:pt idx="19">
                  <c:v>28</c:v>
                </c:pt>
                <c:pt idx="20">
                  <c:v>50</c:v>
                </c:pt>
                <c:pt idx="21">
                  <c:v>41</c:v>
                </c:pt>
                <c:pt idx="22">
                  <c:v>40</c:v>
                </c:pt>
                <c:pt idx="23">
                  <c:v>67</c:v>
                </c:pt>
                <c:pt idx="24">
                  <c:v>97</c:v>
                </c:pt>
                <c:pt idx="25">
                  <c:v>136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7808662"/>
        <c:axId val="899747992"/>
      </c:barChart>
      <c:dateAx>
        <c:axId val="9878086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DATE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47992"/>
        <c:crosses val="autoZero"/>
        <c:auto val="1"/>
        <c:lblOffset val="100"/>
        <c:baseTimeUnit val="days"/>
      </c:dateAx>
      <c:valAx>
        <c:axId val="89974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REJECTION QTY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808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baf41c-368f-4e8a-bc60-9fd5ebaf72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'APRIL 25'!$B$3:$K$3</c:f>
              <c:strCache>
                <c:ptCount val="10"/>
                <c:pt idx="0">
                  <c:v>No of TROLLEYS</c:v>
                </c:pt>
                <c:pt idx="1">
                  <c:v>COAG</c:v>
                </c:pt>
                <c:pt idx="2">
                  <c:v>Raised Wire</c:v>
                </c:pt>
                <c:pt idx="3">
                  <c:v>Surface Defect</c:v>
                </c:pt>
                <c:pt idx="4">
                  <c:v>Overlaping</c:v>
                </c:pt>
                <c:pt idx="5">
                  <c:v>Black Mark</c:v>
                </c:pt>
                <c:pt idx="6">
                  <c:v>Webbing</c:v>
                </c:pt>
                <c:pt idx="7">
                  <c:v>Missing Formers</c:v>
                </c:pt>
                <c:pt idx="8">
                  <c:v>Others</c:v>
                </c:pt>
                <c:pt idx="9">
                  <c:v>Total</c:v>
                </c:pt>
              </c:strCache>
            </c:strRef>
          </c:cat>
          <c:val>
            <c:numRef>
              <c:f>'APRIL 25'!$B$30:$K$30</c:f>
              <c:numCache>
                <c:formatCode>General</c:formatCode>
                <c:ptCount val="10"/>
                <c:pt idx="0">
                  <c:v>1562</c:v>
                </c:pt>
                <c:pt idx="1">
                  <c:v>258</c:v>
                </c:pt>
                <c:pt idx="2">
                  <c:v>487</c:v>
                </c:pt>
                <c:pt idx="3">
                  <c:v>312</c:v>
                </c:pt>
                <c:pt idx="4">
                  <c:v>350</c:v>
                </c:pt>
                <c:pt idx="5">
                  <c:v>51</c:v>
                </c:pt>
                <c:pt idx="6">
                  <c:v>14</c:v>
                </c:pt>
                <c:pt idx="7">
                  <c:v>76</c:v>
                </c:pt>
                <c:pt idx="8">
                  <c:v>78</c:v>
                </c:pt>
                <c:pt idx="9">
                  <c:v>1550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02957161"/>
        <c:axId val="59459349"/>
      </c:barChart>
      <c:catAx>
        <c:axId val="4029571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9349"/>
        <c:crosses val="autoZero"/>
        <c:auto val="1"/>
        <c:lblAlgn val="ctr"/>
        <c:lblOffset val="100"/>
        <c:noMultiLvlLbl val="0"/>
      </c:catAx>
      <c:valAx>
        <c:axId val="594593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957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dff2ef-0fa6-4ad0-9d56-80aa6c9095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SHOPFLOOR DATEWISE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'MAY 25'!$A$4:$A$34</c:f>
              <c:numCache>
                <c:formatCode>dd/mm/yyyy</c:formatCode>
                <c:ptCount val="31"/>
                <c:pt idx="0" c:formatCode="dd/mm/yyyy">
                  <c:v>45778</c:v>
                </c:pt>
                <c:pt idx="1" c:formatCode="dd/mm/yyyy">
                  <c:v>45779</c:v>
                </c:pt>
                <c:pt idx="2" c:formatCode="dd/mm/yyyy">
                  <c:v>45780</c:v>
                </c:pt>
                <c:pt idx="3" c:formatCode="dd/mm/yyyy">
                  <c:v>45781</c:v>
                </c:pt>
                <c:pt idx="4" c:formatCode="dd/mm/yyyy">
                  <c:v>45782</c:v>
                </c:pt>
                <c:pt idx="5" c:formatCode="dd/mm/yyyy">
                  <c:v>45783</c:v>
                </c:pt>
                <c:pt idx="6" c:formatCode="dd/mm/yyyy">
                  <c:v>45784</c:v>
                </c:pt>
                <c:pt idx="7" c:formatCode="dd/mm/yyyy">
                  <c:v>45785</c:v>
                </c:pt>
                <c:pt idx="8" c:formatCode="dd/mm/yyyy">
                  <c:v>45786</c:v>
                </c:pt>
                <c:pt idx="9" c:formatCode="dd/mm/yyyy">
                  <c:v>45787</c:v>
                </c:pt>
                <c:pt idx="10" c:formatCode="dd/mm/yyyy">
                  <c:v>45788</c:v>
                </c:pt>
                <c:pt idx="11" c:formatCode="dd/mm/yyyy">
                  <c:v>45789</c:v>
                </c:pt>
                <c:pt idx="12" c:formatCode="dd/mm/yyyy">
                  <c:v>45790</c:v>
                </c:pt>
                <c:pt idx="13" c:formatCode="dd/mm/yyyy">
                  <c:v>45791</c:v>
                </c:pt>
                <c:pt idx="14" c:formatCode="dd/mm/yyyy">
                  <c:v>45792</c:v>
                </c:pt>
                <c:pt idx="15" c:formatCode="dd/mm/yyyy">
                  <c:v>45793</c:v>
                </c:pt>
                <c:pt idx="16" c:formatCode="dd/mm/yyyy">
                  <c:v>45794</c:v>
                </c:pt>
                <c:pt idx="17" c:formatCode="dd/mm/yyyy">
                  <c:v>45795</c:v>
                </c:pt>
                <c:pt idx="18" c:formatCode="dd/mm/yyyy">
                  <c:v>45796</c:v>
                </c:pt>
                <c:pt idx="19" c:formatCode="dd/mm/yyyy">
                  <c:v>45797</c:v>
                </c:pt>
                <c:pt idx="20" c:formatCode="dd/mm/yyyy">
                  <c:v>45798</c:v>
                </c:pt>
                <c:pt idx="21" c:formatCode="dd/mm/yyyy">
                  <c:v>45799</c:v>
                </c:pt>
                <c:pt idx="22" c:formatCode="dd/mm/yyyy">
                  <c:v>45800</c:v>
                </c:pt>
                <c:pt idx="23" c:formatCode="dd/mm/yyyy">
                  <c:v>45801</c:v>
                </c:pt>
                <c:pt idx="24" c:formatCode="dd/mm/yyyy">
                  <c:v>45802</c:v>
                </c:pt>
                <c:pt idx="25" c:formatCode="dd/mm/yyyy">
                  <c:v>45803</c:v>
                </c:pt>
                <c:pt idx="26" c:formatCode="dd/mm/yyyy">
                  <c:v>45804</c:v>
                </c:pt>
                <c:pt idx="27" c:formatCode="dd/mm/yyyy">
                  <c:v>45805</c:v>
                </c:pt>
                <c:pt idx="28" c:formatCode="dd/mm/yyyy">
                  <c:v>45806</c:v>
                </c:pt>
                <c:pt idx="29" c:formatCode="dd/mm/yyyy">
                  <c:v>45807</c:v>
                </c:pt>
                <c:pt idx="30" c:formatCode="dd/mm/yyyy">
                  <c:v>45808</c:v>
                </c:pt>
              </c:numCache>
            </c:numRef>
          </c:cat>
          <c:val>
            <c:numRef>
              <c:f>'MAY 25'!$K$4:$K$34</c:f>
              <c:numCache>
                <c:formatCode>General</c:formatCode>
                <c:ptCount val="31"/>
                <c:pt idx="0">
                  <c:v>74</c:v>
                </c:pt>
                <c:pt idx="1">
                  <c:v>0</c:v>
                </c:pt>
                <c:pt idx="2">
                  <c:v>45</c:v>
                </c:pt>
                <c:pt idx="4">
                  <c:v>95</c:v>
                </c:pt>
                <c:pt idx="5">
                  <c:v>59</c:v>
                </c:pt>
                <c:pt idx="6">
                  <c:v>70</c:v>
                </c:pt>
                <c:pt idx="7">
                  <c:v>78</c:v>
                </c:pt>
                <c:pt idx="8">
                  <c:v>56</c:v>
                </c:pt>
                <c:pt idx="9">
                  <c:v>101</c:v>
                </c:pt>
                <c:pt idx="11">
                  <c:v>114</c:v>
                </c:pt>
                <c:pt idx="12">
                  <c:v>67</c:v>
                </c:pt>
                <c:pt idx="13">
                  <c:v>74</c:v>
                </c:pt>
                <c:pt idx="14">
                  <c:v>99</c:v>
                </c:pt>
                <c:pt idx="15">
                  <c:v>67</c:v>
                </c:pt>
                <c:pt idx="16">
                  <c:v>104</c:v>
                </c:pt>
                <c:pt idx="18">
                  <c:v>98</c:v>
                </c:pt>
                <c:pt idx="19">
                  <c:v>96</c:v>
                </c:pt>
                <c:pt idx="20">
                  <c:v>132</c:v>
                </c:pt>
                <c:pt idx="21">
                  <c:v>98</c:v>
                </c:pt>
                <c:pt idx="22">
                  <c:v>115</c:v>
                </c:pt>
                <c:pt idx="23">
                  <c:v>91</c:v>
                </c:pt>
                <c:pt idx="25">
                  <c:v>111</c:v>
                </c:pt>
                <c:pt idx="26">
                  <c:v>123</c:v>
                </c:pt>
                <c:pt idx="27">
                  <c:v>128</c:v>
                </c:pt>
                <c:pt idx="28">
                  <c:v>110</c:v>
                </c:pt>
                <c:pt idx="29">
                  <c:v>118</c:v>
                </c:pt>
                <c:pt idx="30">
                  <c:v>123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7808662"/>
        <c:axId val="899747992"/>
      </c:barChart>
      <c:dateAx>
        <c:axId val="9878086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DATE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47992"/>
        <c:crosses val="autoZero"/>
        <c:auto val="1"/>
        <c:lblOffset val="100"/>
        <c:baseTimeUnit val="days"/>
      </c:dateAx>
      <c:valAx>
        <c:axId val="89974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REJECTION QTY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808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88c034-94d0-4c01-9534-bb9fa556eb2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'MAY 25'!$B$3:$K$3</c:f>
              <c:strCache>
                <c:ptCount val="10"/>
                <c:pt idx="0">
                  <c:v>No of TROLLEYS</c:v>
                </c:pt>
                <c:pt idx="1">
                  <c:v>COAG</c:v>
                </c:pt>
                <c:pt idx="2">
                  <c:v>Raised Wire</c:v>
                </c:pt>
                <c:pt idx="3">
                  <c:v>Surface Defect</c:v>
                </c:pt>
                <c:pt idx="4">
                  <c:v>Overlaping</c:v>
                </c:pt>
                <c:pt idx="5">
                  <c:v>Black Mark</c:v>
                </c:pt>
                <c:pt idx="6">
                  <c:v>Webbing</c:v>
                </c:pt>
                <c:pt idx="7">
                  <c:v>Missing formers</c:v>
                </c:pt>
                <c:pt idx="8">
                  <c:v>Others</c:v>
                </c:pt>
                <c:pt idx="9">
                  <c:v>Total</c:v>
                </c:pt>
              </c:strCache>
            </c:strRef>
          </c:cat>
          <c:val>
            <c:numRef>
              <c:f>'MAY 25'!$B$35:$K$35</c:f>
              <c:numCache>
                <c:formatCode>General</c:formatCode>
                <c:ptCount val="10"/>
                <c:pt idx="0">
                  <c:v>2346</c:v>
                </c:pt>
                <c:pt idx="1">
                  <c:v>313</c:v>
                </c:pt>
                <c:pt idx="2">
                  <c:v>327</c:v>
                </c:pt>
                <c:pt idx="3">
                  <c:v>558</c:v>
                </c:pt>
                <c:pt idx="4">
                  <c:v>729</c:v>
                </c:pt>
                <c:pt idx="5">
                  <c:v>97</c:v>
                </c:pt>
                <c:pt idx="6">
                  <c:v>40</c:v>
                </c:pt>
                <c:pt idx="7">
                  <c:v>159</c:v>
                </c:pt>
                <c:pt idx="8">
                  <c:v>0</c:v>
                </c:pt>
                <c:pt idx="9">
                  <c:v>2223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02957161"/>
        <c:axId val="59459349"/>
      </c:barChart>
      <c:catAx>
        <c:axId val="4029571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9349"/>
        <c:crosses val="autoZero"/>
        <c:auto val="1"/>
        <c:lblAlgn val="ctr"/>
        <c:lblOffset val="100"/>
        <c:noMultiLvlLbl val="0"/>
      </c:catAx>
      <c:valAx>
        <c:axId val="594593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957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b43db6-a648-49a4-bcae-e5d2590009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SHOPFLOOR DATEWISE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'JUNE 25'!$A$4:$A$33</c:f>
              <c:numCache>
                <c:formatCode>dd/mm/yyyy</c:formatCode>
                <c:ptCount val="30"/>
                <c:pt idx="0" c:formatCode="dd/mm/yyyy">
                  <c:v>45809</c:v>
                </c:pt>
                <c:pt idx="1" c:formatCode="dd/mm/yyyy">
                  <c:v>45810</c:v>
                </c:pt>
                <c:pt idx="2" c:formatCode="dd/mm/yyyy">
                  <c:v>45811</c:v>
                </c:pt>
                <c:pt idx="3" c:formatCode="dd/mm/yyyy">
                  <c:v>45812</c:v>
                </c:pt>
                <c:pt idx="4" c:formatCode="dd/mm/yyyy">
                  <c:v>45813</c:v>
                </c:pt>
                <c:pt idx="5" c:formatCode="dd/mm/yyyy">
                  <c:v>45814</c:v>
                </c:pt>
                <c:pt idx="6" c:formatCode="dd/mm/yyyy">
                  <c:v>45815</c:v>
                </c:pt>
                <c:pt idx="7" c:formatCode="dd/mm/yyyy">
                  <c:v>45816</c:v>
                </c:pt>
                <c:pt idx="8" c:formatCode="dd/mm/yyyy">
                  <c:v>45817</c:v>
                </c:pt>
                <c:pt idx="9" c:formatCode="dd/mm/yyyy">
                  <c:v>45818</c:v>
                </c:pt>
                <c:pt idx="10" c:formatCode="dd/mm/yyyy">
                  <c:v>45819</c:v>
                </c:pt>
                <c:pt idx="11" c:formatCode="dd/mm/yyyy">
                  <c:v>45820</c:v>
                </c:pt>
                <c:pt idx="12" c:formatCode="dd/mm/yyyy">
                  <c:v>45821</c:v>
                </c:pt>
                <c:pt idx="13" c:formatCode="dd/mm/yyyy">
                  <c:v>45822</c:v>
                </c:pt>
                <c:pt idx="14" c:formatCode="dd/mm/yyyy">
                  <c:v>45823</c:v>
                </c:pt>
                <c:pt idx="15" c:formatCode="dd/mm/yyyy">
                  <c:v>45824</c:v>
                </c:pt>
                <c:pt idx="16" c:formatCode="dd/mm/yyyy">
                  <c:v>45825</c:v>
                </c:pt>
                <c:pt idx="17" c:formatCode="dd/mm/yyyy">
                  <c:v>45826</c:v>
                </c:pt>
                <c:pt idx="18" c:formatCode="dd/mm/yyyy">
                  <c:v>45827</c:v>
                </c:pt>
                <c:pt idx="19" c:formatCode="dd/mm/yyyy">
                  <c:v>45828</c:v>
                </c:pt>
                <c:pt idx="20" c:formatCode="dd/mm/yyyy">
                  <c:v>45829</c:v>
                </c:pt>
                <c:pt idx="21" c:formatCode="dd/mm/yyyy">
                  <c:v>45830</c:v>
                </c:pt>
                <c:pt idx="22" c:formatCode="dd/mm/yyyy">
                  <c:v>45831</c:v>
                </c:pt>
                <c:pt idx="23" c:formatCode="dd/mm/yyyy">
                  <c:v>45832</c:v>
                </c:pt>
                <c:pt idx="24" c:formatCode="dd/mm/yyyy">
                  <c:v>45833</c:v>
                </c:pt>
                <c:pt idx="25" c:formatCode="dd/mm/yyyy">
                  <c:v>45834</c:v>
                </c:pt>
                <c:pt idx="26" c:formatCode="dd/mm/yyyy">
                  <c:v>45835</c:v>
                </c:pt>
                <c:pt idx="27" c:formatCode="dd/mm/yyyy">
                  <c:v>45836</c:v>
                </c:pt>
                <c:pt idx="28" c:formatCode="dd/mm/yyyy">
                  <c:v>45837</c:v>
                </c:pt>
                <c:pt idx="29" c:formatCode="dd/mm/yyyy">
                  <c:v>45838</c:v>
                </c:pt>
              </c:numCache>
            </c:numRef>
          </c:cat>
          <c:val>
            <c:numRef>
              <c:f>'JUNE 25'!$K$4:$K$33</c:f>
              <c:numCache>
                <c:formatCode>General</c:formatCode>
                <c:ptCount val="30"/>
                <c:pt idx="1">
                  <c:v>160</c:v>
                </c:pt>
                <c:pt idx="2">
                  <c:v>264</c:v>
                </c:pt>
                <c:pt idx="3">
                  <c:v>180</c:v>
                </c:pt>
                <c:pt idx="4">
                  <c:v>205</c:v>
                </c:pt>
                <c:pt idx="5">
                  <c:v>200</c:v>
                </c:pt>
                <c:pt idx="6">
                  <c:v>179</c:v>
                </c:pt>
                <c:pt idx="8">
                  <c:v>165</c:v>
                </c:pt>
                <c:pt idx="9">
                  <c:v>151</c:v>
                </c:pt>
                <c:pt idx="10">
                  <c:v>281</c:v>
                </c:pt>
                <c:pt idx="11">
                  <c:v>147</c:v>
                </c:pt>
                <c:pt idx="12">
                  <c:v>151</c:v>
                </c:pt>
                <c:pt idx="13">
                  <c:v>124</c:v>
                </c:pt>
                <c:pt idx="15">
                  <c:v>143</c:v>
                </c:pt>
                <c:pt idx="16">
                  <c:v>183</c:v>
                </c:pt>
                <c:pt idx="17">
                  <c:v>159</c:v>
                </c:pt>
                <c:pt idx="18">
                  <c:v>134</c:v>
                </c:pt>
                <c:pt idx="19">
                  <c:v>126</c:v>
                </c:pt>
                <c:pt idx="20">
                  <c:v>142</c:v>
                </c:pt>
                <c:pt idx="22">
                  <c:v>142</c:v>
                </c:pt>
                <c:pt idx="23">
                  <c:v>118</c:v>
                </c:pt>
                <c:pt idx="24">
                  <c:v>149</c:v>
                </c:pt>
                <c:pt idx="25">
                  <c:v>116</c:v>
                </c:pt>
                <c:pt idx="26">
                  <c:v>119</c:v>
                </c:pt>
                <c:pt idx="27">
                  <c:v>200</c:v>
                </c:pt>
                <c:pt idx="29">
                  <c:v>250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7808662"/>
        <c:axId val="899747992"/>
      </c:barChart>
      <c:dateAx>
        <c:axId val="9878086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DATE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47992"/>
        <c:crosses val="autoZero"/>
        <c:auto val="1"/>
        <c:lblOffset val="100"/>
        <c:baseTimeUnit val="days"/>
      </c:dateAx>
      <c:valAx>
        <c:axId val="89974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REJECTION QTY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808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140cad-d884-4324-9daa-52ef90118a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'JUNE 25'!$B$3:$K$3</c:f>
              <c:strCache>
                <c:ptCount val="10"/>
                <c:pt idx="0">
                  <c:v>No of TROLLEYS</c:v>
                </c:pt>
                <c:pt idx="1">
                  <c:v>COAG</c:v>
                </c:pt>
                <c:pt idx="2">
                  <c:v>Raised Wire</c:v>
                </c:pt>
                <c:pt idx="3">
                  <c:v>Surface Defect</c:v>
                </c:pt>
                <c:pt idx="4">
                  <c:v>Overlaping</c:v>
                </c:pt>
                <c:pt idx="5">
                  <c:v>Black Mark</c:v>
                </c:pt>
                <c:pt idx="6">
                  <c:v>Webbing</c:v>
                </c:pt>
                <c:pt idx="7">
                  <c:v>missing formers</c:v>
                </c:pt>
                <c:pt idx="8">
                  <c:v>Others</c:v>
                </c:pt>
                <c:pt idx="9">
                  <c:v>Total</c:v>
                </c:pt>
              </c:strCache>
            </c:strRef>
          </c:cat>
          <c:val>
            <c:numRef>
              <c:f>'JUNE 25'!$B$34:$K$34</c:f>
              <c:numCache>
                <c:formatCode>General</c:formatCode>
                <c:ptCount val="10"/>
                <c:pt idx="0">
                  <c:v>4364</c:v>
                </c:pt>
                <c:pt idx="1">
                  <c:v>670</c:v>
                </c:pt>
                <c:pt idx="2">
                  <c:v>685</c:v>
                </c:pt>
                <c:pt idx="3">
                  <c:v>1255</c:v>
                </c:pt>
                <c:pt idx="4">
                  <c:v>297</c:v>
                </c:pt>
                <c:pt idx="5">
                  <c:v>136</c:v>
                </c:pt>
                <c:pt idx="6">
                  <c:v>104</c:v>
                </c:pt>
                <c:pt idx="7">
                  <c:v>231</c:v>
                </c:pt>
                <c:pt idx="8">
                  <c:v>810</c:v>
                </c:pt>
                <c:pt idx="9">
                  <c:v>4188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02957161"/>
        <c:axId val="59459349"/>
      </c:barChart>
      <c:catAx>
        <c:axId val="4029571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9349"/>
        <c:crosses val="autoZero"/>
        <c:auto val="1"/>
        <c:lblAlgn val="ctr"/>
        <c:lblOffset val="100"/>
        <c:noMultiLvlLbl val="0"/>
      </c:catAx>
      <c:valAx>
        <c:axId val="594593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957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85b1f2-4ba7-4643-82ab-5b75222921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SHOPFLOOR DATEWISE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'JULY 25'!$A$4:$A$34</c:f>
              <c:numCache>
                <c:formatCode>dd/mm/yyyy</c:formatCode>
                <c:ptCount val="31"/>
                <c:pt idx="0" c:formatCode="dd/mm/yyyy">
                  <c:v>45839</c:v>
                </c:pt>
                <c:pt idx="1" c:formatCode="dd/mm/yyyy">
                  <c:v>45840</c:v>
                </c:pt>
                <c:pt idx="2" c:formatCode="dd/mm/yyyy">
                  <c:v>45841</c:v>
                </c:pt>
                <c:pt idx="3" c:formatCode="dd/mm/yyyy">
                  <c:v>45842</c:v>
                </c:pt>
                <c:pt idx="4" c:formatCode="dd/mm/yyyy">
                  <c:v>45843</c:v>
                </c:pt>
                <c:pt idx="5" c:formatCode="dd/mm/yyyy">
                  <c:v>45844</c:v>
                </c:pt>
                <c:pt idx="6" c:formatCode="dd/mm/yyyy">
                  <c:v>45845</c:v>
                </c:pt>
                <c:pt idx="7" c:formatCode="dd/mm/yyyy">
                  <c:v>45846</c:v>
                </c:pt>
                <c:pt idx="8" c:formatCode="dd/mm/yyyy">
                  <c:v>45847</c:v>
                </c:pt>
                <c:pt idx="9" c:formatCode="dd/mm/yyyy">
                  <c:v>45848</c:v>
                </c:pt>
                <c:pt idx="10" c:formatCode="dd/mm/yyyy">
                  <c:v>45849</c:v>
                </c:pt>
                <c:pt idx="11" c:formatCode="dd/mm/yyyy">
                  <c:v>45850</c:v>
                </c:pt>
                <c:pt idx="12" c:formatCode="dd/mm/yyyy">
                  <c:v>45851</c:v>
                </c:pt>
                <c:pt idx="13" c:formatCode="dd/mm/yyyy">
                  <c:v>45852</c:v>
                </c:pt>
                <c:pt idx="14" c:formatCode="dd/mm/yyyy">
                  <c:v>45853</c:v>
                </c:pt>
                <c:pt idx="15" c:formatCode="dd/mm/yyyy">
                  <c:v>45854</c:v>
                </c:pt>
                <c:pt idx="16" c:formatCode="dd/mm/yyyy">
                  <c:v>45855</c:v>
                </c:pt>
                <c:pt idx="17" c:formatCode="dd/mm/yyyy">
                  <c:v>45856</c:v>
                </c:pt>
                <c:pt idx="18" c:formatCode="dd/mm/yyyy">
                  <c:v>45857</c:v>
                </c:pt>
                <c:pt idx="19" c:formatCode="dd/mm/yyyy">
                  <c:v>45858</c:v>
                </c:pt>
                <c:pt idx="20" c:formatCode="dd/mm/yyyy">
                  <c:v>45859</c:v>
                </c:pt>
                <c:pt idx="21" c:formatCode="dd/mm/yyyy">
                  <c:v>45860</c:v>
                </c:pt>
                <c:pt idx="22" c:formatCode="dd/mm/yyyy">
                  <c:v>45861</c:v>
                </c:pt>
                <c:pt idx="23" c:formatCode="dd/mm/yyyy">
                  <c:v>45862</c:v>
                </c:pt>
                <c:pt idx="24" c:formatCode="dd/mm/yyyy">
                  <c:v>45863</c:v>
                </c:pt>
                <c:pt idx="25" c:formatCode="dd/mm/yyyy">
                  <c:v>45864</c:v>
                </c:pt>
                <c:pt idx="26" c:formatCode="dd/mm/yyyy">
                  <c:v>45865</c:v>
                </c:pt>
                <c:pt idx="27" c:formatCode="dd/mm/yyyy">
                  <c:v>45866</c:v>
                </c:pt>
                <c:pt idx="28" c:formatCode="dd/mm/yyyy">
                  <c:v>45867</c:v>
                </c:pt>
                <c:pt idx="29" c:formatCode="dd/mm/yyyy">
                  <c:v>45868</c:v>
                </c:pt>
                <c:pt idx="30" c:formatCode="dd/mm/yyyy">
                  <c:v>45869</c:v>
                </c:pt>
              </c:numCache>
            </c:numRef>
          </c:cat>
          <c:val>
            <c:numRef>
              <c:f>'JULY 25'!$K$4:$K$34</c:f>
              <c:numCache>
                <c:formatCode>General</c:formatCode>
                <c:ptCount val="31"/>
                <c:pt idx="0">
                  <c:v>195</c:v>
                </c:pt>
                <c:pt idx="1">
                  <c:v>50</c:v>
                </c:pt>
                <c:pt idx="2">
                  <c:v>213</c:v>
                </c:pt>
                <c:pt idx="3">
                  <c:v>124</c:v>
                </c:pt>
                <c:pt idx="4">
                  <c:v>214</c:v>
                </c:pt>
                <c:pt idx="6">
                  <c:v>86</c:v>
                </c:pt>
                <c:pt idx="7">
                  <c:v>181</c:v>
                </c:pt>
                <c:pt idx="8">
                  <c:v>138</c:v>
                </c:pt>
                <c:pt idx="9">
                  <c:v>111</c:v>
                </c:pt>
                <c:pt idx="10">
                  <c:v>124</c:v>
                </c:pt>
                <c:pt idx="11">
                  <c:v>112</c:v>
                </c:pt>
                <c:pt idx="13">
                  <c:v>185</c:v>
                </c:pt>
                <c:pt idx="14">
                  <c:v>153</c:v>
                </c:pt>
                <c:pt idx="15">
                  <c:v>108</c:v>
                </c:pt>
                <c:pt idx="16">
                  <c:v>120</c:v>
                </c:pt>
                <c:pt idx="17">
                  <c:v>101</c:v>
                </c:pt>
                <c:pt idx="18">
                  <c:v>66</c:v>
                </c:pt>
                <c:pt idx="20">
                  <c:v>70</c:v>
                </c:pt>
                <c:pt idx="21">
                  <c:v>117</c:v>
                </c:pt>
                <c:pt idx="22">
                  <c:v>200</c:v>
                </c:pt>
                <c:pt idx="23">
                  <c:v>154</c:v>
                </c:pt>
                <c:pt idx="24">
                  <c:v>150</c:v>
                </c:pt>
                <c:pt idx="25">
                  <c:v>122</c:v>
                </c:pt>
                <c:pt idx="27">
                  <c:v>133</c:v>
                </c:pt>
                <c:pt idx="28">
                  <c:v>260</c:v>
                </c:pt>
                <c:pt idx="29">
                  <c:v>174</c:v>
                </c:pt>
                <c:pt idx="30">
                  <c:v>245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7808662"/>
        <c:axId val="899747992"/>
      </c:barChart>
      <c:dateAx>
        <c:axId val="9878086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DATE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47992"/>
        <c:crosses val="autoZero"/>
        <c:auto val="1"/>
        <c:lblOffset val="100"/>
        <c:baseTimeUnit val="days"/>
      </c:dateAx>
      <c:valAx>
        <c:axId val="89974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REJECTION QTY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808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771e43-987b-4f8d-b10d-04e6a017f8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'JULY 25'!$B$3:$K$3</c:f>
              <c:strCache>
                <c:ptCount val="10"/>
                <c:pt idx="0">
                  <c:v>No of TROLLEYS</c:v>
                </c:pt>
                <c:pt idx="1">
                  <c:v>COAG</c:v>
                </c:pt>
                <c:pt idx="2">
                  <c:v>Raised Wire</c:v>
                </c:pt>
                <c:pt idx="3">
                  <c:v>Surface Defect</c:v>
                </c:pt>
                <c:pt idx="4">
                  <c:v>Overlaping</c:v>
                </c:pt>
                <c:pt idx="5">
                  <c:v>Black Mark</c:v>
                </c:pt>
                <c:pt idx="6">
                  <c:v>Webbing</c:v>
                </c:pt>
                <c:pt idx="7">
                  <c:v>missing former</c:v>
                </c:pt>
                <c:pt idx="8">
                  <c:v>Others</c:v>
                </c:pt>
                <c:pt idx="9">
                  <c:v>Total</c:v>
                </c:pt>
              </c:strCache>
            </c:strRef>
          </c:cat>
          <c:val>
            <c:numRef>
              <c:f>'JULY 25'!$B$35:$K$35</c:f>
              <c:numCache>
                <c:formatCode>General</c:formatCode>
                <c:ptCount val="10"/>
                <c:pt idx="0">
                  <c:v>490</c:v>
                </c:pt>
                <c:pt idx="1">
                  <c:v>892</c:v>
                </c:pt>
                <c:pt idx="2">
                  <c:v>437</c:v>
                </c:pt>
                <c:pt idx="3">
                  <c:v>198</c:v>
                </c:pt>
                <c:pt idx="4">
                  <c:v>533</c:v>
                </c:pt>
                <c:pt idx="5">
                  <c:v>130</c:v>
                </c:pt>
                <c:pt idx="6">
                  <c:v>74</c:v>
                </c:pt>
                <c:pt idx="7">
                  <c:v>353</c:v>
                </c:pt>
                <c:pt idx="8">
                  <c:v>1315</c:v>
                </c:pt>
                <c:pt idx="9">
                  <c:v>3932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02957161"/>
        <c:axId val="59459349"/>
      </c:barChart>
      <c:catAx>
        <c:axId val="4029571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9349"/>
        <c:crosses val="autoZero"/>
        <c:auto val="1"/>
        <c:lblAlgn val="ctr"/>
        <c:lblOffset val="100"/>
        <c:noMultiLvlLbl val="0"/>
      </c:catAx>
      <c:valAx>
        <c:axId val="594593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957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9c6f91-f49e-4fd2-bed9-5742bef28a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SHOPFLOOR DATEWISE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'AUGUST 25'!$A$4:$A$34</c:f>
              <c:numCache>
                <c:formatCode>dd/mm/yyyy</c:formatCode>
                <c:ptCount val="31"/>
                <c:pt idx="0" c:formatCode="dd/mm/yyyy">
                  <c:v>45870</c:v>
                </c:pt>
                <c:pt idx="1" c:formatCode="dd/mm/yyyy">
                  <c:v>45871</c:v>
                </c:pt>
                <c:pt idx="2" c:formatCode="dd/mm/yyyy">
                  <c:v>45872</c:v>
                </c:pt>
                <c:pt idx="3" c:formatCode="dd/mm/yyyy">
                  <c:v>45873</c:v>
                </c:pt>
                <c:pt idx="4" c:formatCode="dd/mm/yyyy">
                  <c:v>45874</c:v>
                </c:pt>
                <c:pt idx="5" c:formatCode="dd/mm/yyyy">
                  <c:v>45875</c:v>
                </c:pt>
                <c:pt idx="6" c:formatCode="dd/mm/yyyy">
                  <c:v>45876</c:v>
                </c:pt>
                <c:pt idx="7" c:formatCode="dd/mm/yyyy">
                  <c:v>45877</c:v>
                </c:pt>
                <c:pt idx="8" c:formatCode="dd/mm/yyyy">
                  <c:v>45878</c:v>
                </c:pt>
                <c:pt idx="9" c:formatCode="dd/mm/yyyy">
                  <c:v>45879</c:v>
                </c:pt>
                <c:pt idx="10" c:formatCode="dd/mm/yyyy">
                  <c:v>45880</c:v>
                </c:pt>
                <c:pt idx="11" c:formatCode="dd/mm/yyyy">
                  <c:v>45881</c:v>
                </c:pt>
                <c:pt idx="12" c:formatCode="dd/mm/yyyy">
                  <c:v>45882</c:v>
                </c:pt>
                <c:pt idx="13" c:formatCode="dd/mm/yyyy">
                  <c:v>45883</c:v>
                </c:pt>
                <c:pt idx="14" c:formatCode="dd/mm/yyyy">
                  <c:v>45884</c:v>
                </c:pt>
                <c:pt idx="15" c:formatCode="dd/mm/yyyy">
                  <c:v>45885</c:v>
                </c:pt>
                <c:pt idx="16" c:formatCode="dd/mm/yyyy">
                  <c:v>45886</c:v>
                </c:pt>
                <c:pt idx="17" c:formatCode="dd/mm/yyyy">
                  <c:v>45887</c:v>
                </c:pt>
                <c:pt idx="18" c:formatCode="dd/mm/yyyy">
                  <c:v>45888</c:v>
                </c:pt>
                <c:pt idx="19" c:formatCode="dd/mm/yyyy">
                  <c:v>45889</c:v>
                </c:pt>
                <c:pt idx="20" c:formatCode="dd/mm/yyyy">
                  <c:v>45890</c:v>
                </c:pt>
                <c:pt idx="21" c:formatCode="dd/mm/yyyy">
                  <c:v>45891</c:v>
                </c:pt>
                <c:pt idx="22" c:formatCode="dd/mm/yyyy">
                  <c:v>45892</c:v>
                </c:pt>
                <c:pt idx="23" c:formatCode="dd/mm/yyyy">
                  <c:v>45893</c:v>
                </c:pt>
                <c:pt idx="24" c:formatCode="dd/mm/yyyy">
                  <c:v>45894</c:v>
                </c:pt>
                <c:pt idx="25" c:formatCode="dd/mm/yyyy">
                  <c:v>45895</c:v>
                </c:pt>
                <c:pt idx="26" c:formatCode="dd/mm/yyyy">
                  <c:v>45896</c:v>
                </c:pt>
                <c:pt idx="27" c:formatCode="dd/mm/yyyy">
                  <c:v>45897</c:v>
                </c:pt>
                <c:pt idx="28" c:formatCode="dd/mm/yyyy">
                  <c:v>45898</c:v>
                </c:pt>
                <c:pt idx="29" c:formatCode="dd/mm/yyyy">
                  <c:v>45899</c:v>
                </c:pt>
                <c:pt idx="30" c:formatCode="dd/mm/yyyy">
                  <c:v>45900</c:v>
                </c:pt>
              </c:numCache>
            </c:numRef>
          </c:cat>
          <c:val>
            <c:numRef>
              <c:f>'AUGUST 25'!$K$4:$K$34</c:f>
              <c:numCache>
                <c:formatCode>General</c:formatCode>
                <c:ptCount val="31"/>
                <c:pt idx="0">
                  <c:v>110</c:v>
                </c:pt>
                <c:pt idx="1">
                  <c:v>97</c:v>
                </c:pt>
                <c:pt idx="2">
                  <c:v>0</c:v>
                </c:pt>
                <c:pt idx="3">
                  <c:v>119</c:v>
                </c:pt>
                <c:pt idx="4">
                  <c:v>125</c:v>
                </c:pt>
                <c:pt idx="5">
                  <c:v>78</c:v>
                </c:pt>
                <c:pt idx="6">
                  <c:v>85</c:v>
                </c:pt>
                <c:pt idx="7">
                  <c:v>111</c:v>
                </c:pt>
                <c:pt idx="9">
                  <c:v>0</c:v>
                </c:pt>
                <c:pt idx="10">
                  <c:v>110</c:v>
                </c:pt>
                <c:pt idx="11">
                  <c:v>162</c:v>
                </c:pt>
                <c:pt idx="12">
                  <c:v>80</c:v>
                </c:pt>
                <c:pt idx="13">
                  <c:v>129</c:v>
                </c:pt>
                <c:pt idx="16">
                  <c:v>0</c:v>
                </c:pt>
                <c:pt idx="17">
                  <c:v>130</c:v>
                </c:pt>
                <c:pt idx="18">
                  <c:v>120</c:v>
                </c:pt>
                <c:pt idx="19">
                  <c:v>97</c:v>
                </c:pt>
                <c:pt idx="20">
                  <c:v>91</c:v>
                </c:pt>
                <c:pt idx="21">
                  <c:v>91</c:v>
                </c:pt>
                <c:pt idx="22">
                  <c:v>115</c:v>
                </c:pt>
                <c:pt idx="23">
                  <c:v>0</c:v>
                </c:pt>
                <c:pt idx="24">
                  <c:v>131</c:v>
                </c:pt>
                <c:pt idx="25">
                  <c:v>162</c:v>
                </c:pt>
                <c:pt idx="26">
                  <c:v>143</c:v>
                </c:pt>
                <c:pt idx="27">
                  <c:v>148</c:v>
                </c:pt>
                <c:pt idx="28">
                  <c:v>163</c:v>
                </c:pt>
                <c:pt idx="29">
                  <c:v>143</c:v>
                </c:pt>
                <c:pt idx="3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7808662"/>
        <c:axId val="899747992"/>
      </c:barChart>
      <c:dateAx>
        <c:axId val="9878086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DATE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47992"/>
        <c:crosses val="autoZero"/>
        <c:auto val="1"/>
        <c:lblOffset val="100"/>
        <c:baseTimeUnit val="days"/>
      </c:dateAx>
      <c:valAx>
        <c:axId val="89974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REJECTION QTY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808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1ed269-5fef-470c-ac8b-c60415dd353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'AUGUST 25'!$B$3:$K$3</c:f>
              <c:strCache>
                <c:ptCount val="10"/>
                <c:pt idx="0">
                  <c:v>No of TROLLEYS</c:v>
                </c:pt>
                <c:pt idx="1">
                  <c:v>COAG</c:v>
                </c:pt>
                <c:pt idx="2">
                  <c:v>Raised Wire</c:v>
                </c:pt>
                <c:pt idx="3">
                  <c:v>Surface Defect</c:v>
                </c:pt>
                <c:pt idx="4">
                  <c:v>Overlaping</c:v>
                </c:pt>
                <c:pt idx="5">
                  <c:v>Black Mark</c:v>
                </c:pt>
                <c:pt idx="6">
                  <c:v>Webbing</c:v>
                </c:pt>
                <c:pt idx="7">
                  <c:v>missing former</c:v>
                </c:pt>
                <c:pt idx="8">
                  <c:v>Others</c:v>
                </c:pt>
                <c:pt idx="9">
                  <c:v>Total</c:v>
                </c:pt>
              </c:strCache>
            </c:strRef>
          </c:cat>
          <c:val>
            <c:numRef>
              <c:f>'AUGUST 25'!$B$35:$K$35</c:f>
              <c:numCache>
                <c:formatCode>General</c:formatCode>
                <c:ptCount val="10"/>
                <c:pt idx="0">
                  <c:v>429</c:v>
                </c:pt>
                <c:pt idx="1">
                  <c:v>353</c:v>
                </c:pt>
                <c:pt idx="2">
                  <c:v>510</c:v>
                </c:pt>
                <c:pt idx="3">
                  <c:v>198</c:v>
                </c:pt>
                <c:pt idx="4">
                  <c:v>335</c:v>
                </c:pt>
                <c:pt idx="5">
                  <c:v>78</c:v>
                </c:pt>
                <c:pt idx="6">
                  <c:v>21</c:v>
                </c:pt>
                <c:pt idx="7">
                  <c:v>475</c:v>
                </c:pt>
                <c:pt idx="8">
                  <c:v>770</c:v>
                </c:pt>
                <c:pt idx="9">
                  <c:v>2740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02957161"/>
        <c:axId val="59459349"/>
      </c:barChart>
      <c:catAx>
        <c:axId val="4029571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9349"/>
        <c:crosses val="autoZero"/>
        <c:auto val="1"/>
        <c:lblAlgn val="ctr"/>
        <c:lblOffset val="100"/>
        <c:noMultiLvlLbl val="0"/>
      </c:catAx>
      <c:valAx>
        <c:axId val="594593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957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30722a-19d8-40e8-b4b2-6bf2c980c3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SHOPFLOOR DATEWISE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'SEPTEMBER 25'!$A$4:$A$33</c:f>
              <c:numCache>
                <c:formatCode>dd/mm/yyyy</c:formatCode>
                <c:ptCount val="30"/>
                <c:pt idx="0" c:formatCode="dd/mm/yyyy">
                  <c:v>45901</c:v>
                </c:pt>
                <c:pt idx="1" c:formatCode="dd/mm/yyyy">
                  <c:v>45902</c:v>
                </c:pt>
                <c:pt idx="2" c:formatCode="dd/mm/yyyy">
                  <c:v>45903</c:v>
                </c:pt>
                <c:pt idx="3" c:formatCode="dd/mm/yyyy">
                  <c:v>45904</c:v>
                </c:pt>
                <c:pt idx="4" c:formatCode="dd/mm/yyyy">
                  <c:v>45905</c:v>
                </c:pt>
                <c:pt idx="5" c:formatCode="dd/mm/yyyy">
                  <c:v>45906</c:v>
                </c:pt>
                <c:pt idx="6" c:formatCode="dd/mm/yyyy">
                  <c:v>45907</c:v>
                </c:pt>
                <c:pt idx="7" c:formatCode="dd/mm/yyyy">
                  <c:v>45908</c:v>
                </c:pt>
                <c:pt idx="8" c:formatCode="dd/mm/yyyy">
                  <c:v>45909</c:v>
                </c:pt>
                <c:pt idx="9" c:formatCode="dd/mm/yyyy">
                  <c:v>45910</c:v>
                </c:pt>
                <c:pt idx="10" c:formatCode="dd/mm/yyyy">
                  <c:v>45911</c:v>
                </c:pt>
                <c:pt idx="11" c:formatCode="dd/mm/yyyy">
                  <c:v>45912</c:v>
                </c:pt>
                <c:pt idx="12" c:formatCode="dd/mm/yyyy">
                  <c:v>45913</c:v>
                </c:pt>
                <c:pt idx="13" c:formatCode="dd/mm/yyyy">
                  <c:v>45914</c:v>
                </c:pt>
                <c:pt idx="14" c:formatCode="dd/mm/yyyy">
                  <c:v>45915</c:v>
                </c:pt>
                <c:pt idx="15" c:formatCode="dd/mm/yyyy">
                  <c:v>45916</c:v>
                </c:pt>
                <c:pt idx="16" c:formatCode="dd/mm/yyyy">
                  <c:v>45917</c:v>
                </c:pt>
                <c:pt idx="17" c:formatCode="dd/mm/yyyy">
                  <c:v>45918</c:v>
                </c:pt>
                <c:pt idx="18" c:formatCode="dd/mm/yyyy">
                  <c:v>45919</c:v>
                </c:pt>
                <c:pt idx="19" c:formatCode="dd/mm/yyyy">
                  <c:v>45920</c:v>
                </c:pt>
                <c:pt idx="20" c:formatCode="dd/mm/yyyy">
                  <c:v>45921</c:v>
                </c:pt>
                <c:pt idx="21" c:formatCode="dd/mm/yyyy">
                  <c:v>45922</c:v>
                </c:pt>
                <c:pt idx="22" c:formatCode="dd/mm/yyyy">
                  <c:v>45923</c:v>
                </c:pt>
                <c:pt idx="23" c:formatCode="dd/mm/yyyy">
                  <c:v>45924</c:v>
                </c:pt>
                <c:pt idx="24" c:formatCode="dd/mm/yyyy">
                  <c:v>45925</c:v>
                </c:pt>
                <c:pt idx="25" c:formatCode="dd/mm/yyyy">
                  <c:v>45926</c:v>
                </c:pt>
                <c:pt idx="26" c:formatCode="dd/mm/yyyy">
                  <c:v>45927</c:v>
                </c:pt>
                <c:pt idx="27" c:formatCode="dd/mm/yyyy">
                  <c:v>45928</c:v>
                </c:pt>
                <c:pt idx="28" c:formatCode="dd/mm/yyyy">
                  <c:v>45929</c:v>
                </c:pt>
                <c:pt idx="29" c:formatCode="dd/mm/yyyy">
                  <c:v>45930</c:v>
                </c:pt>
              </c:numCache>
            </c:numRef>
          </c:cat>
          <c:val>
            <c:numRef>
              <c:f>'SEPTEMBER 25'!$K$4:$K$33</c:f>
              <c:numCache>
                <c:formatCode>General</c:formatCode>
                <c:ptCount val="30"/>
                <c:pt idx="0">
                  <c:v>133</c:v>
                </c:pt>
                <c:pt idx="1">
                  <c:v>161</c:v>
                </c:pt>
                <c:pt idx="2">
                  <c:v>134</c:v>
                </c:pt>
                <c:pt idx="3">
                  <c:v>175</c:v>
                </c:pt>
                <c:pt idx="4">
                  <c:v>103</c:v>
                </c:pt>
                <c:pt idx="5">
                  <c:v>118</c:v>
                </c:pt>
                <c:pt idx="7">
                  <c:v>128</c:v>
                </c:pt>
                <c:pt idx="8">
                  <c:v>132</c:v>
                </c:pt>
                <c:pt idx="9">
                  <c:v>128</c:v>
                </c:pt>
                <c:pt idx="10">
                  <c:v>130</c:v>
                </c:pt>
                <c:pt idx="11">
                  <c:v>168</c:v>
                </c:pt>
                <c:pt idx="12">
                  <c:v>130</c:v>
                </c:pt>
                <c:pt idx="13">
                  <c:v>0</c:v>
                </c:pt>
                <c:pt idx="14">
                  <c:v>133</c:v>
                </c:pt>
                <c:pt idx="15">
                  <c:v>144</c:v>
                </c:pt>
                <c:pt idx="16">
                  <c:v>169</c:v>
                </c:pt>
                <c:pt idx="17">
                  <c:v>182</c:v>
                </c:pt>
                <c:pt idx="18">
                  <c:v>196</c:v>
                </c:pt>
                <c:pt idx="19">
                  <c:v>195</c:v>
                </c:pt>
                <c:pt idx="20">
                  <c:v>0</c:v>
                </c:pt>
                <c:pt idx="21">
                  <c:v>171</c:v>
                </c:pt>
                <c:pt idx="22">
                  <c:v>168</c:v>
                </c:pt>
                <c:pt idx="23">
                  <c:v>201</c:v>
                </c:pt>
                <c:pt idx="24">
                  <c:v>161</c:v>
                </c:pt>
                <c:pt idx="25">
                  <c:v>180</c:v>
                </c:pt>
                <c:pt idx="26">
                  <c:v>157</c:v>
                </c:pt>
                <c:pt idx="27">
                  <c:v>0</c:v>
                </c:pt>
                <c:pt idx="28">
                  <c:v>176</c:v>
                </c:pt>
                <c:pt idx="29">
                  <c:v>236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7808662"/>
        <c:axId val="899747992"/>
      </c:barChart>
      <c:dateAx>
        <c:axId val="9878086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DATE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47992"/>
        <c:crosses val="autoZero"/>
        <c:auto val="1"/>
        <c:lblOffset val="100"/>
        <c:baseTimeUnit val="days"/>
      </c:dateAx>
      <c:valAx>
        <c:axId val="89974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REJECTION QTY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808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bc96ef-8cff-4ea2-871e-f9ecc53f88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'SEPTEMBER 25'!$B$3:$K$3</c:f>
              <c:strCache>
                <c:ptCount val="10"/>
                <c:pt idx="0">
                  <c:v>No of TROLLEYS</c:v>
                </c:pt>
                <c:pt idx="1">
                  <c:v>COAG</c:v>
                </c:pt>
                <c:pt idx="2">
                  <c:v>Raised Wire</c:v>
                </c:pt>
                <c:pt idx="3">
                  <c:v>Surface Defect</c:v>
                </c:pt>
                <c:pt idx="4">
                  <c:v>Overlaping</c:v>
                </c:pt>
                <c:pt idx="5">
                  <c:v>Black Mark</c:v>
                </c:pt>
                <c:pt idx="6">
                  <c:v>Webbing</c:v>
                </c:pt>
                <c:pt idx="7">
                  <c:v>missing former</c:v>
                </c:pt>
                <c:pt idx="8">
                  <c:v>Others</c:v>
                </c:pt>
                <c:pt idx="9">
                  <c:v>Total</c:v>
                </c:pt>
              </c:strCache>
            </c:strRef>
          </c:cat>
          <c:val>
            <c:numRef>
              <c:f>'SEPTEMBER 25'!$B$34:$K$34</c:f>
              <c:numCache>
                <c:formatCode>General</c:formatCode>
                <c:ptCount val="10"/>
                <c:pt idx="0">
                  <c:v>486</c:v>
                </c:pt>
                <c:pt idx="1">
                  <c:v>299</c:v>
                </c:pt>
                <c:pt idx="2">
                  <c:v>500</c:v>
                </c:pt>
                <c:pt idx="3">
                  <c:v>133</c:v>
                </c:pt>
                <c:pt idx="4">
                  <c:v>600</c:v>
                </c:pt>
                <c:pt idx="5">
                  <c:v>92</c:v>
                </c:pt>
                <c:pt idx="6">
                  <c:v>9</c:v>
                </c:pt>
                <c:pt idx="7">
                  <c:v>890</c:v>
                </c:pt>
                <c:pt idx="8">
                  <c:v>1586</c:v>
                </c:pt>
                <c:pt idx="9">
                  <c:v>4109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02957161"/>
        <c:axId val="59459349"/>
      </c:barChart>
      <c:catAx>
        <c:axId val="4029571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9349"/>
        <c:crosses val="autoZero"/>
        <c:auto val="1"/>
        <c:lblAlgn val="ctr"/>
        <c:lblOffset val="100"/>
        <c:noMultiLvlLbl val="0"/>
      </c:catAx>
      <c:valAx>
        <c:axId val="594593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957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e60e77-7ec9-4b50-adbd-1fe7a65b87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SHOPFLOOR DATEWISE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'OCTOBER 25'!$A$4:$A$33</c:f>
              <c:numCache>
                <c:formatCode>dd/mm/yyyy</c:formatCode>
                <c:ptCount val="30"/>
                <c:pt idx="0" c:formatCode="dd/mm/yyyy">
                  <c:v>45931</c:v>
                </c:pt>
                <c:pt idx="1" c:formatCode="dd/mm/yyyy">
                  <c:v>45932</c:v>
                </c:pt>
                <c:pt idx="2" c:formatCode="dd/mm/yyyy">
                  <c:v>45933</c:v>
                </c:pt>
                <c:pt idx="3" c:formatCode="dd/mm/yyyy">
                  <c:v>45934</c:v>
                </c:pt>
                <c:pt idx="4" c:formatCode="dd/mm/yyyy">
                  <c:v>45935</c:v>
                </c:pt>
                <c:pt idx="5" c:formatCode="dd/mm/yyyy">
                  <c:v>45936</c:v>
                </c:pt>
                <c:pt idx="6" c:formatCode="dd/mm/yyyy">
                  <c:v>45937</c:v>
                </c:pt>
                <c:pt idx="7" c:formatCode="dd/mm/yyyy">
                  <c:v>45938</c:v>
                </c:pt>
                <c:pt idx="8" c:formatCode="dd/mm/yyyy">
                  <c:v>45939</c:v>
                </c:pt>
                <c:pt idx="9" c:formatCode="dd/mm/yyyy">
                  <c:v>45940</c:v>
                </c:pt>
                <c:pt idx="10" c:formatCode="dd/mm/yyyy">
                  <c:v>45941</c:v>
                </c:pt>
                <c:pt idx="11" c:formatCode="dd/mm/yyyy">
                  <c:v>45942</c:v>
                </c:pt>
                <c:pt idx="12" c:formatCode="dd/mm/yyyy">
                  <c:v>45943</c:v>
                </c:pt>
                <c:pt idx="13" c:formatCode="dd/mm/yyyy">
                  <c:v>45944</c:v>
                </c:pt>
                <c:pt idx="14" c:formatCode="dd/mm/yyyy">
                  <c:v>45945</c:v>
                </c:pt>
                <c:pt idx="15" c:formatCode="dd/mm/yyyy">
                  <c:v>45946</c:v>
                </c:pt>
                <c:pt idx="16" c:formatCode="dd/mm/yyyy">
                  <c:v>45947</c:v>
                </c:pt>
                <c:pt idx="17" c:formatCode="dd/mm/yyyy">
                  <c:v>45948</c:v>
                </c:pt>
                <c:pt idx="18" c:formatCode="dd/mm/yyyy">
                  <c:v>45949</c:v>
                </c:pt>
                <c:pt idx="19" c:formatCode="dd/mm/yyyy">
                  <c:v>45950</c:v>
                </c:pt>
                <c:pt idx="20" c:formatCode="dd/mm/yyyy">
                  <c:v>45951</c:v>
                </c:pt>
                <c:pt idx="21" c:formatCode="dd/mm/yyyy">
                  <c:v>45952</c:v>
                </c:pt>
                <c:pt idx="22" c:formatCode="dd/mm/yyyy">
                  <c:v>45953</c:v>
                </c:pt>
                <c:pt idx="23" c:formatCode="dd/mm/yyyy">
                  <c:v>45954</c:v>
                </c:pt>
                <c:pt idx="24" c:formatCode="dd/mm/yyyy">
                  <c:v>45955</c:v>
                </c:pt>
                <c:pt idx="25" c:formatCode="dd/mm/yyyy">
                  <c:v>45956</c:v>
                </c:pt>
                <c:pt idx="26" c:formatCode="dd/mm/yyyy">
                  <c:v>45957</c:v>
                </c:pt>
                <c:pt idx="27" c:formatCode="dd/mm/yyyy">
                  <c:v>45958</c:v>
                </c:pt>
                <c:pt idx="28" c:formatCode="dd/mm/yyyy">
                  <c:v>45959</c:v>
                </c:pt>
                <c:pt idx="29" c:formatCode="dd/mm/yyyy">
                  <c:v>45960</c:v>
                </c:pt>
              </c:numCache>
            </c:numRef>
          </c:cat>
          <c:val>
            <c:numRef>
              <c:f>'OCTOBER 25'!$K$4:$K$33</c:f>
              <c:numCache>
                <c:formatCode>General</c:formatCode>
                <c:ptCount val="30"/>
                <c:pt idx="0">
                  <c:v>264</c:v>
                </c:pt>
                <c:pt idx="1">
                  <c:v>0</c:v>
                </c:pt>
                <c:pt idx="2">
                  <c:v>245</c:v>
                </c:pt>
                <c:pt idx="3">
                  <c:v>235</c:v>
                </c:pt>
                <c:pt idx="4">
                  <c:v>0</c:v>
                </c:pt>
                <c:pt idx="5">
                  <c:v>243</c:v>
                </c:pt>
                <c:pt idx="6">
                  <c:v>197</c:v>
                </c:pt>
                <c:pt idx="7">
                  <c:v>204</c:v>
                </c:pt>
                <c:pt idx="8">
                  <c:v>186</c:v>
                </c:pt>
                <c:pt idx="9">
                  <c:v>268</c:v>
                </c:pt>
                <c:pt idx="10">
                  <c:v>228</c:v>
                </c:pt>
                <c:pt idx="11">
                  <c:v>0</c:v>
                </c:pt>
                <c:pt idx="12">
                  <c:v>314</c:v>
                </c:pt>
                <c:pt idx="13">
                  <c:v>285</c:v>
                </c:pt>
                <c:pt idx="14">
                  <c:v>273</c:v>
                </c:pt>
                <c:pt idx="15">
                  <c:v>245</c:v>
                </c:pt>
                <c:pt idx="16">
                  <c:v>231</c:v>
                </c:pt>
                <c:pt idx="17">
                  <c:v>248</c:v>
                </c:pt>
                <c:pt idx="18">
                  <c:v>164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109</c:v>
                </c:pt>
                <c:pt idx="24">
                  <c:v>387</c:v>
                </c:pt>
                <c:pt idx="25">
                  <c:v>0</c:v>
                </c:pt>
                <c:pt idx="26">
                  <c:v>177</c:v>
                </c:pt>
                <c:pt idx="27">
                  <c:v>185</c:v>
                </c:pt>
                <c:pt idx="28">
                  <c:v>174</c:v>
                </c:pt>
                <c:pt idx="29">
                  <c:v>134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7808662"/>
        <c:axId val="899747992"/>
      </c:barChart>
      <c:dateAx>
        <c:axId val="9878086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DATE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47992"/>
        <c:crosses val="autoZero"/>
        <c:auto val="1"/>
        <c:lblOffset val="100"/>
        <c:baseTimeUnit val="days"/>
      </c:dateAx>
      <c:valAx>
        <c:axId val="89974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REJECTION QTY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808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8257d0-8e28-482c-ae2c-9b5a9d9dd5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'OCTOBER 25'!$B$3:$K$3</c:f>
              <c:strCache>
                <c:ptCount val="10"/>
                <c:pt idx="0">
                  <c:v>No of TROLLEYS</c:v>
                </c:pt>
                <c:pt idx="1">
                  <c:v>COAG</c:v>
                </c:pt>
                <c:pt idx="2">
                  <c:v>Raised Wire</c:v>
                </c:pt>
                <c:pt idx="3">
                  <c:v>Surface Defect</c:v>
                </c:pt>
                <c:pt idx="4">
                  <c:v>Overlaping</c:v>
                </c:pt>
                <c:pt idx="5">
                  <c:v>Black Mark</c:v>
                </c:pt>
                <c:pt idx="6">
                  <c:v>Webbing</c:v>
                </c:pt>
                <c:pt idx="7">
                  <c:v>missing former</c:v>
                </c:pt>
                <c:pt idx="8">
                  <c:v>Others</c:v>
                </c:pt>
                <c:pt idx="9">
                  <c:v>Total</c:v>
                </c:pt>
              </c:strCache>
            </c:strRef>
          </c:cat>
          <c:val>
            <c:numRef>
              <c:f>'OCTOBER 25'!$B$35:$K$35</c:f>
              <c:numCache>
                <c:formatCode>General</c:formatCode>
                <c:ptCount val="10"/>
                <c:pt idx="0">
                  <c:v>409</c:v>
                </c:pt>
                <c:pt idx="1">
                  <c:v>245</c:v>
                </c:pt>
                <c:pt idx="2">
                  <c:v>679</c:v>
                </c:pt>
                <c:pt idx="3">
                  <c:v>397</c:v>
                </c:pt>
                <c:pt idx="4">
                  <c:v>577</c:v>
                </c:pt>
                <c:pt idx="5">
                  <c:v>132</c:v>
                </c:pt>
                <c:pt idx="6">
                  <c:v>21</c:v>
                </c:pt>
                <c:pt idx="7">
                  <c:v>650</c:v>
                </c:pt>
                <c:pt idx="8">
                  <c:v>2415</c:v>
                </c:pt>
                <c:pt idx="9">
                  <c:v>5116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02957161"/>
        <c:axId val="59459349"/>
      </c:barChart>
      <c:catAx>
        <c:axId val="4029571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9349"/>
        <c:crosses val="autoZero"/>
        <c:auto val="1"/>
        <c:lblAlgn val="ctr"/>
        <c:lblOffset val="100"/>
        <c:noMultiLvlLbl val="0"/>
      </c:catAx>
      <c:valAx>
        <c:axId val="594593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957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94733e-f980-4545-9766-2154c1ac53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SHOPFLOOR DATEWISE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'NOVEMBER 25'!$A$4:$A$33</c:f>
              <c:numCache>
                <c:formatCode>dd/mm/yyyy</c:formatCode>
                <c:ptCount val="30"/>
                <c:pt idx="0" c:formatCode="dd/mm/yyyy">
                  <c:v>45962</c:v>
                </c:pt>
                <c:pt idx="1" c:formatCode="dd/mm/yyyy">
                  <c:v>45963</c:v>
                </c:pt>
                <c:pt idx="2" c:formatCode="dd/mm/yyyy">
                  <c:v>45964</c:v>
                </c:pt>
                <c:pt idx="3" c:formatCode="dd/mm/yyyy">
                  <c:v>45965</c:v>
                </c:pt>
                <c:pt idx="4" c:formatCode="dd/mm/yyyy">
                  <c:v>45966</c:v>
                </c:pt>
                <c:pt idx="5" c:formatCode="dd/mm/yyyy">
                  <c:v>45967</c:v>
                </c:pt>
                <c:pt idx="6" c:formatCode="dd/mm/yyyy">
                  <c:v>45968</c:v>
                </c:pt>
                <c:pt idx="7" c:formatCode="dd/mm/yyyy">
                  <c:v>45969</c:v>
                </c:pt>
                <c:pt idx="8" c:formatCode="dd/mm/yyyy">
                  <c:v>45970</c:v>
                </c:pt>
                <c:pt idx="9" c:formatCode="dd/mm/yyyy">
                  <c:v>45971</c:v>
                </c:pt>
                <c:pt idx="10" c:formatCode="dd/mm/yyyy">
                  <c:v>45972</c:v>
                </c:pt>
                <c:pt idx="11" c:formatCode="dd/mm/yyyy">
                  <c:v>45973</c:v>
                </c:pt>
                <c:pt idx="12" c:formatCode="dd/mm/yyyy">
                  <c:v>45974</c:v>
                </c:pt>
                <c:pt idx="13" c:formatCode="dd/mm/yyyy">
                  <c:v>45975</c:v>
                </c:pt>
                <c:pt idx="14" c:formatCode="dd/mm/yyyy">
                  <c:v>45976</c:v>
                </c:pt>
                <c:pt idx="15" c:formatCode="dd/mm/yyyy">
                  <c:v>45977</c:v>
                </c:pt>
                <c:pt idx="16" c:formatCode="dd/mm/yyyy">
                  <c:v>45978</c:v>
                </c:pt>
                <c:pt idx="17" c:formatCode="dd/mm/yyyy">
                  <c:v>45979</c:v>
                </c:pt>
                <c:pt idx="18" c:formatCode="dd/mm/yyyy">
                  <c:v>45980</c:v>
                </c:pt>
                <c:pt idx="19" c:formatCode="dd/mm/yyyy">
                  <c:v>45981</c:v>
                </c:pt>
                <c:pt idx="20" c:formatCode="dd/mm/yyyy">
                  <c:v>45982</c:v>
                </c:pt>
                <c:pt idx="21" c:formatCode="dd/mm/yyyy">
                  <c:v>45983</c:v>
                </c:pt>
                <c:pt idx="22" c:formatCode="dd/mm/yyyy">
                  <c:v>45984</c:v>
                </c:pt>
                <c:pt idx="23" c:formatCode="dd/mm/yyyy">
                  <c:v>45985</c:v>
                </c:pt>
                <c:pt idx="24" c:formatCode="dd/mm/yyyy">
                  <c:v>45986</c:v>
                </c:pt>
                <c:pt idx="25" c:formatCode="dd/mm/yyyy">
                  <c:v>45987</c:v>
                </c:pt>
                <c:pt idx="26" c:formatCode="dd/mm/yyyy">
                  <c:v>45988</c:v>
                </c:pt>
                <c:pt idx="27" c:formatCode="dd/mm/yyyy">
                  <c:v>45989</c:v>
                </c:pt>
                <c:pt idx="28" c:formatCode="dd/mm/yyyy">
                  <c:v>45990</c:v>
                </c:pt>
                <c:pt idx="29" c:formatCode="dd/mm/yyyy">
                  <c:v>45991</c:v>
                </c:pt>
              </c:numCache>
            </c:numRef>
          </c:cat>
          <c:val>
            <c:numRef>
              <c:f>'NOVEMBER 25'!$K$4:$K$33</c:f>
              <c:numCache>
                <c:formatCode>General</c:formatCode>
                <c:ptCount val="30"/>
                <c:pt idx="0">
                  <c:v>155</c:v>
                </c:pt>
                <c:pt idx="1">
                  <c:v>0</c:v>
                </c:pt>
                <c:pt idx="2">
                  <c:v>161</c:v>
                </c:pt>
                <c:pt idx="3">
                  <c:v>130</c:v>
                </c:pt>
                <c:pt idx="4">
                  <c:v>141</c:v>
                </c:pt>
                <c:pt idx="5">
                  <c:v>169</c:v>
                </c:pt>
                <c:pt idx="6">
                  <c:v>149</c:v>
                </c:pt>
                <c:pt idx="7">
                  <c:v>160</c:v>
                </c:pt>
                <c:pt idx="8">
                  <c:v>0</c:v>
                </c:pt>
                <c:pt idx="9">
                  <c:v>255</c:v>
                </c:pt>
                <c:pt idx="10">
                  <c:v>225</c:v>
                </c:pt>
                <c:pt idx="11">
                  <c:v>286</c:v>
                </c:pt>
                <c:pt idx="12">
                  <c:v>296</c:v>
                </c:pt>
                <c:pt idx="13">
                  <c:v>188</c:v>
                </c:pt>
                <c:pt idx="14">
                  <c:v>230</c:v>
                </c:pt>
                <c:pt idx="15">
                  <c:v>0</c:v>
                </c:pt>
                <c:pt idx="16">
                  <c:v>169</c:v>
                </c:pt>
                <c:pt idx="17">
                  <c:v>189</c:v>
                </c:pt>
                <c:pt idx="18">
                  <c:v>154</c:v>
                </c:pt>
                <c:pt idx="19">
                  <c:v>247</c:v>
                </c:pt>
                <c:pt idx="20">
                  <c:v>164</c:v>
                </c:pt>
                <c:pt idx="21">
                  <c:v>235</c:v>
                </c:pt>
                <c:pt idx="22">
                  <c:v>0</c:v>
                </c:pt>
                <c:pt idx="23">
                  <c:v>483</c:v>
                </c:pt>
                <c:pt idx="24">
                  <c:v>251</c:v>
                </c:pt>
                <c:pt idx="25">
                  <c:v>286</c:v>
                </c:pt>
                <c:pt idx="26">
                  <c:v>243</c:v>
                </c:pt>
                <c:pt idx="27">
                  <c:v>359</c:v>
                </c:pt>
                <c:pt idx="28">
                  <c:v>216</c:v>
                </c:pt>
                <c:pt idx="29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7808662"/>
        <c:axId val="899747992"/>
      </c:barChart>
      <c:dateAx>
        <c:axId val="9878086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DATE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47992"/>
        <c:crosses val="autoZero"/>
        <c:auto val="1"/>
        <c:lblOffset val="100"/>
        <c:baseTimeUnit val="days"/>
      </c:dateAx>
      <c:valAx>
        <c:axId val="89974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REJECTION QTY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808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7d2ee9-b349-4727-9d6b-91b8e8de80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'NOVEMBER 25'!$B$3:$K$3</c:f>
              <c:strCache>
                <c:ptCount val="10"/>
                <c:pt idx="0">
                  <c:v>No of TROLLEYS</c:v>
                </c:pt>
                <c:pt idx="1">
                  <c:v>COAG</c:v>
                </c:pt>
                <c:pt idx="2">
                  <c:v>Raised Wire</c:v>
                </c:pt>
                <c:pt idx="3">
                  <c:v>Surface Defect</c:v>
                </c:pt>
                <c:pt idx="4">
                  <c:v>Overlaping</c:v>
                </c:pt>
                <c:pt idx="5">
                  <c:v>Black Mark</c:v>
                </c:pt>
                <c:pt idx="6">
                  <c:v>Webbing</c:v>
                </c:pt>
                <c:pt idx="7">
                  <c:v>missing former</c:v>
                </c:pt>
                <c:pt idx="8">
                  <c:v>Others</c:v>
                </c:pt>
                <c:pt idx="9">
                  <c:v>Total</c:v>
                </c:pt>
              </c:strCache>
            </c:strRef>
          </c:cat>
          <c:val>
            <c:numRef>
              <c:f>'NOVEMBER 25'!$B$34:$K$34</c:f>
              <c:numCache>
                <c:formatCode>General</c:formatCode>
                <c:ptCount val="10"/>
                <c:pt idx="0">
                  <c:v>473</c:v>
                </c:pt>
                <c:pt idx="1">
                  <c:v>679</c:v>
                </c:pt>
                <c:pt idx="2">
                  <c:v>841</c:v>
                </c:pt>
                <c:pt idx="3">
                  <c:v>386</c:v>
                </c:pt>
                <c:pt idx="4">
                  <c:v>560</c:v>
                </c:pt>
                <c:pt idx="5">
                  <c:v>124</c:v>
                </c:pt>
                <c:pt idx="6">
                  <c:v>1</c:v>
                </c:pt>
                <c:pt idx="7">
                  <c:v>955</c:v>
                </c:pt>
                <c:pt idx="8">
                  <c:v>1995</c:v>
                </c:pt>
                <c:pt idx="9">
                  <c:v>5541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02957161"/>
        <c:axId val="59459349"/>
      </c:barChart>
      <c:catAx>
        <c:axId val="4029571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9349"/>
        <c:crosses val="autoZero"/>
        <c:auto val="1"/>
        <c:lblAlgn val="ctr"/>
        <c:lblOffset val="100"/>
        <c:noMultiLvlLbl val="0"/>
      </c:catAx>
      <c:valAx>
        <c:axId val="594593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957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f97ec8-74e7-4e17-94e6-5718e8b758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SHOPFLOOR DATEWISE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52D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'DECEMBER 25'!$A$4:$A$34</c:f>
              <c:numCache>
                <c:formatCode>dd/mm/yyyy</c:formatCode>
                <c:ptCount val="31"/>
                <c:pt idx="0" c:formatCode="dd/mm/yyyy">
                  <c:v>45992</c:v>
                </c:pt>
                <c:pt idx="1" c:formatCode="dd/mm/yyyy">
                  <c:v>45993</c:v>
                </c:pt>
                <c:pt idx="2" c:formatCode="dd/mm/yyyy">
                  <c:v>45994</c:v>
                </c:pt>
                <c:pt idx="3" c:formatCode="dd/mm/yyyy">
                  <c:v>45995</c:v>
                </c:pt>
                <c:pt idx="4" c:formatCode="dd/mm/yyyy">
                  <c:v>45996</c:v>
                </c:pt>
                <c:pt idx="5" c:formatCode="dd/mm/yyyy">
                  <c:v>45997</c:v>
                </c:pt>
                <c:pt idx="6" c:formatCode="dd/mm/yyyy">
                  <c:v>45998</c:v>
                </c:pt>
                <c:pt idx="7" c:formatCode="dd/mm/yyyy">
                  <c:v>45999</c:v>
                </c:pt>
                <c:pt idx="8" c:formatCode="dd/mm/yyyy">
                  <c:v>46000</c:v>
                </c:pt>
                <c:pt idx="9" c:formatCode="dd/mm/yyyy">
                  <c:v>46001</c:v>
                </c:pt>
                <c:pt idx="10" c:formatCode="dd/mm/yyyy">
                  <c:v>46002</c:v>
                </c:pt>
                <c:pt idx="11" c:formatCode="dd/mm/yyyy">
                  <c:v>46003</c:v>
                </c:pt>
                <c:pt idx="12" c:formatCode="dd/mm/yyyy">
                  <c:v>46004</c:v>
                </c:pt>
                <c:pt idx="13" c:formatCode="dd/mm/yyyy">
                  <c:v>46005</c:v>
                </c:pt>
                <c:pt idx="14" c:formatCode="dd/mm/yyyy">
                  <c:v>46006</c:v>
                </c:pt>
                <c:pt idx="15" c:formatCode="dd/mm/yyyy">
                  <c:v>46007</c:v>
                </c:pt>
                <c:pt idx="16" c:formatCode="dd/mm/yyyy">
                  <c:v>46008</c:v>
                </c:pt>
                <c:pt idx="17" c:formatCode="dd/mm/yyyy">
                  <c:v>46009</c:v>
                </c:pt>
                <c:pt idx="18" c:formatCode="dd/mm/yyyy">
                  <c:v>46010</c:v>
                </c:pt>
                <c:pt idx="19" c:formatCode="dd/mm/yyyy">
                  <c:v>46011</c:v>
                </c:pt>
                <c:pt idx="20" c:formatCode="dd/mm/yyyy">
                  <c:v>46012</c:v>
                </c:pt>
                <c:pt idx="21" c:formatCode="dd/mm/yyyy">
                  <c:v>46013</c:v>
                </c:pt>
                <c:pt idx="22" c:formatCode="dd/mm/yyyy">
                  <c:v>46014</c:v>
                </c:pt>
                <c:pt idx="23" c:formatCode="dd/mm/yyyy">
                  <c:v>46015</c:v>
                </c:pt>
                <c:pt idx="24" c:formatCode="dd/mm/yyyy">
                  <c:v>46016</c:v>
                </c:pt>
                <c:pt idx="25" c:formatCode="dd/mm/yyyy">
                  <c:v>46017</c:v>
                </c:pt>
                <c:pt idx="26" c:formatCode="dd/mm/yyyy">
                  <c:v>46018</c:v>
                </c:pt>
                <c:pt idx="27" c:formatCode="dd/mm/yyyy">
                  <c:v>46019</c:v>
                </c:pt>
                <c:pt idx="28" c:formatCode="dd/mm/yyyy">
                  <c:v>46020</c:v>
                </c:pt>
                <c:pt idx="29" c:formatCode="dd/mm/yyyy">
                  <c:v>46021</c:v>
                </c:pt>
                <c:pt idx="30" c:formatCode="dd/mm/yyyy">
                  <c:v>46022</c:v>
                </c:pt>
              </c:numCache>
            </c:numRef>
          </c:cat>
          <c:val>
            <c:numRef>
              <c:f>'DECEMBER 25'!$K$4:$K$34</c:f>
              <c:numCache>
                <c:formatCode>General</c:formatCode>
                <c:ptCount val="31"/>
                <c:pt idx="0">
                  <c:v>161</c:v>
                </c:pt>
                <c:pt idx="1">
                  <c:v>301</c:v>
                </c:pt>
                <c:pt idx="2">
                  <c:v>270</c:v>
                </c:pt>
                <c:pt idx="3">
                  <c:v>298</c:v>
                </c:pt>
                <c:pt idx="4">
                  <c:v>227</c:v>
                </c:pt>
                <c:pt idx="5">
                  <c:v>791</c:v>
                </c:pt>
                <c:pt idx="6">
                  <c:v>0</c:v>
                </c:pt>
                <c:pt idx="7">
                  <c:v>261</c:v>
                </c:pt>
                <c:pt idx="8">
                  <c:v>227</c:v>
                </c:pt>
                <c:pt idx="9">
                  <c:v>259</c:v>
                </c:pt>
                <c:pt idx="10">
                  <c:v>169</c:v>
                </c:pt>
                <c:pt idx="11">
                  <c:v>183</c:v>
                </c:pt>
                <c:pt idx="12">
                  <c:v>213</c:v>
                </c:pt>
                <c:pt idx="13">
                  <c:v>0</c:v>
                </c:pt>
                <c:pt idx="14">
                  <c:v>262</c:v>
                </c:pt>
                <c:pt idx="15">
                  <c:v>241</c:v>
                </c:pt>
                <c:pt idx="16">
                  <c:v>243</c:v>
                </c:pt>
                <c:pt idx="17">
                  <c:v>242</c:v>
                </c:pt>
                <c:pt idx="18">
                  <c:v>242</c:v>
                </c:pt>
                <c:pt idx="19">
                  <c:v>207</c:v>
                </c:pt>
                <c:pt idx="20">
                  <c:v>0</c:v>
                </c:pt>
                <c:pt idx="21">
                  <c:v>253</c:v>
                </c:pt>
                <c:pt idx="22">
                  <c:v>209</c:v>
                </c:pt>
                <c:pt idx="23">
                  <c:v>206</c:v>
                </c:pt>
                <c:pt idx="24">
                  <c:v>155</c:v>
                </c:pt>
                <c:pt idx="25">
                  <c:v>160</c:v>
                </c:pt>
                <c:pt idx="26">
                  <c:v>220</c:v>
                </c:pt>
                <c:pt idx="27">
                  <c:v>0</c:v>
                </c:pt>
                <c:pt idx="28">
                  <c:v>214</c:v>
                </c:pt>
                <c:pt idx="29">
                  <c:v>206</c:v>
                </c:pt>
                <c:pt idx="30">
                  <c:v>288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7808662"/>
        <c:axId val="899747992"/>
      </c:barChart>
      <c:dateAx>
        <c:axId val="9878086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DATE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47992"/>
        <c:crosses val="autoZero"/>
        <c:auto val="1"/>
        <c:lblOffset val="100"/>
        <c:baseTimeUnit val="days"/>
      </c:dateAx>
      <c:valAx>
        <c:axId val="89974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REJECTION QTY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808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54679a-46e8-4627-92ae-d6b362abc8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'DECEMBER 25'!$B$3:$K$3</c:f>
              <c:strCache>
                <c:ptCount val="10"/>
                <c:pt idx="0">
                  <c:v>No of TROLLEYS</c:v>
                </c:pt>
                <c:pt idx="1">
                  <c:v>COAG</c:v>
                </c:pt>
                <c:pt idx="2">
                  <c:v>Raised Wire</c:v>
                </c:pt>
                <c:pt idx="3">
                  <c:v>Surface Defect</c:v>
                </c:pt>
                <c:pt idx="4">
                  <c:v>Overlaping</c:v>
                </c:pt>
                <c:pt idx="5">
                  <c:v>Black Mark</c:v>
                </c:pt>
                <c:pt idx="6">
                  <c:v>Webbing</c:v>
                </c:pt>
                <c:pt idx="7">
                  <c:v>missing former</c:v>
                </c:pt>
                <c:pt idx="8">
                  <c:v>Others</c:v>
                </c:pt>
                <c:pt idx="9">
                  <c:v>Total</c:v>
                </c:pt>
              </c:strCache>
            </c:strRef>
          </c:cat>
          <c:val>
            <c:numRef>
              <c:f>'DECEMBER 25'!$B$35:$K$35</c:f>
              <c:numCache>
                <c:formatCode>General</c:formatCode>
                <c:ptCount val="10"/>
                <c:pt idx="0">
                  <c:v>493</c:v>
                </c:pt>
                <c:pt idx="1">
                  <c:v>619</c:v>
                </c:pt>
                <c:pt idx="2">
                  <c:v>1359</c:v>
                </c:pt>
                <c:pt idx="3">
                  <c:v>228</c:v>
                </c:pt>
                <c:pt idx="4">
                  <c:v>624</c:v>
                </c:pt>
                <c:pt idx="5">
                  <c:v>231</c:v>
                </c:pt>
                <c:pt idx="6">
                  <c:v>24</c:v>
                </c:pt>
                <c:pt idx="7">
                  <c:v>582</c:v>
                </c:pt>
                <c:pt idx="8">
                  <c:v>3041</c:v>
                </c:pt>
                <c:pt idx="9">
                  <c:v>6708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02957161"/>
        <c:axId val="59459349"/>
      </c:barChart>
      <c:catAx>
        <c:axId val="4029571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9349"/>
        <c:crosses val="autoZero"/>
        <c:auto val="1"/>
        <c:lblAlgn val="ctr"/>
        <c:lblOffset val="100"/>
        <c:noMultiLvlLbl val="0"/>
      </c:catAx>
      <c:valAx>
        <c:axId val="594593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957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76e0e8-00a7-47f4-915a-86387a1bec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 b="1"/>
              <a:t>SHOPFLOOR DATEWISE REJECTION</a:t>
            </a:r>
            <a:endParaRPr lang="en-IN" alt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52D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'JANUARY 26'!$A$4:$A$34</c:f>
              <c:numCache>
                <c:formatCode>dd/mm/yyyy</c:formatCode>
                <c:ptCount val="31"/>
                <c:pt idx="0" c:formatCode="dd/mm/yyyy">
                  <c:v>46023</c:v>
                </c:pt>
                <c:pt idx="1" c:formatCode="dd/mm/yyyy">
                  <c:v>46024</c:v>
                </c:pt>
                <c:pt idx="2" c:formatCode="dd/mm/yyyy">
                  <c:v>46025</c:v>
                </c:pt>
                <c:pt idx="3" c:formatCode="dd/mm/yyyy">
                  <c:v>46026</c:v>
                </c:pt>
                <c:pt idx="4" c:formatCode="dd/mm/yyyy">
                  <c:v>46027</c:v>
                </c:pt>
                <c:pt idx="5" c:formatCode="dd/mm/yyyy">
                  <c:v>46028</c:v>
                </c:pt>
                <c:pt idx="6" c:formatCode="dd/mm/yyyy">
                  <c:v>46029</c:v>
                </c:pt>
                <c:pt idx="7" c:formatCode="dd/mm/yyyy">
                  <c:v>46030</c:v>
                </c:pt>
                <c:pt idx="8" c:formatCode="dd/mm/yyyy">
                  <c:v>46031</c:v>
                </c:pt>
                <c:pt idx="9" c:formatCode="dd/mm/yyyy">
                  <c:v>46032</c:v>
                </c:pt>
                <c:pt idx="10" c:formatCode="dd/mm/yyyy">
                  <c:v>46033</c:v>
                </c:pt>
                <c:pt idx="11" c:formatCode="dd/mm/yyyy">
                  <c:v>46034</c:v>
                </c:pt>
                <c:pt idx="12" c:formatCode="dd/mm/yyyy">
                  <c:v>46035</c:v>
                </c:pt>
                <c:pt idx="13" c:formatCode="dd/mm/yyyy">
                  <c:v>46036</c:v>
                </c:pt>
                <c:pt idx="14" c:formatCode="dd/mm/yyyy">
                  <c:v>46037</c:v>
                </c:pt>
                <c:pt idx="15" c:formatCode="dd/mm/yyyy">
                  <c:v>46038</c:v>
                </c:pt>
                <c:pt idx="16" c:formatCode="dd/mm/yyyy">
                  <c:v>46039</c:v>
                </c:pt>
                <c:pt idx="17" c:formatCode="dd/mm/yyyy">
                  <c:v>46040</c:v>
                </c:pt>
                <c:pt idx="18" c:formatCode="dd/mm/yyyy">
                  <c:v>46041</c:v>
                </c:pt>
                <c:pt idx="19" c:formatCode="dd/mm/yyyy">
                  <c:v>46042</c:v>
                </c:pt>
                <c:pt idx="20" c:formatCode="dd/mm/yyyy">
                  <c:v>46043</c:v>
                </c:pt>
                <c:pt idx="21" c:formatCode="dd/mm/yyyy">
                  <c:v>46044</c:v>
                </c:pt>
                <c:pt idx="22" c:formatCode="dd/mm/yyyy">
                  <c:v>46045</c:v>
                </c:pt>
                <c:pt idx="23" c:formatCode="dd/mm/yyyy">
                  <c:v>46046</c:v>
                </c:pt>
                <c:pt idx="24" c:formatCode="dd/mm/yyyy">
                  <c:v>46047</c:v>
                </c:pt>
                <c:pt idx="25" c:formatCode="dd/mm/yyyy">
                  <c:v>46048</c:v>
                </c:pt>
                <c:pt idx="26" c:formatCode="dd/mm/yyyy">
                  <c:v>46049</c:v>
                </c:pt>
                <c:pt idx="27" c:formatCode="dd/mm/yyyy">
                  <c:v>46050</c:v>
                </c:pt>
                <c:pt idx="28" c:formatCode="dd/mm/yyyy">
                  <c:v>46051</c:v>
                </c:pt>
                <c:pt idx="29" c:formatCode="dd/mm/yyyy">
                  <c:v>46052</c:v>
                </c:pt>
                <c:pt idx="30" c:formatCode="dd/mm/yyyy">
                  <c:v>46053</c:v>
                </c:pt>
              </c:numCache>
            </c:numRef>
          </c:cat>
          <c:val>
            <c:numRef>
              <c:f>'JANUARY 26'!$K$4:$K$34</c:f>
              <c:numCache>
                <c:formatCode>General</c:formatCode>
                <c:ptCount val="31"/>
                <c:pt idx="0">
                  <c:v>107</c:v>
                </c:pt>
                <c:pt idx="1">
                  <c:v>245</c:v>
                </c:pt>
                <c:pt idx="2">
                  <c:v>289</c:v>
                </c:pt>
                <c:pt idx="3">
                  <c:v>0</c:v>
                </c:pt>
                <c:pt idx="4">
                  <c:v>302</c:v>
                </c:pt>
                <c:pt idx="5">
                  <c:v>257</c:v>
                </c:pt>
                <c:pt idx="6">
                  <c:v>292</c:v>
                </c:pt>
                <c:pt idx="7">
                  <c:v>292</c:v>
                </c:pt>
                <c:pt idx="8">
                  <c:v>267</c:v>
                </c:pt>
                <c:pt idx="9">
                  <c:v>211</c:v>
                </c:pt>
                <c:pt idx="10">
                  <c:v>0</c:v>
                </c:pt>
                <c:pt idx="11">
                  <c:v>231</c:v>
                </c:pt>
                <c:pt idx="12">
                  <c:v>283</c:v>
                </c:pt>
                <c:pt idx="13">
                  <c:v>333</c:v>
                </c:pt>
                <c:pt idx="14">
                  <c:v>218</c:v>
                </c:pt>
                <c:pt idx="15">
                  <c:v>173</c:v>
                </c:pt>
                <c:pt idx="16">
                  <c:v>199</c:v>
                </c:pt>
                <c:pt idx="17">
                  <c:v>0</c:v>
                </c:pt>
                <c:pt idx="18">
                  <c:v>286</c:v>
                </c:pt>
                <c:pt idx="19">
                  <c:v>196</c:v>
                </c:pt>
                <c:pt idx="20">
                  <c:v>188</c:v>
                </c:pt>
                <c:pt idx="21">
                  <c:v>240</c:v>
                </c:pt>
                <c:pt idx="22">
                  <c:v>193</c:v>
                </c:pt>
                <c:pt idx="23">
                  <c:v>228</c:v>
                </c:pt>
                <c:pt idx="24">
                  <c:v>0</c:v>
                </c:pt>
                <c:pt idx="25">
                  <c:v>0</c:v>
                </c:pt>
                <c:pt idx="26">
                  <c:v>258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7808662"/>
        <c:axId val="899747992"/>
      </c:barChart>
      <c:dateAx>
        <c:axId val="9878086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DATE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747992"/>
        <c:crosses val="autoZero"/>
        <c:auto val="1"/>
        <c:lblOffset val="100"/>
        <c:baseTimeUnit val="days"/>
      </c:dateAx>
      <c:valAx>
        <c:axId val="89974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000" b="1"/>
                  <a:t>REJECTION QTY</a:t>
                </a:r>
                <a:endParaRPr lang="en-IN" alt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808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d8eb8e-7a26-47a0-a1d2-95ca3f6f71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'JANUARY 26'!$B$3:$K$3</c:f>
              <c:strCache>
                <c:ptCount val="10"/>
                <c:pt idx="0">
                  <c:v>No of TROLLEYS</c:v>
                </c:pt>
                <c:pt idx="1">
                  <c:v>COAG</c:v>
                </c:pt>
                <c:pt idx="2">
                  <c:v>Raised Wire</c:v>
                </c:pt>
                <c:pt idx="3">
                  <c:v>Surface Defect</c:v>
                </c:pt>
                <c:pt idx="4">
                  <c:v>Overlaping</c:v>
                </c:pt>
                <c:pt idx="5">
                  <c:v>Black Mark</c:v>
                </c:pt>
                <c:pt idx="6">
                  <c:v>Webbing</c:v>
                </c:pt>
                <c:pt idx="7">
                  <c:v>missing former</c:v>
                </c:pt>
                <c:pt idx="8">
                  <c:v>Others</c:v>
                </c:pt>
                <c:pt idx="9">
                  <c:v>Total</c:v>
                </c:pt>
              </c:strCache>
            </c:strRef>
          </c:cat>
          <c:val>
            <c:numRef>
              <c:f>'JANUARY 26'!$B$35:$K$35</c:f>
              <c:numCache>
                <c:formatCode>General</c:formatCode>
                <c:ptCount val="10"/>
                <c:pt idx="0">
                  <c:v>408</c:v>
                </c:pt>
                <c:pt idx="1">
                  <c:v>548</c:v>
                </c:pt>
                <c:pt idx="2">
                  <c:v>776</c:v>
                </c:pt>
                <c:pt idx="3">
                  <c:v>329</c:v>
                </c:pt>
                <c:pt idx="4">
                  <c:v>471</c:v>
                </c:pt>
                <c:pt idx="5">
                  <c:v>139</c:v>
                </c:pt>
                <c:pt idx="6">
                  <c:v>0</c:v>
                </c:pt>
                <c:pt idx="7">
                  <c:v>40</c:v>
                </c:pt>
                <c:pt idx="8">
                  <c:v>2985</c:v>
                </c:pt>
                <c:pt idx="9">
                  <c:v>5288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02957161"/>
        <c:axId val="59459349"/>
      </c:barChart>
      <c:catAx>
        <c:axId val="4029571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9349"/>
        <c:crosses val="autoZero"/>
        <c:auto val="1"/>
        <c:lblAlgn val="ctr"/>
        <c:lblOffset val="100"/>
        <c:noMultiLvlLbl val="0"/>
      </c:catAx>
      <c:valAx>
        <c:axId val="594593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957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5b0a9b-6f4a-4224-8804-6e810e1798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Floor Rejection of year 2024-25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"Floor Rejection"</c:f>
              <c:strCache>
                <c:ptCount val="1"/>
                <c:pt idx="0">
                  <c:v>Floor Rejection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YEARLY!$B$8:$J$8</c:f>
              <c:strCache>
                <c:ptCount val="9"/>
                <c:pt idx="0">
                  <c:v>COAG</c:v>
                </c:pt>
                <c:pt idx="1">
                  <c:v>Raised Wire</c:v>
                </c:pt>
                <c:pt idx="2">
                  <c:v>Surface Defect</c:v>
                </c:pt>
                <c:pt idx="3">
                  <c:v>Overlaping</c:v>
                </c:pt>
                <c:pt idx="4">
                  <c:v>Black Mark</c:v>
                </c:pt>
                <c:pt idx="5">
                  <c:v>Webbing</c:v>
                </c:pt>
                <c:pt idx="6">
                  <c:v>Missing Formers</c:v>
                </c:pt>
                <c:pt idx="7">
                  <c:v>Others</c:v>
                </c:pt>
                <c:pt idx="8">
                  <c:v>Total</c:v>
                </c:pt>
              </c:strCache>
            </c:strRef>
          </c:cat>
          <c:val>
            <c:numRef>
              <c:f>YEARLY!$B$21:$J$21</c:f>
              <c:numCache>
                <c:formatCode>General</c:formatCode>
                <c:ptCount val="9"/>
                <c:pt idx="0">
                  <c:v>2486</c:v>
                </c:pt>
                <c:pt idx="1">
                  <c:v>2446</c:v>
                </c:pt>
                <c:pt idx="2">
                  <c:v>2521</c:v>
                </c:pt>
                <c:pt idx="3">
                  <c:v>2244</c:v>
                </c:pt>
                <c:pt idx="4">
                  <c:v>492</c:v>
                </c:pt>
                <c:pt idx="5">
                  <c:v>253</c:v>
                </c:pt>
                <c:pt idx="6">
                  <c:v>1294</c:v>
                </c:pt>
                <c:pt idx="7">
                  <c:v>2973</c:v>
                </c:pt>
                <c:pt idx="8">
                  <c:v>14633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2075065"/>
        <c:axId val="326566374"/>
      </c:barChart>
      <c:catAx>
        <c:axId val="43207506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6566374"/>
        <c:crosses val="autoZero"/>
        <c:auto val="1"/>
        <c:lblAlgn val="ctr"/>
        <c:lblOffset val="100"/>
        <c:noMultiLvlLbl val="0"/>
      </c:catAx>
      <c:valAx>
        <c:axId val="326566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REJ IN QTY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207506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647761-e995-4754-bc22-016238ac8b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81280</xdr:colOff>
      <xdr:row>3</xdr:row>
      <xdr:rowOff>246380</xdr:rowOff>
    </xdr:from>
    <xdr:to>
      <xdr:col>28</xdr:col>
      <xdr:colOff>12065</xdr:colOff>
      <xdr:row>18</xdr:row>
      <xdr:rowOff>34925</xdr:rowOff>
    </xdr:to>
    <xdr:graphicFrame>
      <xdr:nvGraphicFramePr>
        <xdr:cNvPr id="2" name="Chart 1"/>
        <xdr:cNvGraphicFramePr/>
      </xdr:nvGraphicFramePr>
      <xdr:xfrm>
        <a:off x="11606530" y="1341755"/>
        <a:ext cx="10293985" cy="3598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73025</xdr:colOff>
      <xdr:row>18</xdr:row>
      <xdr:rowOff>130175</xdr:rowOff>
    </xdr:from>
    <xdr:to>
      <xdr:col>20</xdr:col>
      <xdr:colOff>535940</xdr:colOff>
      <xdr:row>29</xdr:row>
      <xdr:rowOff>316865</xdr:rowOff>
    </xdr:to>
    <xdr:graphicFrame>
      <xdr:nvGraphicFramePr>
        <xdr:cNvPr id="3" name="Chart 2"/>
        <xdr:cNvGraphicFramePr/>
      </xdr:nvGraphicFramePr>
      <xdr:xfrm>
        <a:off x="11598275" y="5035550"/>
        <a:ext cx="5949315" cy="2980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597535</xdr:colOff>
      <xdr:row>7</xdr:row>
      <xdr:rowOff>200025</xdr:rowOff>
    </xdr:from>
    <xdr:to>
      <xdr:col>28</xdr:col>
      <xdr:colOff>528320</xdr:colOff>
      <xdr:row>21</xdr:row>
      <xdr:rowOff>242570</xdr:rowOff>
    </xdr:to>
    <xdr:graphicFrame>
      <xdr:nvGraphicFramePr>
        <xdr:cNvPr id="2" name="Chart 1"/>
        <xdr:cNvGraphicFramePr/>
      </xdr:nvGraphicFramePr>
      <xdr:xfrm>
        <a:off x="7930515" y="2565400"/>
        <a:ext cx="10293985" cy="4487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587375</xdr:colOff>
      <xdr:row>22</xdr:row>
      <xdr:rowOff>139700</xdr:rowOff>
    </xdr:from>
    <xdr:to>
      <xdr:col>21</xdr:col>
      <xdr:colOff>440690</xdr:colOff>
      <xdr:row>37</xdr:row>
      <xdr:rowOff>122555</xdr:rowOff>
    </xdr:to>
    <xdr:graphicFrame>
      <xdr:nvGraphicFramePr>
        <xdr:cNvPr id="3" name="Chart 2"/>
        <xdr:cNvGraphicFramePr/>
      </xdr:nvGraphicFramePr>
      <xdr:xfrm>
        <a:off x="7920355" y="7267575"/>
        <a:ext cx="5949315" cy="4754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81280</xdr:colOff>
      <xdr:row>3</xdr:row>
      <xdr:rowOff>246380</xdr:rowOff>
    </xdr:from>
    <xdr:to>
      <xdr:col>28</xdr:col>
      <xdr:colOff>12065</xdr:colOff>
      <xdr:row>18</xdr:row>
      <xdr:rowOff>34925</xdr:rowOff>
    </xdr:to>
    <xdr:graphicFrame>
      <xdr:nvGraphicFramePr>
        <xdr:cNvPr id="2" name="Chart 1"/>
        <xdr:cNvGraphicFramePr/>
      </xdr:nvGraphicFramePr>
      <xdr:xfrm>
        <a:off x="7239635" y="1341755"/>
        <a:ext cx="10293985" cy="3598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73025</xdr:colOff>
      <xdr:row>18</xdr:row>
      <xdr:rowOff>130175</xdr:rowOff>
    </xdr:from>
    <xdr:to>
      <xdr:col>20</xdr:col>
      <xdr:colOff>535940</xdr:colOff>
      <xdr:row>33</xdr:row>
      <xdr:rowOff>316865</xdr:rowOff>
    </xdr:to>
    <xdr:graphicFrame>
      <xdr:nvGraphicFramePr>
        <xdr:cNvPr id="3" name="Chart 2"/>
        <xdr:cNvGraphicFramePr/>
      </xdr:nvGraphicFramePr>
      <xdr:xfrm>
        <a:off x="7231380" y="5035550"/>
        <a:ext cx="5949315" cy="3996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81280</xdr:colOff>
      <xdr:row>3</xdr:row>
      <xdr:rowOff>246380</xdr:rowOff>
    </xdr:from>
    <xdr:to>
      <xdr:col>28</xdr:col>
      <xdr:colOff>12065</xdr:colOff>
      <xdr:row>18</xdr:row>
      <xdr:rowOff>34925</xdr:rowOff>
    </xdr:to>
    <xdr:graphicFrame>
      <xdr:nvGraphicFramePr>
        <xdr:cNvPr id="2" name="Chart 1"/>
        <xdr:cNvGraphicFramePr/>
      </xdr:nvGraphicFramePr>
      <xdr:xfrm>
        <a:off x="7239635" y="1341755"/>
        <a:ext cx="10293985" cy="3598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73025</xdr:colOff>
      <xdr:row>18</xdr:row>
      <xdr:rowOff>130175</xdr:rowOff>
    </xdr:from>
    <xdr:to>
      <xdr:col>20</xdr:col>
      <xdr:colOff>535940</xdr:colOff>
      <xdr:row>34</xdr:row>
      <xdr:rowOff>316865</xdr:rowOff>
    </xdr:to>
    <xdr:graphicFrame>
      <xdr:nvGraphicFramePr>
        <xdr:cNvPr id="3" name="Chart 2"/>
        <xdr:cNvGraphicFramePr/>
      </xdr:nvGraphicFramePr>
      <xdr:xfrm>
        <a:off x="7231380" y="5035550"/>
        <a:ext cx="5949315" cy="4250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81280</xdr:colOff>
      <xdr:row>3</xdr:row>
      <xdr:rowOff>246380</xdr:rowOff>
    </xdr:from>
    <xdr:to>
      <xdr:col>28</xdr:col>
      <xdr:colOff>12065</xdr:colOff>
      <xdr:row>18</xdr:row>
      <xdr:rowOff>34925</xdr:rowOff>
    </xdr:to>
    <xdr:graphicFrame>
      <xdr:nvGraphicFramePr>
        <xdr:cNvPr id="2" name="Chart 1"/>
        <xdr:cNvGraphicFramePr/>
      </xdr:nvGraphicFramePr>
      <xdr:xfrm>
        <a:off x="7239635" y="1341755"/>
        <a:ext cx="10293985" cy="3979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73025</xdr:colOff>
      <xdr:row>18</xdr:row>
      <xdr:rowOff>130175</xdr:rowOff>
    </xdr:from>
    <xdr:to>
      <xdr:col>20</xdr:col>
      <xdr:colOff>535940</xdr:colOff>
      <xdr:row>34</xdr:row>
      <xdr:rowOff>316865</xdr:rowOff>
    </xdr:to>
    <xdr:graphicFrame>
      <xdr:nvGraphicFramePr>
        <xdr:cNvPr id="3" name="Chart 2"/>
        <xdr:cNvGraphicFramePr/>
      </xdr:nvGraphicFramePr>
      <xdr:xfrm>
        <a:off x="7231380" y="5416550"/>
        <a:ext cx="5949315" cy="4657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81280</xdr:colOff>
      <xdr:row>3</xdr:row>
      <xdr:rowOff>246380</xdr:rowOff>
    </xdr:from>
    <xdr:to>
      <xdr:col>28</xdr:col>
      <xdr:colOff>12065</xdr:colOff>
      <xdr:row>18</xdr:row>
      <xdr:rowOff>34925</xdr:rowOff>
    </xdr:to>
    <xdr:graphicFrame>
      <xdr:nvGraphicFramePr>
        <xdr:cNvPr id="2" name="Chart 1"/>
        <xdr:cNvGraphicFramePr/>
      </xdr:nvGraphicFramePr>
      <xdr:xfrm>
        <a:off x="7239635" y="1341755"/>
        <a:ext cx="10293985" cy="3598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73025</xdr:colOff>
      <xdr:row>18</xdr:row>
      <xdr:rowOff>130175</xdr:rowOff>
    </xdr:from>
    <xdr:to>
      <xdr:col>20</xdr:col>
      <xdr:colOff>535940</xdr:colOff>
      <xdr:row>33</xdr:row>
      <xdr:rowOff>316865</xdr:rowOff>
    </xdr:to>
    <xdr:graphicFrame>
      <xdr:nvGraphicFramePr>
        <xdr:cNvPr id="3" name="Chart 2"/>
        <xdr:cNvGraphicFramePr/>
      </xdr:nvGraphicFramePr>
      <xdr:xfrm>
        <a:off x="7231380" y="5035550"/>
        <a:ext cx="5949315" cy="3996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81280</xdr:colOff>
      <xdr:row>3</xdr:row>
      <xdr:rowOff>246380</xdr:rowOff>
    </xdr:from>
    <xdr:to>
      <xdr:col>28</xdr:col>
      <xdr:colOff>12065</xdr:colOff>
      <xdr:row>18</xdr:row>
      <xdr:rowOff>34925</xdr:rowOff>
    </xdr:to>
    <xdr:graphicFrame>
      <xdr:nvGraphicFramePr>
        <xdr:cNvPr id="2" name="Chart 1"/>
        <xdr:cNvGraphicFramePr/>
      </xdr:nvGraphicFramePr>
      <xdr:xfrm>
        <a:off x="7239635" y="1341755"/>
        <a:ext cx="10293985" cy="3598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73025</xdr:colOff>
      <xdr:row>18</xdr:row>
      <xdr:rowOff>130175</xdr:rowOff>
    </xdr:from>
    <xdr:to>
      <xdr:col>20</xdr:col>
      <xdr:colOff>535940</xdr:colOff>
      <xdr:row>34</xdr:row>
      <xdr:rowOff>316865</xdr:rowOff>
    </xdr:to>
    <xdr:graphicFrame>
      <xdr:nvGraphicFramePr>
        <xdr:cNvPr id="3" name="Chart 2"/>
        <xdr:cNvGraphicFramePr/>
      </xdr:nvGraphicFramePr>
      <xdr:xfrm>
        <a:off x="7231380" y="5035550"/>
        <a:ext cx="5949315" cy="4250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81280</xdr:colOff>
      <xdr:row>3</xdr:row>
      <xdr:rowOff>246380</xdr:rowOff>
    </xdr:from>
    <xdr:to>
      <xdr:col>28</xdr:col>
      <xdr:colOff>12065</xdr:colOff>
      <xdr:row>15</xdr:row>
      <xdr:rowOff>34925</xdr:rowOff>
    </xdr:to>
    <xdr:graphicFrame>
      <xdr:nvGraphicFramePr>
        <xdr:cNvPr id="2" name="Chart 1"/>
        <xdr:cNvGraphicFramePr/>
      </xdr:nvGraphicFramePr>
      <xdr:xfrm>
        <a:off x="7239635" y="1341755"/>
        <a:ext cx="10293985" cy="2836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73025</xdr:colOff>
      <xdr:row>15</xdr:row>
      <xdr:rowOff>130175</xdr:rowOff>
    </xdr:from>
    <xdr:to>
      <xdr:col>20</xdr:col>
      <xdr:colOff>535940</xdr:colOff>
      <xdr:row>33</xdr:row>
      <xdr:rowOff>316865</xdr:rowOff>
    </xdr:to>
    <xdr:graphicFrame>
      <xdr:nvGraphicFramePr>
        <xdr:cNvPr id="3" name="Chart 2"/>
        <xdr:cNvGraphicFramePr/>
      </xdr:nvGraphicFramePr>
      <xdr:xfrm>
        <a:off x="7231380" y="4273550"/>
        <a:ext cx="5949315" cy="4758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81280</xdr:colOff>
      <xdr:row>3</xdr:row>
      <xdr:rowOff>246380</xdr:rowOff>
    </xdr:from>
    <xdr:to>
      <xdr:col>28</xdr:col>
      <xdr:colOff>12065</xdr:colOff>
      <xdr:row>20</xdr:row>
      <xdr:rowOff>34925</xdr:rowOff>
    </xdr:to>
    <xdr:graphicFrame>
      <xdr:nvGraphicFramePr>
        <xdr:cNvPr id="2" name="Chart 1"/>
        <xdr:cNvGraphicFramePr/>
      </xdr:nvGraphicFramePr>
      <xdr:xfrm>
        <a:off x="7239635" y="1341755"/>
        <a:ext cx="10360660" cy="4538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73025</xdr:colOff>
      <xdr:row>20</xdr:row>
      <xdr:rowOff>130175</xdr:rowOff>
    </xdr:from>
    <xdr:to>
      <xdr:col>20</xdr:col>
      <xdr:colOff>535940</xdr:colOff>
      <xdr:row>34</xdr:row>
      <xdr:rowOff>316865</xdr:rowOff>
    </xdr:to>
    <xdr:graphicFrame>
      <xdr:nvGraphicFramePr>
        <xdr:cNvPr id="3" name="Chart 2"/>
        <xdr:cNvGraphicFramePr/>
      </xdr:nvGraphicFramePr>
      <xdr:xfrm>
        <a:off x="7231380" y="5975350"/>
        <a:ext cx="6015990" cy="406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81280</xdr:colOff>
      <xdr:row>3</xdr:row>
      <xdr:rowOff>246380</xdr:rowOff>
    </xdr:from>
    <xdr:to>
      <xdr:col>28</xdr:col>
      <xdr:colOff>12065</xdr:colOff>
      <xdr:row>20</xdr:row>
      <xdr:rowOff>34925</xdr:rowOff>
    </xdr:to>
    <xdr:graphicFrame>
      <xdr:nvGraphicFramePr>
        <xdr:cNvPr id="2" name="Chart 1"/>
        <xdr:cNvGraphicFramePr/>
      </xdr:nvGraphicFramePr>
      <xdr:xfrm>
        <a:off x="7239635" y="1341755"/>
        <a:ext cx="10360660" cy="4106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73025</xdr:colOff>
      <xdr:row>20</xdr:row>
      <xdr:rowOff>130175</xdr:rowOff>
    </xdr:from>
    <xdr:to>
      <xdr:col>20</xdr:col>
      <xdr:colOff>535940</xdr:colOff>
      <xdr:row>34</xdr:row>
      <xdr:rowOff>316865</xdr:rowOff>
    </xdr:to>
    <xdr:graphicFrame>
      <xdr:nvGraphicFramePr>
        <xdr:cNvPr id="3" name="Chart 2"/>
        <xdr:cNvGraphicFramePr/>
      </xdr:nvGraphicFramePr>
      <xdr:xfrm>
        <a:off x="7231380" y="5543550"/>
        <a:ext cx="6015990" cy="3742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20320</xdr:colOff>
      <xdr:row>34</xdr:row>
      <xdr:rowOff>95885</xdr:rowOff>
    </xdr:from>
    <xdr:to>
      <xdr:col>10</xdr:col>
      <xdr:colOff>554355</xdr:colOff>
      <xdr:row>71</xdr:row>
      <xdr:rowOff>107950</xdr:rowOff>
    </xdr:to>
    <xdr:graphicFrame>
      <xdr:nvGraphicFramePr>
        <xdr:cNvPr id="2" name="Chart 1"/>
        <xdr:cNvGraphicFramePr/>
      </xdr:nvGraphicFramePr>
      <xdr:xfrm>
        <a:off x="20320" y="13164185"/>
        <a:ext cx="10283825" cy="7060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283210</xdr:colOff>
      <xdr:row>0</xdr:row>
      <xdr:rowOff>69215</xdr:rowOff>
    </xdr:from>
    <xdr:to>
      <xdr:col>0</xdr:col>
      <xdr:colOff>1117600</xdr:colOff>
      <xdr:row>4</xdr:row>
      <xdr:rowOff>80645</xdr:rowOff>
    </xdr:to>
    <xdr:pic>
      <xdr:nvPicPr>
        <xdr:cNvPr id="3" name="Picture 2" descr="Disposafe_logo without b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3210" y="69215"/>
          <a:ext cx="834390" cy="773430"/>
        </a:xfrm>
        <a:prstGeom prst="rect">
          <a:avLst/>
        </a:prstGeom>
      </xdr:spPr>
    </xdr:pic>
    <xdr:clientData/>
  </xdr:twoCellAnchor>
  <xdr:twoCellAnchor>
    <xdr:from>
      <xdr:col>0</xdr:col>
      <xdr:colOff>109220</xdr:colOff>
      <xdr:row>22</xdr:row>
      <xdr:rowOff>77470</xdr:rowOff>
    </xdr:from>
    <xdr:to>
      <xdr:col>3</xdr:col>
      <xdr:colOff>271145</xdr:colOff>
      <xdr:row>24</xdr:row>
      <xdr:rowOff>50165</xdr:rowOff>
    </xdr:to>
    <xdr:sp>
      <xdr:nvSpPr>
        <xdr:cNvPr id="4" name="Text Box 3"/>
        <xdr:cNvSpPr txBox="1"/>
      </xdr:nvSpPr>
      <xdr:spPr>
        <a:xfrm>
          <a:off x="109220" y="10859770"/>
          <a:ext cx="3486150" cy="35369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5400000"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l"/>
          <a:r>
            <a:rPr lang="en-IN" altLang="en-US" sz="1600" b="1"/>
            <a:t>COMMULATIVE DETAILS 2024-25 </a:t>
          </a:r>
          <a:endParaRPr lang="en-IN" altLang="en-US" sz="1600" b="1"/>
        </a:p>
      </xdr:txBody>
    </xdr:sp>
    <xdr:clientData/>
  </xdr:twoCellAnchor>
  <xdr:twoCellAnchor>
    <xdr:from>
      <xdr:col>2</xdr:col>
      <xdr:colOff>951230</xdr:colOff>
      <xdr:row>22</xdr:row>
      <xdr:rowOff>179070</xdr:rowOff>
    </xdr:from>
    <xdr:to>
      <xdr:col>3</xdr:col>
      <xdr:colOff>66040</xdr:colOff>
      <xdr:row>23</xdr:row>
      <xdr:rowOff>187325</xdr:rowOff>
    </xdr:to>
    <xdr:sp>
      <xdr:nvSpPr>
        <xdr:cNvPr id="5" name="Down Arrow 4"/>
        <xdr:cNvSpPr/>
      </xdr:nvSpPr>
      <xdr:spPr>
        <a:xfrm>
          <a:off x="3315335" y="10961370"/>
          <a:ext cx="74930" cy="198755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1"/>
  <sheetViews>
    <sheetView zoomScalePageLayoutView="115" topLeftCell="A3" workbookViewId="0">
      <pane xSplit="2" ySplit="1" topLeftCell="C12" activePane="bottomRight" state="frozen"/>
      <selection/>
      <selection pane="topRight"/>
      <selection pane="bottomLeft"/>
      <selection pane="bottomRight" activeCell="I30" sqref="I30"/>
    </sheetView>
  </sheetViews>
  <sheetFormatPr defaultColWidth="9" defaultRowHeight="15"/>
  <cols>
    <col min="1" max="5" width="15.7142857142857" style="36" customWidth="1"/>
    <col min="6" max="11" width="15.7142857142857" style="37" customWidth="1"/>
    <col min="12" max="16384" width="9.14285714285714" style="36"/>
  </cols>
  <sheetData>
    <row r="1" s="34" customFormat="1" ht="30" customHeight="1" spans="1:19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O1" s="65"/>
      <c r="P1" s="65"/>
      <c r="Q1" s="65"/>
      <c r="R1" s="65"/>
      <c r="S1" s="65"/>
    </row>
    <row r="2" ht="17.25" customHeight="1" spans="1:11">
      <c r="A2" s="39" t="s">
        <v>1</v>
      </c>
      <c r="B2" s="39"/>
      <c r="C2" s="39"/>
      <c r="D2" s="13"/>
      <c r="E2" s="13"/>
      <c r="F2" s="14"/>
      <c r="G2" s="14"/>
      <c r="H2" s="15"/>
      <c r="I2" s="15"/>
      <c r="J2" s="15"/>
      <c r="K2" s="15"/>
    </row>
    <row r="3" ht="39" customHeight="1" spans="1:11">
      <c r="A3" s="179" t="s">
        <v>2</v>
      </c>
      <c r="B3" s="180" t="s">
        <v>3</v>
      </c>
      <c r="C3" s="181" t="s">
        <v>4</v>
      </c>
      <c r="D3" s="180" t="s">
        <v>5</v>
      </c>
      <c r="E3" s="182" t="s">
        <v>6</v>
      </c>
      <c r="F3" s="183" t="s">
        <v>7</v>
      </c>
      <c r="G3" s="183" t="s">
        <v>8</v>
      </c>
      <c r="H3" s="183" t="s">
        <v>9</v>
      </c>
      <c r="I3" s="182" t="s">
        <v>10</v>
      </c>
      <c r="J3" s="182" t="s">
        <v>11</v>
      </c>
      <c r="K3" s="183" t="s">
        <v>12</v>
      </c>
    </row>
    <row r="4" ht="20" customHeight="1" spans="1:11">
      <c r="A4" s="45">
        <v>45748</v>
      </c>
      <c r="B4" s="118">
        <v>26</v>
      </c>
      <c r="C4" s="118">
        <v>5</v>
      </c>
      <c r="D4" s="119">
        <v>11</v>
      </c>
      <c r="E4" s="119">
        <v>2</v>
      </c>
      <c r="F4" s="119">
        <v>6</v>
      </c>
      <c r="G4" s="119">
        <v>1</v>
      </c>
      <c r="H4" s="119"/>
      <c r="I4" s="131"/>
      <c r="J4" s="131">
        <v>1</v>
      </c>
      <c r="K4" s="126">
        <f>SUM(C4:J4)</f>
        <v>26</v>
      </c>
    </row>
    <row r="5" ht="20" customHeight="1" spans="1:11">
      <c r="A5" s="45">
        <v>45749</v>
      </c>
      <c r="B5" s="118">
        <v>71</v>
      </c>
      <c r="C5" s="118">
        <v>17</v>
      </c>
      <c r="D5" s="119">
        <v>9</v>
      </c>
      <c r="E5" s="119">
        <v>22</v>
      </c>
      <c r="F5" s="119">
        <v>16</v>
      </c>
      <c r="G5" s="119">
        <v>4</v>
      </c>
      <c r="H5" s="119"/>
      <c r="I5" s="131"/>
      <c r="J5" s="131">
        <v>3</v>
      </c>
      <c r="K5" s="126">
        <f>SUM(C5:J5)</f>
        <v>71</v>
      </c>
    </row>
    <row r="6" ht="20" customHeight="1" spans="1:11">
      <c r="A6" s="45">
        <v>45750</v>
      </c>
      <c r="B6" s="118">
        <v>51</v>
      </c>
      <c r="C6" s="118">
        <v>2</v>
      </c>
      <c r="D6" s="119">
        <v>14</v>
      </c>
      <c r="E6" s="119">
        <v>14</v>
      </c>
      <c r="F6" s="119">
        <v>4</v>
      </c>
      <c r="G6" s="119"/>
      <c r="H6" s="119"/>
      <c r="I6" s="131"/>
      <c r="J6" s="131">
        <v>17</v>
      </c>
      <c r="K6" s="126">
        <f>SUM(C6:J6)</f>
        <v>51</v>
      </c>
    </row>
    <row r="7" ht="20" customHeight="1" spans="1:11">
      <c r="A7" s="45">
        <v>45751</v>
      </c>
      <c r="B7" s="118"/>
      <c r="C7" s="118">
        <v>18</v>
      </c>
      <c r="D7" s="119">
        <v>7</v>
      </c>
      <c r="E7" s="119">
        <v>21</v>
      </c>
      <c r="F7" s="119">
        <v>10</v>
      </c>
      <c r="G7" s="119">
        <v>3</v>
      </c>
      <c r="H7" s="119"/>
      <c r="I7" s="131"/>
      <c r="J7" s="131">
        <v>6</v>
      </c>
      <c r="K7" s="126">
        <f>SUM(C7:J7)</f>
        <v>65</v>
      </c>
    </row>
    <row r="8" ht="20" customHeight="1" spans="1:11">
      <c r="A8" s="45">
        <v>45752</v>
      </c>
      <c r="B8" s="118">
        <v>63</v>
      </c>
      <c r="C8" s="118">
        <v>32</v>
      </c>
      <c r="D8" s="119">
        <v>11</v>
      </c>
      <c r="E8" s="119"/>
      <c r="F8" s="119">
        <v>14</v>
      </c>
      <c r="G8" s="119"/>
      <c r="H8" s="119"/>
      <c r="I8" s="131"/>
      <c r="J8" s="131">
        <v>5</v>
      </c>
      <c r="K8" s="126">
        <f>SUM(C8:J8)</f>
        <v>62</v>
      </c>
    </row>
    <row r="9" ht="20" customHeight="1" spans="1:11">
      <c r="A9" s="45">
        <v>45754</v>
      </c>
      <c r="B9" s="118">
        <v>46</v>
      </c>
      <c r="C9" s="118">
        <v>8</v>
      </c>
      <c r="D9" s="119">
        <v>17</v>
      </c>
      <c r="E9" s="119">
        <v>5</v>
      </c>
      <c r="F9" s="119">
        <v>16</v>
      </c>
      <c r="G9" s="119"/>
      <c r="H9" s="119"/>
      <c r="I9" s="131"/>
      <c r="J9" s="131"/>
      <c r="K9" s="126">
        <f t="shared" ref="K9:K20" si="0">SUM(C9:J9)</f>
        <v>46</v>
      </c>
    </row>
    <row r="10" ht="20" customHeight="1" spans="1:11">
      <c r="A10" s="45">
        <v>45755</v>
      </c>
      <c r="B10" s="88">
        <v>46</v>
      </c>
      <c r="C10" s="88">
        <v>7</v>
      </c>
      <c r="D10" s="89">
        <v>24</v>
      </c>
      <c r="E10" s="89">
        <v>6</v>
      </c>
      <c r="F10" s="89">
        <v>8</v>
      </c>
      <c r="G10" s="89"/>
      <c r="H10" s="89"/>
      <c r="I10" s="67"/>
      <c r="J10" s="67">
        <v>1</v>
      </c>
      <c r="K10" s="126">
        <f t="shared" si="0"/>
        <v>46</v>
      </c>
    </row>
    <row r="11" ht="20" customHeight="1" spans="1:11">
      <c r="A11" s="45">
        <v>45756</v>
      </c>
      <c r="B11" s="88">
        <v>106</v>
      </c>
      <c r="C11" s="88">
        <v>14</v>
      </c>
      <c r="D11" s="89">
        <v>88</v>
      </c>
      <c r="E11" s="89">
        <v>2</v>
      </c>
      <c r="F11" s="89">
        <v>2</v>
      </c>
      <c r="G11" s="89"/>
      <c r="H11" s="89"/>
      <c r="I11" s="67"/>
      <c r="J11" s="67"/>
      <c r="K11" s="126">
        <f t="shared" si="0"/>
        <v>106</v>
      </c>
    </row>
    <row r="12" ht="20" customHeight="1" spans="1:11">
      <c r="A12" s="45">
        <v>45757</v>
      </c>
      <c r="B12" s="88">
        <v>89</v>
      </c>
      <c r="C12" s="88">
        <v>9</v>
      </c>
      <c r="D12" s="89">
        <v>56</v>
      </c>
      <c r="E12" s="89">
        <v>1</v>
      </c>
      <c r="F12" s="89">
        <v>15</v>
      </c>
      <c r="G12" s="89">
        <v>4</v>
      </c>
      <c r="H12" s="89"/>
      <c r="I12" s="67">
        <v>2</v>
      </c>
      <c r="J12" s="67">
        <v>2</v>
      </c>
      <c r="K12" s="126">
        <f t="shared" si="0"/>
        <v>89</v>
      </c>
    </row>
    <row r="13" ht="20" customHeight="1" spans="1:11">
      <c r="A13" s="45">
        <v>45758</v>
      </c>
      <c r="B13" s="88">
        <v>82</v>
      </c>
      <c r="C13" s="88">
        <v>15</v>
      </c>
      <c r="D13" s="89">
        <v>28</v>
      </c>
      <c r="E13" s="89">
        <v>19</v>
      </c>
      <c r="F13" s="89">
        <v>16</v>
      </c>
      <c r="G13" s="89"/>
      <c r="H13" s="89"/>
      <c r="I13" s="67"/>
      <c r="J13" s="67">
        <v>4</v>
      </c>
      <c r="K13" s="126">
        <f t="shared" si="0"/>
        <v>82</v>
      </c>
    </row>
    <row r="14" ht="20" customHeight="1" spans="1:11">
      <c r="A14" s="45">
        <v>45759</v>
      </c>
      <c r="B14" s="88">
        <v>71</v>
      </c>
      <c r="C14" s="88">
        <v>10</v>
      </c>
      <c r="D14" s="89">
        <v>28</v>
      </c>
      <c r="E14" s="89">
        <v>20</v>
      </c>
      <c r="F14" s="89">
        <v>4</v>
      </c>
      <c r="G14" s="89"/>
      <c r="H14" s="89"/>
      <c r="I14" s="67"/>
      <c r="J14" s="67">
        <v>9</v>
      </c>
      <c r="K14" s="126">
        <f t="shared" si="0"/>
        <v>71</v>
      </c>
    </row>
    <row r="15" ht="20" customHeight="1" spans="1:11">
      <c r="A15" s="45">
        <v>45761</v>
      </c>
      <c r="B15" s="88">
        <v>73</v>
      </c>
      <c r="C15" s="88">
        <v>16</v>
      </c>
      <c r="D15" s="89">
        <v>14</v>
      </c>
      <c r="E15" s="89">
        <v>29</v>
      </c>
      <c r="F15" s="89">
        <v>10</v>
      </c>
      <c r="G15" s="89"/>
      <c r="H15" s="89"/>
      <c r="I15" s="67"/>
      <c r="J15" s="67">
        <v>4</v>
      </c>
      <c r="K15" s="126">
        <f t="shared" si="0"/>
        <v>73</v>
      </c>
    </row>
    <row r="16" ht="20" customHeight="1" spans="1:11">
      <c r="A16" s="45">
        <v>45762</v>
      </c>
      <c r="B16" s="88">
        <v>53</v>
      </c>
      <c r="C16" s="88">
        <v>15</v>
      </c>
      <c r="D16" s="89">
        <v>24</v>
      </c>
      <c r="E16" s="89">
        <v>5</v>
      </c>
      <c r="F16" s="89">
        <v>6</v>
      </c>
      <c r="G16" s="89">
        <v>2</v>
      </c>
      <c r="H16" s="89"/>
      <c r="I16" s="67"/>
      <c r="J16" s="67">
        <v>1</v>
      </c>
      <c r="K16" s="126">
        <f t="shared" si="0"/>
        <v>53</v>
      </c>
    </row>
    <row r="17" ht="20" customHeight="1" spans="1:11">
      <c r="A17" s="45">
        <v>45763</v>
      </c>
      <c r="B17" s="88">
        <v>47</v>
      </c>
      <c r="C17" s="88">
        <v>16</v>
      </c>
      <c r="D17" s="89">
        <v>17</v>
      </c>
      <c r="E17" s="89">
        <v>10</v>
      </c>
      <c r="F17" s="89">
        <v>4</v>
      </c>
      <c r="G17" s="89"/>
      <c r="H17" s="89"/>
      <c r="I17" s="67"/>
      <c r="J17" s="67"/>
      <c r="K17" s="126">
        <f t="shared" si="0"/>
        <v>47</v>
      </c>
    </row>
    <row r="18" ht="20" customHeight="1" spans="1:11">
      <c r="A18" s="45">
        <v>45764</v>
      </c>
      <c r="B18" s="88">
        <v>49</v>
      </c>
      <c r="C18" s="88">
        <v>10</v>
      </c>
      <c r="D18" s="89">
        <v>17</v>
      </c>
      <c r="E18" s="89">
        <v>12</v>
      </c>
      <c r="F18" s="89">
        <v>6</v>
      </c>
      <c r="G18" s="89">
        <v>4</v>
      </c>
      <c r="H18" s="89"/>
      <c r="I18" s="67"/>
      <c r="J18" s="67"/>
      <c r="K18" s="126">
        <f t="shared" si="0"/>
        <v>49</v>
      </c>
    </row>
    <row r="19" ht="20" customHeight="1" spans="1:11">
      <c r="A19" s="45">
        <v>45765</v>
      </c>
      <c r="B19" s="88">
        <v>53</v>
      </c>
      <c r="C19" s="88">
        <v>12</v>
      </c>
      <c r="D19" s="89">
        <v>21</v>
      </c>
      <c r="E19" s="89">
        <v>12</v>
      </c>
      <c r="F19" s="89">
        <v>8</v>
      </c>
      <c r="G19" s="89"/>
      <c r="H19" s="89"/>
      <c r="I19" s="67"/>
      <c r="J19" s="67"/>
      <c r="K19" s="126">
        <f t="shared" si="0"/>
        <v>53</v>
      </c>
    </row>
    <row r="20" ht="20" customHeight="1" spans="1:11">
      <c r="A20" s="45">
        <v>45766</v>
      </c>
      <c r="B20" s="88">
        <v>58</v>
      </c>
      <c r="C20" s="88">
        <v>9</v>
      </c>
      <c r="D20" s="89">
        <v>11</v>
      </c>
      <c r="E20" s="89">
        <v>15</v>
      </c>
      <c r="F20" s="89">
        <v>10</v>
      </c>
      <c r="G20" s="89">
        <v>11</v>
      </c>
      <c r="H20" s="89"/>
      <c r="I20" s="67"/>
      <c r="J20" s="67">
        <v>2</v>
      </c>
      <c r="K20" s="126">
        <f t="shared" si="0"/>
        <v>58</v>
      </c>
    </row>
    <row r="21" ht="20" customHeight="1" spans="1:11">
      <c r="A21" s="45">
        <v>45768</v>
      </c>
      <c r="B21" s="88">
        <v>63</v>
      </c>
      <c r="C21" s="46">
        <v>12</v>
      </c>
      <c r="D21" s="46">
        <v>14</v>
      </c>
      <c r="E21" s="46">
        <v>15</v>
      </c>
      <c r="F21" s="46">
        <v>16</v>
      </c>
      <c r="G21" s="46"/>
      <c r="H21" s="46"/>
      <c r="I21" s="46"/>
      <c r="J21" s="46">
        <v>6</v>
      </c>
      <c r="K21" s="126">
        <f t="shared" ref="K21:K30" si="1">SUM(C21:J21)</f>
        <v>63</v>
      </c>
    </row>
    <row r="22" ht="20" customHeight="1" spans="1:11">
      <c r="A22" s="45">
        <v>45769</v>
      </c>
      <c r="B22" s="88">
        <v>56</v>
      </c>
      <c r="C22" s="46">
        <v>4</v>
      </c>
      <c r="D22" s="46">
        <v>13</v>
      </c>
      <c r="E22" s="46">
        <v>18</v>
      </c>
      <c r="F22" s="46">
        <v>10</v>
      </c>
      <c r="G22" s="46">
        <v>11</v>
      </c>
      <c r="H22" s="46"/>
      <c r="I22" s="46"/>
      <c r="J22" s="46"/>
      <c r="K22" s="126">
        <f t="shared" si="1"/>
        <v>56</v>
      </c>
    </row>
    <row r="23" ht="20" customHeight="1" spans="1:11">
      <c r="A23" s="45">
        <v>45770</v>
      </c>
      <c r="B23" s="88">
        <v>28</v>
      </c>
      <c r="C23" s="46"/>
      <c r="D23" s="46">
        <v>8</v>
      </c>
      <c r="E23" s="46">
        <v>10</v>
      </c>
      <c r="F23" s="46">
        <v>4</v>
      </c>
      <c r="G23" s="46"/>
      <c r="H23" s="46"/>
      <c r="I23" s="46"/>
      <c r="J23" s="46">
        <v>6</v>
      </c>
      <c r="K23" s="126">
        <f t="shared" si="1"/>
        <v>28</v>
      </c>
    </row>
    <row r="24" ht="20" customHeight="1" spans="1:11">
      <c r="A24" s="45">
        <v>45771</v>
      </c>
      <c r="B24" s="88">
        <v>50</v>
      </c>
      <c r="C24" s="46">
        <v>9</v>
      </c>
      <c r="D24" s="46">
        <v>12</v>
      </c>
      <c r="E24" s="46">
        <v>15</v>
      </c>
      <c r="F24" s="46">
        <v>8</v>
      </c>
      <c r="G24" s="46">
        <v>6</v>
      </c>
      <c r="H24" s="46"/>
      <c r="I24" s="46"/>
      <c r="J24" s="46"/>
      <c r="K24" s="126">
        <f t="shared" si="1"/>
        <v>50</v>
      </c>
    </row>
    <row r="25" ht="20" customHeight="1" spans="1:11">
      <c r="A25" s="45">
        <v>45772</v>
      </c>
      <c r="B25" s="155">
        <v>41</v>
      </c>
      <c r="C25" s="127">
        <v>1</v>
      </c>
      <c r="D25" s="127">
        <v>14</v>
      </c>
      <c r="E25" s="127">
        <v>13</v>
      </c>
      <c r="F25" s="127">
        <v>5</v>
      </c>
      <c r="G25" s="127"/>
      <c r="H25" s="127">
        <v>5</v>
      </c>
      <c r="I25" s="127"/>
      <c r="J25" s="127">
        <v>3</v>
      </c>
      <c r="K25" s="126">
        <f t="shared" si="1"/>
        <v>41</v>
      </c>
    </row>
    <row r="26" ht="20" customHeight="1" spans="1:11">
      <c r="A26" s="45">
        <v>45773</v>
      </c>
      <c r="B26" s="155">
        <v>40</v>
      </c>
      <c r="C26" s="127">
        <v>1</v>
      </c>
      <c r="D26" s="127">
        <v>7</v>
      </c>
      <c r="E26" s="127">
        <v>14</v>
      </c>
      <c r="F26" s="127">
        <v>14</v>
      </c>
      <c r="G26" s="127"/>
      <c r="H26" s="127"/>
      <c r="I26" s="127">
        <v>2</v>
      </c>
      <c r="J26" s="127">
        <v>2</v>
      </c>
      <c r="K26" s="126">
        <f t="shared" si="1"/>
        <v>40</v>
      </c>
    </row>
    <row r="27" ht="20" customHeight="1" spans="1:11">
      <c r="A27" s="45">
        <v>45775</v>
      </c>
      <c r="B27" s="155">
        <v>67</v>
      </c>
      <c r="C27" s="127">
        <v>16</v>
      </c>
      <c r="D27" s="127">
        <v>8</v>
      </c>
      <c r="E27" s="127">
        <v>11</v>
      </c>
      <c r="F27" s="127">
        <v>19</v>
      </c>
      <c r="G27" s="127">
        <v>2</v>
      </c>
      <c r="H27" s="127">
        <v>9</v>
      </c>
      <c r="I27" s="127">
        <v>2</v>
      </c>
      <c r="J27" s="127"/>
      <c r="K27" s="126">
        <f t="shared" si="1"/>
        <v>67</v>
      </c>
    </row>
    <row r="28" ht="20" customHeight="1" spans="1:11">
      <c r="A28" s="45">
        <v>45776</v>
      </c>
      <c r="B28" s="155">
        <v>97</v>
      </c>
      <c r="C28" s="127"/>
      <c r="D28" s="127">
        <v>5</v>
      </c>
      <c r="E28" s="127">
        <v>4</v>
      </c>
      <c r="F28" s="127">
        <v>67</v>
      </c>
      <c r="G28" s="127">
        <v>3</v>
      </c>
      <c r="H28" s="127"/>
      <c r="I28" s="127">
        <v>17</v>
      </c>
      <c r="J28" s="127">
        <v>1</v>
      </c>
      <c r="K28" s="126">
        <f t="shared" si="1"/>
        <v>97</v>
      </c>
    </row>
    <row r="29" ht="20" customHeight="1" spans="1:11">
      <c r="A29" s="45">
        <v>45777</v>
      </c>
      <c r="B29" s="155">
        <v>136</v>
      </c>
      <c r="C29" s="127"/>
      <c r="D29" s="127">
        <v>9</v>
      </c>
      <c r="E29" s="127">
        <v>17</v>
      </c>
      <c r="F29" s="127">
        <v>52</v>
      </c>
      <c r="G29" s="127"/>
      <c r="H29" s="127"/>
      <c r="I29" s="127">
        <v>53</v>
      </c>
      <c r="J29" s="127">
        <v>5</v>
      </c>
      <c r="K29" s="126">
        <f t="shared" si="1"/>
        <v>136</v>
      </c>
    </row>
    <row r="30" ht="25.35" customHeight="1" spans="1:11">
      <c r="A30" s="184" t="s">
        <v>13</v>
      </c>
      <c r="B30" s="185">
        <f t="shared" ref="B30:J30" si="2">SUM(B4:B29)</f>
        <v>1562</v>
      </c>
      <c r="C30" s="185">
        <f t="shared" si="2"/>
        <v>258</v>
      </c>
      <c r="D30" s="185">
        <f t="shared" si="2"/>
        <v>487</v>
      </c>
      <c r="E30" s="185">
        <f t="shared" si="2"/>
        <v>312</v>
      </c>
      <c r="F30" s="185">
        <f t="shared" si="2"/>
        <v>350</v>
      </c>
      <c r="G30" s="185">
        <f t="shared" si="2"/>
        <v>51</v>
      </c>
      <c r="H30" s="185">
        <f t="shared" si="2"/>
        <v>14</v>
      </c>
      <c r="I30" s="185">
        <f t="shared" si="2"/>
        <v>76</v>
      </c>
      <c r="J30" s="185">
        <f t="shared" si="2"/>
        <v>78</v>
      </c>
      <c r="K30" s="184">
        <f>C30+D30+E30+F30+G30+H30+J30</f>
        <v>1550</v>
      </c>
    </row>
    <row r="31" ht="25.35" customHeight="1"/>
    <row r="32" ht="25.35" customHeight="1"/>
    <row r="33" ht="25.35" customHeight="1"/>
    <row r="34" ht="25.35" customHeight="1"/>
    <row r="35" ht="25.35" customHeight="1"/>
    <row r="36" ht="25.35" customHeight="1"/>
    <row r="37" ht="25.35" customHeight="1"/>
    <row r="38" ht="25.35" customHeight="1"/>
    <row r="39" ht="25.35" customHeight="1"/>
    <row r="40" ht="25.35" customHeight="1"/>
    <row r="41" ht="28.7" customHeight="1"/>
  </sheetData>
  <mergeCells count="3">
    <mergeCell ref="A1:K1"/>
    <mergeCell ref="A2:C2"/>
    <mergeCell ref="H2:K2"/>
  </mergeCells>
  <pageMargins left="0.314583333333333" right="0.251388888888889" top="0.751388888888889" bottom="0.196527777777778" header="0.298611111111111" footer="0.298611111111111"/>
  <pageSetup paperSize="9" scale="42" fitToHeight="0" orientation="landscape" horizontalDpi="600"/>
  <headerFooter alignWithMargins="0">
    <oddHeader>&amp;L&amp;G&amp;C&amp;14&amp;BDISPOSAFE HEALTH AND LIFE CARE LIMITED, &amp;10
PLOT NO 37A SECTOR-6, FARIDABAD 121006, HARYANA, INDIA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6"/>
  <sheetViews>
    <sheetView view="pageLayout" zoomScale="55" zoomScaleNormal="100" workbookViewId="0">
      <selection activeCell="K36" sqref="K36"/>
    </sheetView>
  </sheetViews>
  <sheetFormatPr defaultColWidth="9" defaultRowHeight="15"/>
  <cols>
    <col min="1" max="1" width="10.2857142857143" style="36" customWidth="1"/>
    <col min="2" max="2" width="11.8095238095238" style="36" customWidth="1"/>
    <col min="3" max="3" width="10.9809523809524" style="36" customWidth="1"/>
    <col min="4" max="4" width="10" style="36" customWidth="1"/>
    <col min="5" max="5" width="10.2857142857143" style="36" customWidth="1"/>
    <col min="6" max="6" width="9.84761904761905" style="37" customWidth="1"/>
    <col min="7" max="7" width="6.96190476190476" style="37" customWidth="1"/>
    <col min="8" max="8" width="7.66666666666667" style="37" customWidth="1"/>
    <col min="9" max="10" width="10.2857142857143" style="37" customWidth="1"/>
    <col min="11" max="11" width="11.5714285714286" style="37" customWidth="1"/>
    <col min="12" max="16384" width="9.14285714285714" style="36"/>
  </cols>
  <sheetData>
    <row r="1" s="34" customFormat="1" ht="30" customHeight="1" spans="1:19">
      <c r="A1" s="164" t="s">
        <v>14</v>
      </c>
      <c r="B1" s="165"/>
      <c r="C1" s="165"/>
      <c r="D1" s="165"/>
      <c r="E1" s="165"/>
      <c r="F1" s="165"/>
      <c r="G1" s="165"/>
      <c r="H1" s="165"/>
      <c r="I1" s="165"/>
      <c r="J1" s="165"/>
      <c r="K1" s="173"/>
      <c r="O1" s="65"/>
      <c r="P1" s="65"/>
      <c r="Q1" s="65"/>
      <c r="R1" s="65"/>
      <c r="S1" s="65"/>
    </row>
    <row r="2" ht="17.25" customHeight="1" spans="1:11">
      <c r="A2" s="85" t="s">
        <v>15</v>
      </c>
      <c r="B2" s="39"/>
      <c r="C2" s="39"/>
      <c r="D2" s="13"/>
      <c r="E2" s="13"/>
      <c r="F2" s="14"/>
      <c r="G2" s="14"/>
      <c r="H2" s="15"/>
      <c r="I2" s="15"/>
      <c r="J2" s="15"/>
      <c r="K2" s="103"/>
    </row>
    <row r="3" ht="39" customHeight="1" spans="1:11">
      <c r="A3" s="166" t="s">
        <v>2</v>
      </c>
      <c r="B3" s="167" t="s">
        <v>3</v>
      </c>
      <c r="C3" s="168" t="s">
        <v>4</v>
      </c>
      <c r="D3" s="167" t="s">
        <v>5</v>
      </c>
      <c r="E3" s="169" t="s">
        <v>6</v>
      </c>
      <c r="F3" s="170" t="s">
        <v>7</v>
      </c>
      <c r="G3" s="170" t="s">
        <v>8</v>
      </c>
      <c r="H3" s="170" t="s">
        <v>9</v>
      </c>
      <c r="I3" s="169" t="s">
        <v>16</v>
      </c>
      <c r="J3" s="169" t="s">
        <v>11</v>
      </c>
      <c r="K3" s="174" t="s">
        <v>12</v>
      </c>
    </row>
    <row r="4" ht="25" customHeight="1" spans="1:11">
      <c r="A4" s="87">
        <v>45778</v>
      </c>
      <c r="B4" s="88">
        <v>74</v>
      </c>
      <c r="C4" s="88">
        <v>3</v>
      </c>
      <c r="D4" s="89">
        <v>2</v>
      </c>
      <c r="E4" s="89">
        <v>14</v>
      </c>
      <c r="F4" s="89">
        <v>32</v>
      </c>
      <c r="G4" s="89">
        <v>1</v>
      </c>
      <c r="H4" s="89"/>
      <c r="I4" s="67">
        <v>17</v>
      </c>
      <c r="J4" s="67">
        <v>5</v>
      </c>
      <c r="K4" s="106">
        <f>SUM(C4:J4)</f>
        <v>74</v>
      </c>
    </row>
    <row r="5" ht="25" customHeight="1" spans="1:11">
      <c r="A5" s="87">
        <v>45779</v>
      </c>
      <c r="B5" s="88"/>
      <c r="C5" s="88"/>
      <c r="D5" s="89"/>
      <c r="E5" s="89"/>
      <c r="F5" s="89"/>
      <c r="G5" s="89"/>
      <c r="H5" s="89"/>
      <c r="I5" s="67"/>
      <c r="J5" s="67"/>
      <c r="K5" s="106">
        <f>SUM(C5:J5)</f>
        <v>0</v>
      </c>
    </row>
    <row r="6" ht="25" customHeight="1" spans="1:11">
      <c r="A6" s="87">
        <v>45780</v>
      </c>
      <c r="B6" s="88">
        <v>45</v>
      </c>
      <c r="C6" s="88">
        <v>5</v>
      </c>
      <c r="D6" s="89">
        <v>5</v>
      </c>
      <c r="E6" s="89">
        <v>9</v>
      </c>
      <c r="F6" s="89">
        <v>10</v>
      </c>
      <c r="G6" s="89"/>
      <c r="H6" s="89"/>
      <c r="I6" s="67">
        <v>16</v>
      </c>
      <c r="J6" s="67"/>
      <c r="K6" s="106">
        <f>SUM(C6:J6)</f>
        <v>45</v>
      </c>
    </row>
    <row r="7" ht="25" customHeight="1" spans="1:11">
      <c r="A7" s="154">
        <v>45781</v>
      </c>
      <c r="B7" s="153" t="s">
        <v>17</v>
      </c>
      <c r="C7" s="153"/>
      <c r="D7" s="153"/>
      <c r="E7" s="153"/>
      <c r="F7" s="153"/>
      <c r="G7" s="153"/>
      <c r="H7" s="153"/>
      <c r="I7" s="153"/>
      <c r="J7" s="153"/>
      <c r="K7" s="161"/>
    </row>
    <row r="8" ht="25" customHeight="1" spans="1:11">
      <c r="A8" s="87">
        <v>45782</v>
      </c>
      <c r="B8" s="155"/>
      <c r="C8" s="155">
        <v>1</v>
      </c>
      <c r="D8" s="171">
        <v>3</v>
      </c>
      <c r="E8" s="171">
        <v>16</v>
      </c>
      <c r="F8" s="171">
        <v>28</v>
      </c>
      <c r="G8" s="171"/>
      <c r="H8" s="171"/>
      <c r="I8" s="175">
        <v>43</v>
      </c>
      <c r="J8" s="175">
        <v>4</v>
      </c>
      <c r="K8" s="176">
        <f t="shared" ref="K8:K13" si="0">SUM(C8:J8)</f>
        <v>95</v>
      </c>
    </row>
    <row r="9" ht="25" customHeight="1" spans="1:11">
      <c r="A9" s="87">
        <v>45783</v>
      </c>
      <c r="B9" s="88">
        <v>59</v>
      </c>
      <c r="C9" s="88">
        <v>1</v>
      </c>
      <c r="D9" s="89">
        <v>8</v>
      </c>
      <c r="E9" s="89">
        <v>15</v>
      </c>
      <c r="F9" s="89">
        <v>24</v>
      </c>
      <c r="G9" s="89"/>
      <c r="H9" s="89"/>
      <c r="I9" s="67">
        <v>9</v>
      </c>
      <c r="J9" s="67">
        <v>2</v>
      </c>
      <c r="K9" s="106">
        <f t="shared" si="0"/>
        <v>59</v>
      </c>
    </row>
    <row r="10" ht="25" customHeight="1" spans="1:11">
      <c r="A10" s="87">
        <v>45784</v>
      </c>
      <c r="B10" s="88">
        <v>70</v>
      </c>
      <c r="C10" s="88">
        <v>1</v>
      </c>
      <c r="D10" s="89">
        <v>2</v>
      </c>
      <c r="E10" s="89">
        <v>8</v>
      </c>
      <c r="F10" s="89">
        <v>42</v>
      </c>
      <c r="G10" s="89"/>
      <c r="H10" s="89"/>
      <c r="I10" s="67">
        <v>17</v>
      </c>
      <c r="J10" s="67"/>
      <c r="K10" s="106">
        <f t="shared" si="0"/>
        <v>70</v>
      </c>
    </row>
    <row r="11" ht="25" customHeight="1" spans="1:11">
      <c r="A11" s="87">
        <v>45785</v>
      </c>
      <c r="B11" s="88">
        <v>78</v>
      </c>
      <c r="C11" s="88">
        <v>4</v>
      </c>
      <c r="D11" s="89">
        <v>1</v>
      </c>
      <c r="E11" s="89">
        <v>8</v>
      </c>
      <c r="F11" s="89">
        <v>38</v>
      </c>
      <c r="G11" s="89"/>
      <c r="H11" s="89"/>
      <c r="I11" s="67">
        <v>25</v>
      </c>
      <c r="J11" s="67">
        <v>2</v>
      </c>
      <c r="K11" s="106">
        <f t="shared" si="0"/>
        <v>78</v>
      </c>
    </row>
    <row r="12" ht="25" customHeight="1" spans="1:11">
      <c r="A12" s="87">
        <v>45786</v>
      </c>
      <c r="B12" s="88">
        <v>56</v>
      </c>
      <c r="C12" s="88">
        <v>2</v>
      </c>
      <c r="D12" s="89">
        <v>8</v>
      </c>
      <c r="E12" s="89">
        <v>16</v>
      </c>
      <c r="F12" s="89">
        <v>16</v>
      </c>
      <c r="G12" s="89">
        <v>1</v>
      </c>
      <c r="H12" s="89"/>
      <c r="I12" s="67">
        <v>13</v>
      </c>
      <c r="J12" s="67"/>
      <c r="K12" s="106">
        <f t="shared" si="0"/>
        <v>56</v>
      </c>
    </row>
    <row r="13" ht="25" customHeight="1" spans="1:11">
      <c r="A13" s="87">
        <v>45787</v>
      </c>
      <c r="B13" s="88">
        <v>101</v>
      </c>
      <c r="C13" s="88">
        <v>5</v>
      </c>
      <c r="D13" s="89">
        <v>4</v>
      </c>
      <c r="E13" s="89">
        <v>31</v>
      </c>
      <c r="F13" s="89">
        <v>40</v>
      </c>
      <c r="G13" s="89"/>
      <c r="H13" s="89"/>
      <c r="I13" s="67">
        <v>17</v>
      </c>
      <c r="J13" s="67">
        <v>4</v>
      </c>
      <c r="K13" s="106">
        <f t="shared" si="0"/>
        <v>101</v>
      </c>
    </row>
    <row r="14" ht="25" customHeight="1" spans="1:11">
      <c r="A14" s="154">
        <v>45788</v>
      </c>
      <c r="B14" s="153" t="s">
        <v>17</v>
      </c>
      <c r="C14" s="153"/>
      <c r="D14" s="153"/>
      <c r="E14" s="153"/>
      <c r="F14" s="153"/>
      <c r="G14" s="153"/>
      <c r="H14" s="153"/>
      <c r="I14" s="153"/>
      <c r="J14" s="153"/>
      <c r="K14" s="161"/>
    </row>
    <row r="15" ht="25" customHeight="1" spans="1:11">
      <c r="A15" s="87">
        <v>45789</v>
      </c>
      <c r="B15" s="88">
        <v>114</v>
      </c>
      <c r="C15" s="88">
        <v>1</v>
      </c>
      <c r="D15" s="89">
        <v>4</v>
      </c>
      <c r="E15" s="89">
        <v>60</v>
      </c>
      <c r="F15" s="89">
        <v>38</v>
      </c>
      <c r="G15" s="89"/>
      <c r="H15" s="89"/>
      <c r="I15" s="67">
        <v>11</v>
      </c>
      <c r="J15" s="67"/>
      <c r="K15" s="106">
        <f t="shared" ref="K15:K21" si="1">SUM(C15:J15)</f>
        <v>114</v>
      </c>
    </row>
    <row r="16" ht="25" customHeight="1" spans="1:11">
      <c r="A16" s="87">
        <v>45790</v>
      </c>
      <c r="B16" s="88">
        <v>71</v>
      </c>
      <c r="C16" s="88">
        <v>14</v>
      </c>
      <c r="D16" s="89">
        <v>17</v>
      </c>
      <c r="E16" s="89">
        <v>21</v>
      </c>
      <c r="F16" s="89">
        <v>1</v>
      </c>
      <c r="G16" s="89">
        <v>8</v>
      </c>
      <c r="H16" s="89"/>
      <c r="I16" s="67"/>
      <c r="J16" s="67">
        <v>6</v>
      </c>
      <c r="K16" s="106">
        <f t="shared" si="1"/>
        <v>67</v>
      </c>
    </row>
    <row r="17" ht="25" customHeight="1" spans="1:11">
      <c r="A17" s="87">
        <v>45791</v>
      </c>
      <c r="B17" s="88">
        <v>74</v>
      </c>
      <c r="C17" s="88">
        <v>3</v>
      </c>
      <c r="D17" s="89">
        <v>2</v>
      </c>
      <c r="E17" s="89">
        <v>9</v>
      </c>
      <c r="F17" s="89">
        <v>36</v>
      </c>
      <c r="G17" s="89"/>
      <c r="H17" s="89"/>
      <c r="I17" s="67">
        <v>13</v>
      </c>
      <c r="J17" s="67">
        <v>11</v>
      </c>
      <c r="K17" s="106">
        <f t="shared" si="1"/>
        <v>74</v>
      </c>
    </row>
    <row r="18" ht="25" customHeight="1" spans="1:11">
      <c r="A18" s="87">
        <v>45792</v>
      </c>
      <c r="B18" s="88">
        <v>99</v>
      </c>
      <c r="C18" s="88">
        <v>6</v>
      </c>
      <c r="D18" s="89">
        <v>5</v>
      </c>
      <c r="E18" s="89">
        <v>15</v>
      </c>
      <c r="F18" s="89">
        <v>54</v>
      </c>
      <c r="G18" s="89"/>
      <c r="H18" s="89"/>
      <c r="I18" s="67">
        <v>18</v>
      </c>
      <c r="J18" s="67">
        <v>1</v>
      </c>
      <c r="K18" s="106">
        <f t="shared" si="1"/>
        <v>99</v>
      </c>
    </row>
    <row r="19" ht="25" customHeight="1" spans="1:11">
      <c r="A19" s="87">
        <v>45793</v>
      </c>
      <c r="B19" s="88">
        <v>67</v>
      </c>
      <c r="C19" s="88">
        <v>2</v>
      </c>
      <c r="D19" s="89">
        <v>5</v>
      </c>
      <c r="E19" s="89">
        <v>15</v>
      </c>
      <c r="F19" s="89">
        <v>24</v>
      </c>
      <c r="G19" s="89"/>
      <c r="H19" s="89"/>
      <c r="I19" s="67">
        <v>21</v>
      </c>
      <c r="J19" s="67"/>
      <c r="K19" s="106">
        <f t="shared" si="1"/>
        <v>67</v>
      </c>
    </row>
    <row r="20" ht="25" customHeight="1" spans="1:11">
      <c r="A20" s="87">
        <v>45794</v>
      </c>
      <c r="B20" s="88">
        <v>104</v>
      </c>
      <c r="C20" s="88">
        <v>1</v>
      </c>
      <c r="D20" s="89">
        <v>4</v>
      </c>
      <c r="E20" s="89">
        <v>22</v>
      </c>
      <c r="F20" s="89">
        <v>38</v>
      </c>
      <c r="G20" s="89"/>
      <c r="H20" s="89"/>
      <c r="I20" s="67">
        <v>39</v>
      </c>
      <c r="J20" s="67"/>
      <c r="K20" s="106">
        <f t="shared" si="1"/>
        <v>104</v>
      </c>
    </row>
    <row r="21" ht="25" customHeight="1" spans="1:11">
      <c r="A21" s="154">
        <v>45795</v>
      </c>
      <c r="B21" s="153" t="s">
        <v>17</v>
      </c>
      <c r="C21" s="153"/>
      <c r="D21" s="153"/>
      <c r="E21" s="153"/>
      <c r="F21" s="153"/>
      <c r="G21" s="153"/>
      <c r="H21" s="153"/>
      <c r="I21" s="153"/>
      <c r="J21" s="153"/>
      <c r="K21" s="161"/>
    </row>
    <row r="22" ht="25" customHeight="1" spans="1:11">
      <c r="A22" s="87">
        <v>45796</v>
      </c>
      <c r="B22" s="88">
        <v>98</v>
      </c>
      <c r="C22" s="46">
        <v>2</v>
      </c>
      <c r="D22" s="46">
        <v>7</v>
      </c>
      <c r="E22" s="46">
        <v>14</v>
      </c>
      <c r="F22" s="46">
        <v>47</v>
      </c>
      <c r="G22" s="46"/>
      <c r="H22" s="46"/>
      <c r="I22" s="46">
        <v>28</v>
      </c>
      <c r="J22" s="46"/>
      <c r="K22" s="106">
        <f>SUM(C22:J22)</f>
        <v>98</v>
      </c>
    </row>
    <row r="23" ht="25" customHeight="1" spans="1:11">
      <c r="A23" s="87">
        <v>45797</v>
      </c>
      <c r="B23" s="88">
        <v>96</v>
      </c>
      <c r="C23" s="46"/>
      <c r="D23" s="46">
        <v>10</v>
      </c>
      <c r="E23" s="46">
        <v>20</v>
      </c>
      <c r="F23" s="46">
        <v>42</v>
      </c>
      <c r="G23" s="46"/>
      <c r="H23" s="46"/>
      <c r="I23" s="46">
        <v>24</v>
      </c>
      <c r="J23" s="46"/>
      <c r="K23" s="106">
        <f t="shared" ref="K22:K34" si="2">SUM(C23:J23)</f>
        <v>96</v>
      </c>
    </row>
    <row r="24" ht="25" customHeight="1" spans="1:11">
      <c r="A24" s="87">
        <v>45798</v>
      </c>
      <c r="B24" s="88">
        <v>133</v>
      </c>
      <c r="C24" s="126">
        <v>31</v>
      </c>
      <c r="D24" s="126">
        <v>28</v>
      </c>
      <c r="E24" s="126">
        <v>54</v>
      </c>
      <c r="F24" s="126">
        <v>9</v>
      </c>
      <c r="G24" s="126">
        <v>4</v>
      </c>
      <c r="H24" s="126"/>
      <c r="I24" s="126">
        <v>2</v>
      </c>
      <c r="J24" s="126">
        <v>4</v>
      </c>
      <c r="K24" s="106">
        <f t="shared" si="2"/>
        <v>132</v>
      </c>
    </row>
    <row r="25" ht="25" customHeight="1" spans="1:11">
      <c r="A25" s="87">
        <v>45799</v>
      </c>
      <c r="B25" s="88">
        <v>98</v>
      </c>
      <c r="C25" s="126">
        <v>37</v>
      </c>
      <c r="D25" s="126">
        <v>13</v>
      </c>
      <c r="E25" s="126">
        <v>15</v>
      </c>
      <c r="F25" s="126">
        <v>11</v>
      </c>
      <c r="G25" s="126">
        <v>15</v>
      </c>
      <c r="H25" s="126">
        <v>1</v>
      </c>
      <c r="I25" s="126">
        <v>3</v>
      </c>
      <c r="J25" s="126">
        <v>3</v>
      </c>
      <c r="K25" s="106">
        <f t="shared" si="2"/>
        <v>98</v>
      </c>
    </row>
    <row r="26" ht="25" customHeight="1" spans="1:11">
      <c r="A26" s="87">
        <v>45800</v>
      </c>
      <c r="B26" s="155">
        <v>115</v>
      </c>
      <c r="C26" s="127">
        <v>14</v>
      </c>
      <c r="D26" s="127">
        <v>24</v>
      </c>
      <c r="E26" s="127">
        <v>25</v>
      </c>
      <c r="F26" s="127">
        <v>38</v>
      </c>
      <c r="G26" s="127"/>
      <c r="H26" s="127"/>
      <c r="I26" s="127"/>
      <c r="J26" s="127">
        <v>14</v>
      </c>
      <c r="K26" s="106">
        <f t="shared" si="2"/>
        <v>115</v>
      </c>
    </row>
    <row r="27" ht="25" customHeight="1" spans="1:11">
      <c r="A27" s="87">
        <v>45801</v>
      </c>
      <c r="B27" s="172">
        <v>91</v>
      </c>
      <c r="C27" s="129">
        <v>21</v>
      </c>
      <c r="D27" s="129">
        <v>20</v>
      </c>
      <c r="E27" s="129">
        <v>25</v>
      </c>
      <c r="F27" s="129">
        <v>15</v>
      </c>
      <c r="G27" s="129">
        <v>6</v>
      </c>
      <c r="H27" s="129">
        <v>4</v>
      </c>
      <c r="I27" s="129"/>
      <c r="J27" s="129"/>
      <c r="K27" s="177">
        <f t="shared" si="2"/>
        <v>91</v>
      </c>
    </row>
    <row r="28" ht="25" customHeight="1" spans="1:11">
      <c r="A28" s="154">
        <v>45802</v>
      </c>
      <c r="B28" s="153" t="s">
        <v>17</v>
      </c>
      <c r="C28" s="153"/>
      <c r="D28" s="153"/>
      <c r="E28" s="153"/>
      <c r="F28" s="153"/>
      <c r="G28" s="153"/>
      <c r="H28" s="153"/>
      <c r="I28" s="153"/>
      <c r="J28" s="153"/>
      <c r="K28" s="161"/>
    </row>
    <row r="29" ht="25" customHeight="1" spans="1:11">
      <c r="A29" s="87">
        <v>45803</v>
      </c>
      <c r="B29" s="155">
        <v>111</v>
      </c>
      <c r="C29" s="127">
        <v>25</v>
      </c>
      <c r="D29" s="127">
        <v>20</v>
      </c>
      <c r="E29" s="127">
        <v>31</v>
      </c>
      <c r="F29" s="127">
        <v>21</v>
      </c>
      <c r="G29" s="127">
        <v>12</v>
      </c>
      <c r="H29" s="127">
        <v>2</v>
      </c>
      <c r="I29" s="127"/>
      <c r="J29" s="127"/>
      <c r="K29" s="106">
        <f t="shared" si="2"/>
        <v>111</v>
      </c>
    </row>
    <row r="30" ht="25" customHeight="1" spans="1:11">
      <c r="A30" s="87">
        <v>45804</v>
      </c>
      <c r="B30" s="155">
        <v>123</v>
      </c>
      <c r="C30" s="127">
        <v>28</v>
      </c>
      <c r="D30" s="127">
        <v>30</v>
      </c>
      <c r="E30" s="127">
        <v>25</v>
      </c>
      <c r="F30" s="127">
        <v>27</v>
      </c>
      <c r="G30" s="127">
        <v>9</v>
      </c>
      <c r="H30" s="127">
        <v>4</v>
      </c>
      <c r="I30" s="127"/>
      <c r="J30" s="127"/>
      <c r="K30" s="106">
        <f t="shared" si="2"/>
        <v>123</v>
      </c>
    </row>
    <row r="31" ht="25" customHeight="1" spans="1:11">
      <c r="A31" s="87">
        <v>45805</v>
      </c>
      <c r="B31" s="155">
        <v>128</v>
      </c>
      <c r="C31" s="127">
        <v>30</v>
      </c>
      <c r="D31" s="127">
        <v>19</v>
      </c>
      <c r="E31" s="127">
        <v>34</v>
      </c>
      <c r="F31" s="127">
        <v>21</v>
      </c>
      <c r="G31" s="127">
        <v>24</v>
      </c>
      <c r="H31" s="127"/>
      <c r="I31" s="127"/>
      <c r="J31" s="127"/>
      <c r="K31" s="106">
        <f t="shared" si="2"/>
        <v>128</v>
      </c>
    </row>
    <row r="32" ht="25" customHeight="1" spans="1:11">
      <c r="A32" s="87">
        <v>45806</v>
      </c>
      <c r="B32" s="155">
        <v>110</v>
      </c>
      <c r="C32" s="127">
        <v>32</v>
      </c>
      <c r="D32" s="127">
        <v>26</v>
      </c>
      <c r="E32" s="127">
        <v>25</v>
      </c>
      <c r="F32" s="127">
        <v>14</v>
      </c>
      <c r="G32" s="127">
        <v>13</v>
      </c>
      <c r="H32" s="127"/>
      <c r="I32" s="127"/>
      <c r="J32" s="127"/>
      <c r="K32" s="106">
        <f t="shared" si="2"/>
        <v>110</v>
      </c>
    </row>
    <row r="33" ht="25" customHeight="1" spans="1:11">
      <c r="A33" s="87">
        <v>45807</v>
      </c>
      <c r="B33" s="155">
        <v>108</v>
      </c>
      <c r="C33" s="127">
        <v>18</v>
      </c>
      <c r="D33" s="127">
        <v>34</v>
      </c>
      <c r="E33" s="127">
        <v>20</v>
      </c>
      <c r="F33" s="127">
        <v>31</v>
      </c>
      <c r="G33" s="127">
        <v>2</v>
      </c>
      <c r="H33" s="127">
        <v>13</v>
      </c>
      <c r="I33" s="127"/>
      <c r="J33" s="127"/>
      <c r="K33" s="106">
        <f t="shared" si="2"/>
        <v>118</v>
      </c>
    </row>
    <row r="34" ht="25" customHeight="1" spans="1:11">
      <c r="A34" s="87">
        <v>45808</v>
      </c>
      <c r="B34" s="120">
        <v>123</v>
      </c>
      <c r="C34" s="141">
        <v>26</v>
      </c>
      <c r="D34" s="141">
        <v>26</v>
      </c>
      <c r="E34" s="141">
        <v>11</v>
      </c>
      <c r="F34" s="141">
        <v>32</v>
      </c>
      <c r="G34" s="141">
        <v>2</v>
      </c>
      <c r="H34" s="141">
        <v>16</v>
      </c>
      <c r="I34" s="141"/>
      <c r="J34" s="141">
        <v>10</v>
      </c>
      <c r="K34" s="106">
        <f t="shared" si="2"/>
        <v>123</v>
      </c>
    </row>
    <row r="35" ht="25" customHeight="1" spans="1:11">
      <c r="A35" s="156" t="s">
        <v>13</v>
      </c>
      <c r="B35" s="157">
        <f t="shared" ref="B35:I35" si="3">SUM(B4:B34)</f>
        <v>2346</v>
      </c>
      <c r="C35" s="157">
        <f t="shared" si="3"/>
        <v>313</v>
      </c>
      <c r="D35" s="157">
        <f t="shared" si="3"/>
        <v>327</v>
      </c>
      <c r="E35" s="157">
        <f t="shared" si="3"/>
        <v>558</v>
      </c>
      <c r="F35" s="157">
        <f t="shared" si="3"/>
        <v>729</v>
      </c>
      <c r="G35" s="157">
        <f t="shared" si="3"/>
        <v>97</v>
      </c>
      <c r="H35" s="157">
        <f t="shared" si="3"/>
        <v>40</v>
      </c>
      <c r="I35" s="157">
        <f>SUM(I15:I34)</f>
        <v>159</v>
      </c>
      <c r="J35" s="157">
        <v>0</v>
      </c>
      <c r="K35" s="163">
        <f>C35+D35+E35+F35+G35+H35+I35+J35</f>
        <v>2223</v>
      </c>
    </row>
    <row r="36" ht="25.35" customHeight="1"/>
    <row r="37" ht="25.35" customHeight="1"/>
    <row r="38" ht="25.35" customHeight="1"/>
    <row r="39" ht="25.35" customHeight="1"/>
    <row r="40" ht="25.35" customHeight="1"/>
    <row r="41" ht="25.35" customHeight="1"/>
    <row r="42" ht="25.35" customHeight="1"/>
    <row r="43" ht="25.35" customHeight="1"/>
    <row r="44" ht="25.35" customHeight="1"/>
    <row r="45" ht="25.35" customHeight="1"/>
    <row r="46" ht="28.7" customHeight="1"/>
  </sheetData>
  <mergeCells count="7">
    <mergeCell ref="A1:K1"/>
    <mergeCell ref="A2:C2"/>
    <mergeCell ref="H2:K2"/>
    <mergeCell ref="B7:K7"/>
    <mergeCell ref="B14:K14"/>
    <mergeCell ref="B21:K21"/>
    <mergeCell ref="B28:K28"/>
  </mergeCells>
  <pageMargins left="0.251388888888889" right="0.251388888888889" top="0.751388888888889" bottom="0.236111111111111" header="0.0784722222222222" footer="0.0784722222222222"/>
  <pageSetup paperSize="9" scale="35" orientation="portrait" horizontalDpi="600"/>
  <headerFooter alignWithMargins="0">
    <oddHeader>&amp;L&amp;G&amp;C&amp;"times New Roman"&amp;12&amp;BDISPOSAFE HEALTH AND LIFE CARE LIMITED&amp;10
Plot No.37A, Sector-06, Ballabgarh (Faridabad) Haryana India 121006</oddHeader>
  </headerFooter>
  <drawing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5"/>
  <sheetViews>
    <sheetView zoomScale="85" zoomScaleNormal="85" zoomScalePageLayoutView="115" workbookViewId="0">
      <pane xSplit="1" ySplit="3" topLeftCell="B4" activePane="bottomRight" state="frozen"/>
      <selection/>
      <selection pane="topRight"/>
      <selection pane="bottomLeft"/>
      <selection pane="bottomRight" activeCell="E35" sqref="E35"/>
    </sheetView>
  </sheetViews>
  <sheetFormatPr defaultColWidth="9" defaultRowHeight="15"/>
  <cols>
    <col min="1" max="1" width="10.2857142857143" style="36" customWidth="1"/>
    <col min="2" max="2" width="11.8095238095238" style="36" customWidth="1"/>
    <col min="3" max="3" width="10.9809523809524" style="36" customWidth="1"/>
    <col min="4" max="4" width="10" style="36" customWidth="1"/>
    <col min="5" max="5" width="10.2857142857143" style="36" customWidth="1"/>
    <col min="6" max="6" width="9.84761904761905" style="37" customWidth="1"/>
    <col min="7" max="7" width="6.96190476190476" style="37" customWidth="1"/>
    <col min="8" max="9" width="7.66666666666667" style="37" customWidth="1"/>
    <col min="10" max="10" width="10.2857142857143" style="37" customWidth="1"/>
    <col min="11" max="11" width="11.5714285714286" style="37" customWidth="1"/>
    <col min="12" max="16384" width="9.14285714285714" style="36"/>
  </cols>
  <sheetData>
    <row r="1" s="34" customFormat="1" ht="30" customHeight="1" spans="1:19">
      <c r="A1" s="145" t="s">
        <v>18</v>
      </c>
      <c r="B1" s="146"/>
      <c r="C1" s="146"/>
      <c r="D1" s="146"/>
      <c r="E1" s="146"/>
      <c r="F1" s="146"/>
      <c r="G1" s="146"/>
      <c r="H1" s="146"/>
      <c r="I1" s="146"/>
      <c r="J1" s="146"/>
      <c r="K1" s="158"/>
      <c r="O1" s="65"/>
      <c r="P1" s="65"/>
      <c r="Q1" s="65"/>
      <c r="R1" s="65"/>
      <c r="S1" s="65"/>
    </row>
    <row r="2" ht="17.25" customHeight="1" spans="1:11">
      <c r="A2" s="85"/>
      <c r="B2" s="39"/>
      <c r="C2" s="39"/>
      <c r="D2" s="13"/>
      <c r="E2" s="13"/>
      <c r="F2" s="14"/>
      <c r="G2" s="14"/>
      <c r="H2" s="15"/>
      <c r="I2" s="15"/>
      <c r="J2" s="15"/>
      <c r="K2" s="103"/>
    </row>
    <row r="3" ht="39" customHeight="1" spans="1:12">
      <c r="A3" s="147" t="s">
        <v>2</v>
      </c>
      <c r="B3" s="148" t="s">
        <v>3</v>
      </c>
      <c r="C3" s="149" t="s">
        <v>4</v>
      </c>
      <c r="D3" s="148" t="s">
        <v>5</v>
      </c>
      <c r="E3" s="150" t="s">
        <v>6</v>
      </c>
      <c r="F3" s="151" t="s">
        <v>7</v>
      </c>
      <c r="G3" s="151" t="s">
        <v>8</v>
      </c>
      <c r="H3" s="151" t="s">
        <v>9</v>
      </c>
      <c r="I3" s="150" t="s">
        <v>19</v>
      </c>
      <c r="J3" s="150" t="s">
        <v>11</v>
      </c>
      <c r="K3" s="159" t="s">
        <v>12</v>
      </c>
      <c r="L3" s="160"/>
    </row>
    <row r="4" ht="20" customHeight="1" spans="1:12">
      <c r="A4" s="152">
        <v>45809</v>
      </c>
      <c r="B4" s="153" t="s">
        <v>17</v>
      </c>
      <c r="C4" s="153"/>
      <c r="D4" s="153"/>
      <c r="E4" s="153"/>
      <c r="F4" s="153"/>
      <c r="G4" s="153"/>
      <c r="H4" s="153"/>
      <c r="I4" s="153"/>
      <c r="J4" s="153"/>
      <c r="K4" s="161"/>
      <c r="L4" s="162"/>
    </row>
    <row r="5" ht="20" customHeight="1" spans="1:11">
      <c r="A5" s="87">
        <v>45810</v>
      </c>
      <c r="B5" s="88">
        <v>160</v>
      </c>
      <c r="C5" s="88">
        <v>10</v>
      </c>
      <c r="D5" s="89">
        <v>67</v>
      </c>
      <c r="E5" s="89">
        <v>10</v>
      </c>
      <c r="F5" s="89">
        <v>38</v>
      </c>
      <c r="G5" s="89">
        <v>10</v>
      </c>
      <c r="H5" s="89"/>
      <c r="I5" s="105">
        <v>18</v>
      </c>
      <c r="J5" s="67">
        <v>7</v>
      </c>
      <c r="K5" s="106">
        <f t="shared" ref="K4:K33" si="0">SUM(C5:J5)</f>
        <v>160</v>
      </c>
    </row>
    <row r="6" ht="20" customHeight="1" spans="1:11">
      <c r="A6" s="87">
        <v>45811</v>
      </c>
      <c r="B6" s="88">
        <v>264</v>
      </c>
      <c r="C6" s="88">
        <v>8</v>
      </c>
      <c r="D6" s="89">
        <v>125</v>
      </c>
      <c r="E6" s="89">
        <v>74</v>
      </c>
      <c r="F6" s="89">
        <v>7</v>
      </c>
      <c r="G6" s="89"/>
      <c r="H6" s="89"/>
      <c r="I6" s="105">
        <v>8</v>
      </c>
      <c r="J6" s="67">
        <v>42</v>
      </c>
      <c r="K6" s="106">
        <f t="shared" si="0"/>
        <v>264</v>
      </c>
    </row>
    <row r="7" ht="20" customHeight="1" spans="1:11">
      <c r="A7" s="87">
        <v>45812</v>
      </c>
      <c r="B7" s="88">
        <v>180</v>
      </c>
      <c r="C7" s="88">
        <v>19</v>
      </c>
      <c r="D7" s="89">
        <v>23</v>
      </c>
      <c r="E7" s="89">
        <v>80</v>
      </c>
      <c r="F7" s="89">
        <v>2</v>
      </c>
      <c r="G7" s="89">
        <v>1</v>
      </c>
      <c r="H7" s="89"/>
      <c r="I7" s="105">
        <v>34</v>
      </c>
      <c r="J7" s="67">
        <v>21</v>
      </c>
      <c r="K7" s="106">
        <f t="shared" si="0"/>
        <v>180</v>
      </c>
    </row>
    <row r="8" ht="20" customHeight="1" spans="1:11">
      <c r="A8" s="87">
        <v>45813</v>
      </c>
      <c r="B8" s="88">
        <v>205</v>
      </c>
      <c r="C8" s="88">
        <v>47</v>
      </c>
      <c r="D8" s="89">
        <v>106</v>
      </c>
      <c r="E8" s="89"/>
      <c r="F8" s="89"/>
      <c r="G8" s="89"/>
      <c r="H8" s="89">
        <v>1</v>
      </c>
      <c r="I8" s="105">
        <v>16</v>
      </c>
      <c r="J8" s="67">
        <v>35</v>
      </c>
      <c r="K8" s="106">
        <f t="shared" si="0"/>
        <v>205</v>
      </c>
    </row>
    <row r="9" ht="20" customHeight="1" spans="1:11">
      <c r="A9" s="87">
        <v>45814</v>
      </c>
      <c r="B9" s="88">
        <v>492</v>
      </c>
      <c r="C9" s="88">
        <v>61</v>
      </c>
      <c r="D9" s="89">
        <v>16</v>
      </c>
      <c r="E9" s="89">
        <v>76</v>
      </c>
      <c r="F9" s="89">
        <v>2</v>
      </c>
      <c r="G9" s="89">
        <v>3</v>
      </c>
      <c r="H9" s="89"/>
      <c r="I9" s="105">
        <v>4</v>
      </c>
      <c r="J9" s="67">
        <v>38</v>
      </c>
      <c r="K9" s="106">
        <f t="shared" si="0"/>
        <v>200</v>
      </c>
    </row>
    <row r="10" ht="20" customHeight="1" spans="1:11">
      <c r="A10" s="87">
        <v>45815</v>
      </c>
      <c r="B10" s="88">
        <v>179</v>
      </c>
      <c r="C10" s="88">
        <v>41</v>
      </c>
      <c r="D10" s="89">
        <v>2</v>
      </c>
      <c r="E10" s="89">
        <v>69</v>
      </c>
      <c r="F10" s="89"/>
      <c r="G10" s="89">
        <v>2</v>
      </c>
      <c r="H10" s="89"/>
      <c r="I10" s="105">
        <v>23</v>
      </c>
      <c r="J10" s="67">
        <v>42</v>
      </c>
      <c r="K10" s="106">
        <f t="shared" si="0"/>
        <v>179</v>
      </c>
    </row>
    <row r="11" ht="20" customHeight="1" spans="1:11">
      <c r="A11" s="154">
        <v>45816</v>
      </c>
      <c r="B11" s="153" t="s">
        <v>17</v>
      </c>
      <c r="C11" s="153"/>
      <c r="D11" s="153"/>
      <c r="E11" s="153"/>
      <c r="F11" s="153"/>
      <c r="G11" s="153"/>
      <c r="H11" s="153"/>
      <c r="I11" s="153"/>
      <c r="J11" s="153"/>
      <c r="K11" s="161"/>
    </row>
    <row r="12" ht="20" customHeight="1" spans="1:11">
      <c r="A12" s="87">
        <v>45817</v>
      </c>
      <c r="B12" s="88">
        <v>165</v>
      </c>
      <c r="C12" s="88">
        <v>22</v>
      </c>
      <c r="D12" s="89">
        <v>12</v>
      </c>
      <c r="E12" s="89">
        <v>66</v>
      </c>
      <c r="F12" s="89">
        <v>10</v>
      </c>
      <c r="G12" s="89">
        <v>5</v>
      </c>
      <c r="H12" s="89"/>
      <c r="I12" s="105">
        <v>31</v>
      </c>
      <c r="J12" s="67">
        <v>19</v>
      </c>
      <c r="K12" s="106">
        <f t="shared" si="0"/>
        <v>165</v>
      </c>
    </row>
    <row r="13" ht="20" customHeight="1" spans="1:11">
      <c r="A13" s="87">
        <v>45818</v>
      </c>
      <c r="B13" s="88">
        <v>151</v>
      </c>
      <c r="C13" s="88">
        <v>19</v>
      </c>
      <c r="D13" s="89">
        <v>29</v>
      </c>
      <c r="E13" s="89">
        <v>53</v>
      </c>
      <c r="F13" s="89">
        <v>8</v>
      </c>
      <c r="G13" s="89">
        <v>2</v>
      </c>
      <c r="H13" s="89">
        <v>6</v>
      </c>
      <c r="I13" s="105">
        <v>19</v>
      </c>
      <c r="J13" s="67">
        <v>15</v>
      </c>
      <c r="K13" s="106">
        <f t="shared" si="0"/>
        <v>151</v>
      </c>
    </row>
    <row r="14" ht="20" customHeight="1" spans="1:11">
      <c r="A14" s="87">
        <v>45819</v>
      </c>
      <c r="B14" s="88">
        <v>281</v>
      </c>
      <c r="C14" s="88">
        <v>30</v>
      </c>
      <c r="D14" s="89">
        <v>18</v>
      </c>
      <c r="E14" s="89">
        <v>149</v>
      </c>
      <c r="F14" s="89">
        <v>3</v>
      </c>
      <c r="G14" s="89">
        <v>3</v>
      </c>
      <c r="H14" s="89">
        <v>44</v>
      </c>
      <c r="I14" s="105">
        <v>7</v>
      </c>
      <c r="J14" s="67">
        <v>27</v>
      </c>
      <c r="K14" s="106">
        <f t="shared" si="0"/>
        <v>281</v>
      </c>
    </row>
    <row r="15" ht="20" customHeight="1" spans="1:11">
      <c r="A15" s="87">
        <v>45820</v>
      </c>
      <c r="B15" s="88">
        <v>147</v>
      </c>
      <c r="C15" s="88">
        <v>31</v>
      </c>
      <c r="D15" s="89">
        <v>16</v>
      </c>
      <c r="E15" s="89">
        <v>53</v>
      </c>
      <c r="F15" s="89">
        <v>2</v>
      </c>
      <c r="G15" s="89">
        <v>5</v>
      </c>
      <c r="H15" s="89">
        <v>6</v>
      </c>
      <c r="I15" s="105">
        <v>20</v>
      </c>
      <c r="J15" s="67">
        <v>14</v>
      </c>
      <c r="K15" s="106">
        <f t="shared" si="0"/>
        <v>147</v>
      </c>
    </row>
    <row r="16" ht="20" customHeight="1" spans="1:11">
      <c r="A16" s="87">
        <v>45821</v>
      </c>
      <c r="B16" s="88">
        <v>151</v>
      </c>
      <c r="C16" s="88">
        <v>33</v>
      </c>
      <c r="D16" s="89">
        <v>16</v>
      </c>
      <c r="E16" s="89">
        <v>22</v>
      </c>
      <c r="F16" s="89">
        <v>37</v>
      </c>
      <c r="G16" s="89">
        <v>4</v>
      </c>
      <c r="H16" s="89">
        <v>9</v>
      </c>
      <c r="I16" s="105">
        <v>2</v>
      </c>
      <c r="J16" s="67">
        <v>28</v>
      </c>
      <c r="K16" s="106">
        <f t="shared" si="0"/>
        <v>151</v>
      </c>
    </row>
    <row r="17" ht="20" customHeight="1" spans="1:11">
      <c r="A17" s="87">
        <v>45822</v>
      </c>
      <c r="B17" s="88">
        <v>124</v>
      </c>
      <c r="C17" s="88">
        <v>19</v>
      </c>
      <c r="D17" s="89">
        <v>11</v>
      </c>
      <c r="E17" s="89">
        <v>31</v>
      </c>
      <c r="F17" s="89">
        <v>28</v>
      </c>
      <c r="G17" s="89">
        <v>3</v>
      </c>
      <c r="H17" s="89">
        <v>3</v>
      </c>
      <c r="I17" s="105">
        <v>1</v>
      </c>
      <c r="J17" s="67">
        <v>28</v>
      </c>
      <c r="K17" s="106">
        <f t="shared" si="0"/>
        <v>124</v>
      </c>
    </row>
    <row r="18" ht="20" customHeight="1" spans="1:11">
      <c r="A18" s="154">
        <v>45823</v>
      </c>
      <c r="B18" s="153" t="s">
        <v>17</v>
      </c>
      <c r="C18" s="153"/>
      <c r="D18" s="153"/>
      <c r="E18" s="153"/>
      <c r="F18" s="153"/>
      <c r="G18" s="153"/>
      <c r="H18" s="153"/>
      <c r="I18" s="153"/>
      <c r="J18" s="153"/>
      <c r="K18" s="161"/>
    </row>
    <row r="19" ht="20" customHeight="1" spans="1:11">
      <c r="A19" s="87">
        <v>45824</v>
      </c>
      <c r="B19" s="88">
        <v>143</v>
      </c>
      <c r="C19" s="88">
        <v>17</v>
      </c>
      <c r="D19" s="89">
        <v>12</v>
      </c>
      <c r="E19" s="89">
        <v>24</v>
      </c>
      <c r="F19" s="89">
        <v>12</v>
      </c>
      <c r="G19" s="89">
        <v>4</v>
      </c>
      <c r="H19" s="89"/>
      <c r="I19" s="105">
        <v>22</v>
      </c>
      <c r="J19" s="67">
        <v>52</v>
      </c>
      <c r="K19" s="106">
        <f t="shared" si="0"/>
        <v>143</v>
      </c>
    </row>
    <row r="20" ht="20" customHeight="1" spans="1:11">
      <c r="A20" s="87">
        <v>45825</v>
      </c>
      <c r="B20" s="88">
        <v>183</v>
      </c>
      <c r="C20" s="88">
        <v>35</v>
      </c>
      <c r="D20" s="89">
        <v>14</v>
      </c>
      <c r="E20" s="89">
        <v>67</v>
      </c>
      <c r="F20" s="89">
        <v>28</v>
      </c>
      <c r="G20" s="89">
        <v>7</v>
      </c>
      <c r="H20" s="89">
        <v>3</v>
      </c>
      <c r="I20" s="105"/>
      <c r="J20" s="67">
        <v>29</v>
      </c>
      <c r="K20" s="106">
        <f t="shared" si="0"/>
        <v>183</v>
      </c>
    </row>
    <row r="21" ht="20" customHeight="1" spans="1:11">
      <c r="A21" s="87">
        <v>45826</v>
      </c>
      <c r="B21" s="88">
        <v>159</v>
      </c>
      <c r="C21" s="46">
        <v>38</v>
      </c>
      <c r="D21" s="46">
        <v>27</v>
      </c>
      <c r="E21" s="46">
        <v>48</v>
      </c>
      <c r="F21" s="46">
        <v>3</v>
      </c>
      <c r="G21" s="46">
        <v>8</v>
      </c>
      <c r="H21" s="46">
        <v>7</v>
      </c>
      <c r="I21" s="46">
        <v>2</v>
      </c>
      <c r="J21" s="46">
        <v>26</v>
      </c>
      <c r="K21" s="106">
        <f t="shared" si="0"/>
        <v>159</v>
      </c>
    </row>
    <row r="22" ht="20" customHeight="1" spans="1:11">
      <c r="A22" s="87">
        <v>45827</v>
      </c>
      <c r="B22" s="88">
        <v>134</v>
      </c>
      <c r="C22" s="46">
        <v>24</v>
      </c>
      <c r="D22" s="46">
        <v>21</v>
      </c>
      <c r="E22" s="46">
        <v>19</v>
      </c>
      <c r="F22" s="46">
        <v>23</v>
      </c>
      <c r="G22" s="46">
        <v>6</v>
      </c>
      <c r="H22" s="46"/>
      <c r="I22" s="46">
        <v>11</v>
      </c>
      <c r="J22" s="46">
        <v>30</v>
      </c>
      <c r="K22" s="106">
        <f t="shared" si="0"/>
        <v>134</v>
      </c>
    </row>
    <row r="23" ht="20" customHeight="1" spans="1:11">
      <c r="A23" s="87">
        <v>45828</v>
      </c>
      <c r="B23" s="88">
        <v>126</v>
      </c>
      <c r="C23" s="46">
        <v>17</v>
      </c>
      <c r="D23" s="46">
        <v>39</v>
      </c>
      <c r="E23" s="46">
        <v>43</v>
      </c>
      <c r="F23" s="46">
        <v>6</v>
      </c>
      <c r="G23" s="46">
        <v>1</v>
      </c>
      <c r="H23" s="46"/>
      <c r="I23" s="46"/>
      <c r="J23" s="46">
        <v>20</v>
      </c>
      <c r="K23" s="106">
        <f t="shared" si="0"/>
        <v>126</v>
      </c>
    </row>
    <row r="24" ht="20" customHeight="1" spans="1:11">
      <c r="A24" s="87">
        <v>45829</v>
      </c>
      <c r="B24" s="88">
        <v>142</v>
      </c>
      <c r="C24" s="46">
        <v>14</v>
      </c>
      <c r="D24" s="46">
        <v>6</v>
      </c>
      <c r="E24" s="46">
        <v>78</v>
      </c>
      <c r="F24" s="46">
        <v>2</v>
      </c>
      <c r="G24" s="46">
        <v>13</v>
      </c>
      <c r="H24" s="46">
        <v>12</v>
      </c>
      <c r="I24" s="46">
        <v>2</v>
      </c>
      <c r="J24" s="46">
        <v>15</v>
      </c>
      <c r="K24" s="106">
        <f t="shared" si="0"/>
        <v>142</v>
      </c>
    </row>
    <row r="25" ht="20" customHeight="1" spans="1:11">
      <c r="A25" s="154">
        <v>45830</v>
      </c>
      <c r="B25" s="153" t="s">
        <v>17</v>
      </c>
      <c r="C25" s="153"/>
      <c r="D25" s="153"/>
      <c r="E25" s="153"/>
      <c r="F25" s="153"/>
      <c r="G25" s="153"/>
      <c r="H25" s="153"/>
      <c r="I25" s="153"/>
      <c r="J25" s="153"/>
      <c r="K25" s="161"/>
    </row>
    <row r="26" ht="20" customHeight="1" spans="1:11">
      <c r="A26" s="87">
        <v>45831</v>
      </c>
      <c r="B26" s="155">
        <v>142</v>
      </c>
      <c r="C26" s="127">
        <v>17</v>
      </c>
      <c r="D26" s="127">
        <v>29</v>
      </c>
      <c r="E26" s="127">
        <v>60</v>
      </c>
      <c r="F26" s="127">
        <v>13</v>
      </c>
      <c r="G26" s="127">
        <v>3</v>
      </c>
      <c r="H26" s="127">
        <v>2</v>
      </c>
      <c r="I26" s="127"/>
      <c r="J26" s="127">
        <v>18</v>
      </c>
      <c r="K26" s="106">
        <f t="shared" si="0"/>
        <v>142</v>
      </c>
    </row>
    <row r="27" ht="20" customHeight="1" spans="1:11">
      <c r="A27" s="87">
        <v>45832</v>
      </c>
      <c r="B27" s="155">
        <v>118</v>
      </c>
      <c r="C27" s="127">
        <v>18</v>
      </c>
      <c r="D27" s="127">
        <v>15</v>
      </c>
      <c r="E27" s="127">
        <v>61</v>
      </c>
      <c r="F27" s="127">
        <v>9</v>
      </c>
      <c r="G27" s="127">
        <v>6</v>
      </c>
      <c r="H27" s="127"/>
      <c r="I27" s="127"/>
      <c r="J27" s="127">
        <v>9</v>
      </c>
      <c r="K27" s="106">
        <f t="shared" si="0"/>
        <v>118</v>
      </c>
    </row>
    <row r="28" ht="20" customHeight="1" spans="1:11">
      <c r="A28" s="87">
        <v>45833</v>
      </c>
      <c r="B28" s="155">
        <v>149</v>
      </c>
      <c r="C28" s="127">
        <v>26</v>
      </c>
      <c r="D28" s="127">
        <v>17</v>
      </c>
      <c r="E28" s="127">
        <v>31</v>
      </c>
      <c r="F28" s="127">
        <v>20</v>
      </c>
      <c r="G28" s="127">
        <v>10</v>
      </c>
      <c r="H28" s="127">
        <v>2</v>
      </c>
      <c r="I28" s="127">
        <v>4</v>
      </c>
      <c r="J28" s="127">
        <v>39</v>
      </c>
      <c r="K28" s="106">
        <f t="shared" si="0"/>
        <v>149</v>
      </c>
    </row>
    <row r="29" ht="20" customHeight="1" spans="1:11">
      <c r="A29" s="87">
        <v>45834</v>
      </c>
      <c r="B29" s="155"/>
      <c r="C29" s="127">
        <v>18</v>
      </c>
      <c r="D29" s="127">
        <v>19</v>
      </c>
      <c r="E29" s="127">
        <v>12</v>
      </c>
      <c r="F29" s="127">
        <v>6</v>
      </c>
      <c r="G29" s="127">
        <v>6</v>
      </c>
      <c r="H29" s="127">
        <v>7</v>
      </c>
      <c r="I29" s="127">
        <v>7</v>
      </c>
      <c r="J29" s="127">
        <v>41</v>
      </c>
      <c r="K29" s="106">
        <f t="shared" si="0"/>
        <v>116</v>
      </c>
    </row>
    <row r="30" ht="20" customHeight="1" spans="1:11">
      <c r="A30" s="87">
        <v>45835</v>
      </c>
      <c r="B30" s="155">
        <v>119</v>
      </c>
      <c r="C30" s="127">
        <v>19</v>
      </c>
      <c r="D30" s="127">
        <v>13</v>
      </c>
      <c r="E30" s="127">
        <v>22</v>
      </c>
      <c r="F30" s="127">
        <v>8</v>
      </c>
      <c r="G30" s="127">
        <v>8</v>
      </c>
      <c r="H30" s="127"/>
      <c r="I30" s="127"/>
      <c r="J30" s="127">
        <v>49</v>
      </c>
      <c r="K30" s="106">
        <f t="shared" si="0"/>
        <v>119</v>
      </c>
    </row>
    <row r="31" ht="20" customHeight="1" spans="1:11">
      <c r="A31" s="87">
        <v>45836</v>
      </c>
      <c r="B31" s="155">
        <v>200</v>
      </c>
      <c r="C31" s="127">
        <v>17</v>
      </c>
      <c r="D31" s="127">
        <v>12</v>
      </c>
      <c r="E31" s="127">
        <v>95</v>
      </c>
      <c r="F31" s="127">
        <v>14</v>
      </c>
      <c r="G31" s="127">
        <v>8</v>
      </c>
      <c r="H31" s="127">
        <v>2</v>
      </c>
      <c r="I31" s="127"/>
      <c r="J31" s="127">
        <v>52</v>
      </c>
      <c r="K31" s="106">
        <f t="shared" si="0"/>
        <v>200</v>
      </c>
    </row>
    <row r="32" ht="20" customHeight="1" spans="1:11">
      <c r="A32" s="154">
        <v>45837</v>
      </c>
      <c r="B32" s="153" t="s">
        <v>17</v>
      </c>
      <c r="C32" s="153"/>
      <c r="D32" s="153"/>
      <c r="E32" s="153"/>
      <c r="F32" s="153"/>
      <c r="G32" s="153"/>
      <c r="H32" s="153"/>
      <c r="I32" s="153"/>
      <c r="J32" s="153"/>
      <c r="K32" s="161"/>
    </row>
    <row r="33" ht="20" customHeight="1" spans="1:11">
      <c r="A33" s="87">
        <v>45838</v>
      </c>
      <c r="B33" s="155">
        <v>250</v>
      </c>
      <c r="C33" s="127">
        <v>70</v>
      </c>
      <c r="D33" s="127">
        <v>20</v>
      </c>
      <c r="E33" s="127">
        <v>12</v>
      </c>
      <c r="F33" s="127">
        <v>16</v>
      </c>
      <c r="G33" s="127">
        <v>18</v>
      </c>
      <c r="H33" s="127"/>
      <c r="I33" s="127"/>
      <c r="J33" s="127">
        <v>114</v>
      </c>
      <c r="K33" s="106">
        <f t="shared" si="0"/>
        <v>250</v>
      </c>
    </row>
    <row r="34" ht="25.35" customHeight="1" spans="1:11">
      <c r="A34" s="156" t="s">
        <v>13</v>
      </c>
      <c r="B34" s="157">
        <f>SUM(B5:B33)</f>
        <v>4364</v>
      </c>
      <c r="C34" s="157">
        <f t="shared" ref="C34:J34" si="1">SUM(C5:C33)</f>
        <v>670</v>
      </c>
      <c r="D34" s="157">
        <f t="shared" si="1"/>
        <v>685</v>
      </c>
      <c r="E34" s="157">
        <f t="shared" si="1"/>
        <v>1255</v>
      </c>
      <c r="F34" s="157">
        <f t="shared" si="1"/>
        <v>297</v>
      </c>
      <c r="G34" s="157">
        <f t="shared" si="1"/>
        <v>136</v>
      </c>
      <c r="H34" s="157">
        <f t="shared" si="1"/>
        <v>104</v>
      </c>
      <c r="I34" s="157">
        <f t="shared" si="1"/>
        <v>231</v>
      </c>
      <c r="J34" s="157">
        <f t="shared" si="1"/>
        <v>810</v>
      </c>
      <c r="K34" s="163">
        <f>C34+D34+E34+F34+G34+H34+I34+J34</f>
        <v>4188</v>
      </c>
    </row>
    <row r="35" ht="25.35" customHeight="1"/>
    <row r="36" ht="25.35" customHeight="1"/>
    <row r="37" ht="25.35" customHeight="1"/>
    <row r="38" ht="25.35" customHeight="1"/>
    <row r="39" ht="25.35" customHeight="1"/>
    <row r="40" ht="25.35" customHeight="1"/>
    <row r="41" ht="25.35" customHeight="1"/>
    <row r="42" ht="25.35" customHeight="1"/>
    <row r="43" ht="25.35" customHeight="1"/>
    <row r="44" ht="25.35" customHeight="1"/>
    <row r="45" ht="28.7" customHeight="1"/>
  </sheetData>
  <mergeCells count="8">
    <mergeCell ref="A1:K1"/>
    <mergeCell ref="A2:C2"/>
    <mergeCell ref="H2:K2"/>
    <mergeCell ref="B4:K4"/>
    <mergeCell ref="B11:K11"/>
    <mergeCell ref="B18:K18"/>
    <mergeCell ref="B25:K25"/>
    <mergeCell ref="B32:K32"/>
  </mergeCells>
  <pageMargins left="0.196527777777778" right="0.196527777777778" top="1.14166666666667" bottom="0.393055555555556" header="0.196527777777778" footer="0.196527777777778"/>
  <pageSetup paperSize="9" scale="36" fitToHeight="0" orientation="portrait" horizontalDpi="600"/>
  <headerFooter alignWithMargins="0">
    <oddHeader>&amp;L&amp;G&amp;C&amp;14&amp;BDISPOSAFE HEALTH AND LIFE CARE LIMITED, &amp;10
PLOT NO 37A SECTOR-6, FARIDABAD 121006, HARYANA, INDIA&amp;RRF-DPR:7.5/05:01:00
Date: 02.12.2024
  Page &amp;P of &amp;N</oddHeader>
    <oddFooter>&amp;L&amp;BPRODUCTION SUPERVISOR&amp;R&amp;B
PRODUCTION MANAGER</oddFooter>
  </headerFooter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6"/>
  <sheetViews>
    <sheetView zoomScalePageLayoutView="115" workbookViewId="0">
      <pane xSplit="1" ySplit="3" topLeftCell="B20" activePane="bottomRight" state="frozen"/>
      <selection/>
      <selection pane="topRight"/>
      <selection pane="bottomLeft"/>
      <selection pane="bottomRight" activeCell="I33" sqref="I33"/>
    </sheetView>
  </sheetViews>
  <sheetFormatPr defaultColWidth="9" defaultRowHeight="15"/>
  <cols>
    <col min="1" max="1" width="10.2857142857143" style="36" customWidth="1"/>
    <col min="2" max="2" width="11.8095238095238" style="36" customWidth="1"/>
    <col min="3" max="3" width="10.9809523809524" style="36" customWidth="1"/>
    <col min="4" max="4" width="10" style="36" customWidth="1"/>
    <col min="5" max="5" width="10.2857142857143" style="36" customWidth="1"/>
    <col min="6" max="6" width="9.84761904761905" style="37" customWidth="1"/>
    <col min="7" max="7" width="6.96190476190476" style="37" customWidth="1"/>
    <col min="8" max="9" width="7.66666666666667" style="37" customWidth="1"/>
    <col min="10" max="10" width="10.2857142857143" style="37" customWidth="1"/>
    <col min="11" max="11" width="11.5714285714286" style="37" customWidth="1"/>
    <col min="12" max="16384" width="9.14285714285714" style="36"/>
  </cols>
  <sheetData>
    <row r="1" s="34" customFormat="1" ht="30" customHeight="1" spans="1:19">
      <c r="A1" s="38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O1" s="65"/>
      <c r="P1" s="65"/>
      <c r="Q1" s="65"/>
      <c r="R1" s="65"/>
      <c r="S1" s="65"/>
    </row>
    <row r="2" ht="17.25" customHeight="1" spans="1:11">
      <c r="A2" s="39" t="s">
        <v>20</v>
      </c>
      <c r="B2" s="39"/>
      <c r="C2" s="39"/>
      <c r="D2" s="13"/>
      <c r="E2" s="13"/>
      <c r="F2" s="14"/>
      <c r="G2" s="14"/>
      <c r="H2" s="15"/>
      <c r="I2" s="15"/>
      <c r="J2" s="15"/>
      <c r="K2" s="15"/>
    </row>
    <row r="3" ht="39" customHeight="1" spans="1:11">
      <c r="A3" s="40" t="s">
        <v>2</v>
      </c>
      <c r="B3" s="41" t="s">
        <v>3</v>
      </c>
      <c r="C3" s="42" t="s">
        <v>4</v>
      </c>
      <c r="D3" s="41" t="s">
        <v>5</v>
      </c>
      <c r="E3" s="43" t="s">
        <v>6</v>
      </c>
      <c r="F3" s="44" t="s">
        <v>7</v>
      </c>
      <c r="G3" s="44" t="s">
        <v>8</v>
      </c>
      <c r="H3" s="44" t="s">
        <v>9</v>
      </c>
      <c r="I3" s="43" t="s">
        <v>21</v>
      </c>
      <c r="J3" s="43" t="s">
        <v>11</v>
      </c>
      <c r="K3" s="44" t="s">
        <v>12</v>
      </c>
    </row>
    <row r="4" ht="20" customHeight="1" spans="1:11">
      <c r="A4" s="45">
        <v>45839</v>
      </c>
      <c r="B4" s="118">
        <v>19</v>
      </c>
      <c r="C4" s="118">
        <v>36</v>
      </c>
      <c r="D4" s="119">
        <v>17</v>
      </c>
      <c r="E4" s="119">
        <v>1</v>
      </c>
      <c r="F4" s="119">
        <v>18</v>
      </c>
      <c r="G4" s="119">
        <v>2</v>
      </c>
      <c r="H4" s="119">
        <v>23</v>
      </c>
      <c r="I4" s="130"/>
      <c r="J4" s="131">
        <v>98</v>
      </c>
      <c r="K4" s="126">
        <f t="shared" ref="K4:K34" si="0">SUM(C4:J4)</f>
        <v>195</v>
      </c>
    </row>
    <row r="5" ht="20" customHeight="1" spans="1:11">
      <c r="A5" s="45">
        <v>45840</v>
      </c>
      <c r="B5" s="118">
        <v>10</v>
      </c>
      <c r="C5" s="118">
        <v>35</v>
      </c>
      <c r="D5" s="119">
        <v>11</v>
      </c>
      <c r="E5" s="119">
        <v>5</v>
      </c>
      <c r="F5" s="119">
        <v>17</v>
      </c>
      <c r="G5" s="119"/>
      <c r="H5" s="119">
        <v>5</v>
      </c>
      <c r="I5" s="130"/>
      <c r="J5" s="131">
        <v>3</v>
      </c>
      <c r="K5" s="126">
        <v>50</v>
      </c>
    </row>
    <row r="6" ht="20" customHeight="1" spans="1:11">
      <c r="A6" s="45">
        <v>45841</v>
      </c>
      <c r="B6" s="118">
        <v>19</v>
      </c>
      <c r="C6" s="118">
        <v>55</v>
      </c>
      <c r="D6" s="119">
        <v>13</v>
      </c>
      <c r="E6" s="119">
        <v>5</v>
      </c>
      <c r="F6" s="119">
        <v>34</v>
      </c>
      <c r="G6" s="119"/>
      <c r="H6" s="119">
        <v>3</v>
      </c>
      <c r="I6" s="130">
        <v>1</v>
      </c>
      <c r="J6" s="131">
        <v>102</v>
      </c>
      <c r="K6" s="126">
        <f t="shared" si="0"/>
        <v>213</v>
      </c>
    </row>
    <row r="7" ht="20" customHeight="1" spans="1:11">
      <c r="A7" s="45">
        <v>45842</v>
      </c>
      <c r="B7" s="118">
        <v>19</v>
      </c>
      <c r="C7" s="118">
        <v>30</v>
      </c>
      <c r="D7" s="119">
        <v>15</v>
      </c>
      <c r="E7" s="119">
        <v>8</v>
      </c>
      <c r="F7" s="119">
        <v>10</v>
      </c>
      <c r="G7" s="119">
        <v>9</v>
      </c>
      <c r="H7" s="119">
        <v>4</v>
      </c>
      <c r="I7" s="130">
        <v>1</v>
      </c>
      <c r="J7" s="131">
        <v>47</v>
      </c>
      <c r="K7" s="126">
        <f t="shared" si="0"/>
        <v>124</v>
      </c>
    </row>
    <row r="8" ht="20" customHeight="1" spans="1:11">
      <c r="A8" s="45">
        <v>45843</v>
      </c>
      <c r="B8" s="118">
        <v>19</v>
      </c>
      <c r="C8" s="118">
        <v>76</v>
      </c>
      <c r="D8" s="119">
        <v>13</v>
      </c>
      <c r="E8" s="119">
        <v>2</v>
      </c>
      <c r="F8" s="119">
        <v>30</v>
      </c>
      <c r="G8" s="119">
        <v>4</v>
      </c>
      <c r="H8" s="119">
        <v>1</v>
      </c>
      <c r="I8" s="130"/>
      <c r="J8" s="131">
        <v>88</v>
      </c>
      <c r="K8" s="126">
        <f t="shared" si="0"/>
        <v>214</v>
      </c>
    </row>
    <row r="9" ht="20" customHeight="1" spans="1:11">
      <c r="A9" s="48">
        <v>45844</v>
      </c>
      <c r="B9" s="140" t="s">
        <v>17</v>
      </c>
      <c r="C9" s="140"/>
      <c r="D9" s="140"/>
      <c r="E9" s="140"/>
      <c r="F9" s="140"/>
      <c r="G9" s="140"/>
      <c r="H9" s="140"/>
      <c r="I9" s="140"/>
      <c r="J9" s="140"/>
      <c r="K9" s="140"/>
    </row>
    <row r="10" ht="20" customHeight="1" spans="1:11">
      <c r="A10" s="45">
        <v>45845</v>
      </c>
      <c r="B10" s="120">
        <v>10</v>
      </c>
      <c r="C10" s="120">
        <v>9</v>
      </c>
      <c r="D10" s="121">
        <v>5</v>
      </c>
      <c r="E10" s="121">
        <v>14</v>
      </c>
      <c r="F10" s="121">
        <v>18</v>
      </c>
      <c r="G10" s="121">
        <v>8</v>
      </c>
      <c r="H10" s="121"/>
      <c r="I10" s="134">
        <v>12</v>
      </c>
      <c r="J10" s="135">
        <v>20</v>
      </c>
      <c r="K10" s="144">
        <f t="shared" si="0"/>
        <v>86</v>
      </c>
    </row>
    <row r="11" ht="20" customHeight="1" spans="1:11">
      <c r="A11" s="45">
        <v>45846</v>
      </c>
      <c r="B11" s="118">
        <v>17</v>
      </c>
      <c r="C11" s="118">
        <v>49</v>
      </c>
      <c r="D11" s="119">
        <v>7</v>
      </c>
      <c r="E11" s="119">
        <v>2</v>
      </c>
      <c r="F11" s="119">
        <v>22</v>
      </c>
      <c r="G11" s="119">
        <v>2</v>
      </c>
      <c r="H11" s="119">
        <v>2</v>
      </c>
      <c r="I11" s="130"/>
      <c r="J11" s="131">
        <v>97</v>
      </c>
      <c r="K11" s="126">
        <f t="shared" si="0"/>
        <v>181</v>
      </c>
    </row>
    <row r="12" ht="20" customHeight="1" spans="1:11">
      <c r="A12" s="45">
        <v>45847</v>
      </c>
      <c r="B12" s="118">
        <v>19</v>
      </c>
      <c r="C12" s="118">
        <v>30</v>
      </c>
      <c r="D12" s="119">
        <v>14</v>
      </c>
      <c r="E12" s="119">
        <v>17</v>
      </c>
      <c r="F12" s="119">
        <v>15</v>
      </c>
      <c r="G12" s="119">
        <v>6</v>
      </c>
      <c r="H12" s="119">
        <v>2</v>
      </c>
      <c r="I12" s="130">
        <v>3</v>
      </c>
      <c r="J12" s="131">
        <v>51</v>
      </c>
      <c r="K12" s="126">
        <f t="shared" si="0"/>
        <v>138</v>
      </c>
    </row>
    <row r="13" ht="20" customHeight="1" spans="1:11">
      <c r="A13" s="45">
        <v>45848</v>
      </c>
      <c r="B13" s="118">
        <v>19</v>
      </c>
      <c r="C13" s="118">
        <v>27</v>
      </c>
      <c r="D13" s="119">
        <v>7</v>
      </c>
      <c r="E13" s="119">
        <v>14</v>
      </c>
      <c r="F13" s="119">
        <v>10</v>
      </c>
      <c r="G13" s="119">
        <v>10</v>
      </c>
      <c r="H13" s="119">
        <v>2</v>
      </c>
      <c r="I13" s="130">
        <v>1</v>
      </c>
      <c r="J13" s="131">
        <v>40</v>
      </c>
      <c r="K13" s="126">
        <f t="shared" si="0"/>
        <v>111</v>
      </c>
    </row>
    <row r="14" ht="20" customHeight="1" spans="1:11">
      <c r="A14" s="45">
        <v>45849</v>
      </c>
      <c r="B14" s="118">
        <v>19</v>
      </c>
      <c r="C14" s="118">
        <v>38</v>
      </c>
      <c r="D14" s="119">
        <v>11</v>
      </c>
      <c r="E14" s="119">
        <v>8</v>
      </c>
      <c r="F14" s="119">
        <v>8</v>
      </c>
      <c r="G14" s="119">
        <v>14</v>
      </c>
      <c r="H14" s="119">
        <v>3</v>
      </c>
      <c r="I14" s="130">
        <v>1</v>
      </c>
      <c r="J14" s="131">
        <v>41</v>
      </c>
      <c r="K14" s="126">
        <f t="shared" si="0"/>
        <v>124</v>
      </c>
    </row>
    <row r="15" ht="20" customHeight="1" spans="1:11">
      <c r="A15" s="45">
        <v>45850</v>
      </c>
      <c r="B15" s="118">
        <v>19</v>
      </c>
      <c r="C15" s="118">
        <v>21</v>
      </c>
      <c r="D15" s="119">
        <v>15</v>
      </c>
      <c r="E15" s="119">
        <v>22</v>
      </c>
      <c r="F15" s="119">
        <v>6</v>
      </c>
      <c r="G15" s="119">
        <v>17</v>
      </c>
      <c r="H15" s="119">
        <v>2</v>
      </c>
      <c r="I15" s="130">
        <v>2</v>
      </c>
      <c r="J15" s="131">
        <v>27</v>
      </c>
      <c r="K15" s="126">
        <f t="shared" si="0"/>
        <v>112</v>
      </c>
    </row>
    <row r="16" ht="20" customHeight="1" spans="1:11">
      <c r="A16" s="48">
        <v>45851</v>
      </c>
      <c r="B16" s="140" t="s">
        <v>17</v>
      </c>
      <c r="C16" s="140"/>
      <c r="D16" s="140"/>
      <c r="E16" s="140"/>
      <c r="F16" s="140"/>
      <c r="G16" s="140"/>
      <c r="H16" s="140"/>
      <c r="I16" s="140"/>
      <c r="J16" s="140"/>
      <c r="K16" s="140"/>
    </row>
    <row r="17" ht="20" customHeight="1" spans="1:11">
      <c r="A17" s="45">
        <v>45852</v>
      </c>
      <c r="B17" s="120">
        <v>19</v>
      </c>
      <c r="C17" s="120">
        <v>40</v>
      </c>
      <c r="D17" s="121">
        <v>9</v>
      </c>
      <c r="E17" s="121">
        <v>45</v>
      </c>
      <c r="F17" s="121">
        <v>26</v>
      </c>
      <c r="G17" s="121">
        <v>2</v>
      </c>
      <c r="H17" s="121">
        <v>2</v>
      </c>
      <c r="I17" s="134">
        <v>2</v>
      </c>
      <c r="J17" s="135">
        <v>59</v>
      </c>
      <c r="K17" s="144">
        <f t="shared" si="0"/>
        <v>185</v>
      </c>
    </row>
    <row r="18" ht="20" customHeight="1" spans="1:11">
      <c r="A18" s="45">
        <v>45853</v>
      </c>
      <c r="B18" s="118">
        <v>19</v>
      </c>
      <c r="C18" s="118">
        <v>40</v>
      </c>
      <c r="D18" s="119">
        <v>6</v>
      </c>
      <c r="E18" s="119">
        <v>7</v>
      </c>
      <c r="F18" s="119">
        <v>14</v>
      </c>
      <c r="G18" s="119">
        <v>4</v>
      </c>
      <c r="H18" s="119">
        <v>2</v>
      </c>
      <c r="I18" s="130">
        <v>1</v>
      </c>
      <c r="J18" s="131">
        <v>79</v>
      </c>
      <c r="K18" s="126">
        <f t="shared" si="0"/>
        <v>153</v>
      </c>
    </row>
    <row r="19" ht="20" customHeight="1" spans="1:11">
      <c r="A19" s="45">
        <v>45854</v>
      </c>
      <c r="B19" s="118">
        <v>18</v>
      </c>
      <c r="C19" s="118">
        <v>4</v>
      </c>
      <c r="D19" s="119">
        <v>17</v>
      </c>
      <c r="E19" s="119"/>
      <c r="F19" s="119">
        <v>48</v>
      </c>
      <c r="G19" s="119"/>
      <c r="H19" s="119"/>
      <c r="I19" s="130">
        <v>25</v>
      </c>
      <c r="J19" s="131">
        <v>14</v>
      </c>
      <c r="K19" s="126">
        <f t="shared" si="0"/>
        <v>108</v>
      </c>
    </row>
    <row r="20" ht="20" customHeight="1" spans="1:11">
      <c r="A20" s="45">
        <v>45855</v>
      </c>
      <c r="B20" s="118">
        <v>18</v>
      </c>
      <c r="C20" s="118">
        <v>26</v>
      </c>
      <c r="D20" s="119">
        <v>1</v>
      </c>
      <c r="E20" s="119">
        <v>1</v>
      </c>
      <c r="F20" s="119">
        <v>28</v>
      </c>
      <c r="G20" s="119"/>
      <c r="H20" s="119">
        <v>5</v>
      </c>
      <c r="I20" s="130">
        <v>4</v>
      </c>
      <c r="J20" s="131">
        <v>55</v>
      </c>
      <c r="K20" s="126">
        <f t="shared" si="0"/>
        <v>120</v>
      </c>
    </row>
    <row r="21" ht="20" customHeight="1" spans="1:11">
      <c r="A21" s="45">
        <v>45856</v>
      </c>
      <c r="B21" s="118">
        <v>19</v>
      </c>
      <c r="C21" s="126">
        <v>8</v>
      </c>
      <c r="D21" s="126">
        <v>23</v>
      </c>
      <c r="E21" s="126"/>
      <c r="F21" s="126">
        <v>8</v>
      </c>
      <c r="G21" s="126"/>
      <c r="H21" s="126"/>
      <c r="I21" s="126">
        <v>48</v>
      </c>
      <c r="J21" s="126">
        <v>14</v>
      </c>
      <c r="K21" s="126">
        <f t="shared" si="0"/>
        <v>101</v>
      </c>
    </row>
    <row r="22" ht="20" customHeight="1" spans="1:11">
      <c r="A22" s="45">
        <v>45857</v>
      </c>
      <c r="B22" s="118">
        <v>19</v>
      </c>
      <c r="C22" s="126">
        <v>10</v>
      </c>
      <c r="D22" s="126">
        <v>15</v>
      </c>
      <c r="E22" s="126">
        <v>2</v>
      </c>
      <c r="F22" s="126">
        <v>10</v>
      </c>
      <c r="G22" s="126">
        <v>2</v>
      </c>
      <c r="H22" s="126"/>
      <c r="I22" s="126">
        <v>17</v>
      </c>
      <c r="J22" s="126">
        <v>10</v>
      </c>
      <c r="K22" s="126">
        <f t="shared" si="0"/>
        <v>66</v>
      </c>
    </row>
    <row r="23" ht="20" customHeight="1" spans="1:11">
      <c r="A23" s="48">
        <v>45858</v>
      </c>
      <c r="B23" s="140" t="s">
        <v>17</v>
      </c>
      <c r="C23" s="140"/>
      <c r="D23" s="140"/>
      <c r="E23" s="140"/>
      <c r="F23" s="140"/>
      <c r="G23" s="140"/>
      <c r="H23" s="140"/>
      <c r="I23" s="140"/>
      <c r="J23" s="140"/>
      <c r="K23" s="140"/>
    </row>
    <row r="24" ht="20" customHeight="1" spans="1:11">
      <c r="A24" s="45">
        <v>45859</v>
      </c>
      <c r="B24" s="118">
        <v>19</v>
      </c>
      <c r="C24" s="126">
        <v>8</v>
      </c>
      <c r="D24" s="126">
        <v>15</v>
      </c>
      <c r="E24" s="126">
        <v>6</v>
      </c>
      <c r="F24" s="126">
        <v>10</v>
      </c>
      <c r="G24" s="126">
        <v>8</v>
      </c>
      <c r="H24" s="126"/>
      <c r="I24" s="126">
        <v>17</v>
      </c>
      <c r="J24" s="126">
        <v>6</v>
      </c>
      <c r="K24" s="126">
        <f t="shared" si="0"/>
        <v>70</v>
      </c>
    </row>
    <row r="25" ht="20" customHeight="1" spans="1:11">
      <c r="A25" s="45">
        <v>45860</v>
      </c>
      <c r="B25" s="118">
        <v>19</v>
      </c>
      <c r="C25" s="126">
        <v>25</v>
      </c>
      <c r="D25" s="126">
        <v>34</v>
      </c>
      <c r="E25" s="126">
        <v>4</v>
      </c>
      <c r="F25" s="126">
        <v>22</v>
      </c>
      <c r="G25" s="126">
        <v>5</v>
      </c>
      <c r="H25" s="126"/>
      <c r="I25" s="126">
        <v>12</v>
      </c>
      <c r="J25" s="126">
        <v>15</v>
      </c>
      <c r="K25" s="126">
        <f t="shared" si="0"/>
        <v>117</v>
      </c>
    </row>
    <row r="26" ht="20" customHeight="1" spans="1:11">
      <c r="A26" s="45">
        <v>45861</v>
      </c>
      <c r="B26" s="120">
        <v>19</v>
      </c>
      <c r="C26" s="141">
        <v>59</v>
      </c>
      <c r="D26" s="141">
        <v>10</v>
      </c>
      <c r="E26" s="141">
        <v>14</v>
      </c>
      <c r="F26" s="141">
        <v>19</v>
      </c>
      <c r="G26" s="141">
        <v>6</v>
      </c>
      <c r="H26" s="141">
        <v>2</v>
      </c>
      <c r="I26" s="141">
        <v>38</v>
      </c>
      <c r="J26" s="141">
        <v>52</v>
      </c>
      <c r="K26" s="126">
        <f t="shared" si="0"/>
        <v>200</v>
      </c>
    </row>
    <row r="27" ht="20" customHeight="1" spans="1:11">
      <c r="A27" s="45">
        <v>45862</v>
      </c>
      <c r="B27" s="120">
        <v>19</v>
      </c>
      <c r="C27" s="141">
        <v>32</v>
      </c>
      <c r="D27" s="141">
        <v>38</v>
      </c>
      <c r="E27" s="141">
        <v>6</v>
      </c>
      <c r="F27" s="141">
        <v>28</v>
      </c>
      <c r="G27" s="141">
        <v>10</v>
      </c>
      <c r="H27" s="141">
        <v>9</v>
      </c>
      <c r="I27" s="141">
        <v>2</v>
      </c>
      <c r="J27" s="141">
        <v>29</v>
      </c>
      <c r="K27" s="126">
        <f t="shared" si="0"/>
        <v>154</v>
      </c>
    </row>
    <row r="28" ht="20" customHeight="1" spans="1:11">
      <c r="A28" s="45">
        <v>45863</v>
      </c>
      <c r="B28" s="120">
        <v>19</v>
      </c>
      <c r="C28" s="141">
        <v>24</v>
      </c>
      <c r="D28" s="141">
        <v>18</v>
      </c>
      <c r="E28" s="141">
        <v>6</v>
      </c>
      <c r="F28" s="141">
        <v>28</v>
      </c>
      <c r="G28" s="141">
        <v>12</v>
      </c>
      <c r="H28" s="141">
        <v>3</v>
      </c>
      <c r="I28" s="141">
        <v>14</v>
      </c>
      <c r="J28" s="141">
        <v>45</v>
      </c>
      <c r="K28" s="126">
        <f t="shared" si="0"/>
        <v>150</v>
      </c>
    </row>
    <row r="29" ht="20" customHeight="1" spans="1:11">
      <c r="A29" s="45">
        <v>45864</v>
      </c>
      <c r="B29" s="128">
        <v>19</v>
      </c>
      <c r="C29" s="142">
        <v>26</v>
      </c>
      <c r="D29" s="142">
        <v>6</v>
      </c>
      <c r="E29" s="142">
        <v>1</v>
      </c>
      <c r="F29" s="142">
        <v>26</v>
      </c>
      <c r="G29" s="142">
        <v>2</v>
      </c>
      <c r="H29" s="142">
        <v>1</v>
      </c>
      <c r="I29" s="142">
        <v>15</v>
      </c>
      <c r="J29" s="142">
        <v>45</v>
      </c>
      <c r="K29" s="139">
        <f t="shared" si="0"/>
        <v>122</v>
      </c>
    </row>
    <row r="30" ht="20" customHeight="1" spans="1:11">
      <c r="A30" s="48">
        <v>45865</v>
      </c>
      <c r="B30" s="140" t="s">
        <v>17</v>
      </c>
      <c r="C30" s="140"/>
      <c r="D30" s="140"/>
      <c r="E30" s="140"/>
      <c r="F30" s="140"/>
      <c r="G30" s="140"/>
      <c r="H30" s="140"/>
      <c r="I30" s="140"/>
      <c r="J30" s="140"/>
      <c r="K30" s="140"/>
    </row>
    <row r="31" ht="20" customHeight="1" spans="1:11">
      <c r="A31" s="45">
        <v>45866</v>
      </c>
      <c r="B31" s="120">
        <v>19</v>
      </c>
      <c r="C31" s="141">
        <v>25</v>
      </c>
      <c r="D31" s="141">
        <v>5</v>
      </c>
      <c r="E31" s="141">
        <v>5</v>
      </c>
      <c r="F31" s="141">
        <v>18</v>
      </c>
      <c r="G31" s="141">
        <v>5</v>
      </c>
      <c r="H31" s="141">
        <v>2</v>
      </c>
      <c r="I31" s="141">
        <v>38</v>
      </c>
      <c r="J31" s="141">
        <v>35</v>
      </c>
      <c r="K31" s="126">
        <f t="shared" si="0"/>
        <v>133</v>
      </c>
    </row>
    <row r="32" ht="20" customHeight="1" spans="1:11">
      <c r="A32" s="45">
        <v>45867</v>
      </c>
      <c r="B32" s="120">
        <v>19</v>
      </c>
      <c r="C32" s="141">
        <v>65</v>
      </c>
      <c r="D32" s="141">
        <v>62</v>
      </c>
      <c r="E32" s="141"/>
      <c r="F32" s="141">
        <v>18</v>
      </c>
      <c r="G32" s="141"/>
      <c r="H32" s="141">
        <v>1</v>
      </c>
      <c r="I32" s="141">
        <v>27</v>
      </c>
      <c r="J32" s="141">
        <v>87</v>
      </c>
      <c r="K32" s="126">
        <f t="shared" si="0"/>
        <v>260</v>
      </c>
    </row>
    <row r="33" ht="20" customHeight="1" spans="1:11">
      <c r="A33" s="45">
        <v>45868</v>
      </c>
      <c r="B33" s="120">
        <v>19</v>
      </c>
      <c r="C33" s="141">
        <v>60</v>
      </c>
      <c r="D33" s="141">
        <v>15</v>
      </c>
      <c r="E33" s="141">
        <v>2</v>
      </c>
      <c r="F33" s="141">
        <v>14</v>
      </c>
      <c r="G33" s="141"/>
      <c r="H33" s="141"/>
      <c r="I33" s="141">
        <v>17</v>
      </c>
      <c r="J33" s="141">
        <v>66</v>
      </c>
      <c r="K33" s="126">
        <f t="shared" si="0"/>
        <v>174</v>
      </c>
    </row>
    <row r="34" ht="20" customHeight="1" spans="1:11">
      <c r="A34" s="45">
        <v>45869</v>
      </c>
      <c r="B34" s="120">
        <v>18</v>
      </c>
      <c r="C34" s="141">
        <v>34</v>
      </c>
      <c r="D34" s="141">
        <v>35</v>
      </c>
      <c r="E34" s="141">
        <v>1</v>
      </c>
      <c r="F34" s="141">
        <v>28</v>
      </c>
      <c r="G34" s="141">
        <v>2</v>
      </c>
      <c r="H34" s="141"/>
      <c r="I34" s="141">
        <v>55</v>
      </c>
      <c r="J34" s="141">
        <v>90</v>
      </c>
      <c r="K34" s="126">
        <f t="shared" si="0"/>
        <v>245</v>
      </c>
    </row>
    <row r="35" ht="25.35" customHeight="1" spans="1:11">
      <c r="A35" s="143" t="s">
        <v>13</v>
      </c>
      <c r="B35" s="72">
        <f t="shared" ref="B35:J35" si="1">SUM(B4:B34)</f>
        <v>490</v>
      </c>
      <c r="C35" s="72">
        <f t="shared" si="1"/>
        <v>892</v>
      </c>
      <c r="D35" s="72">
        <f t="shared" si="1"/>
        <v>437</v>
      </c>
      <c r="E35" s="72">
        <f t="shared" si="1"/>
        <v>198</v>
      </c>
      <c r="F35" s="72">
        <f t="shared" si="1"/>
        <v>533</v>
      </c>
      <c r="G35" s="72">
        <f t="shared" si="1"/>
        <v>130</v>
      </c>
      <c r="H35" s="72">
        <f t="shared" si="1"/>
        <v>74</v>
      </c>
      <c r="I35" s="72">
        <f t="shared" si="1"/>
        <v>353</v>
      </c>
      <c r="J35" s="72">
        <f t="shared" si="1"/>
        <v>1315</v>
      </c>
      <c r="K35" s="143">
        <f>C35+D35+E35+F35+G35+I35+H35+J35</f>
        <v>3932</v>
      </c>
    </row>
    <row r="36" ht="25.35" customHeight="1"/>
    <row r="37" ht="25.35" customHeight="1"/>
    <row r="38" ht="25.35" customHeight="1"/>
    <row r="39" ht="25.35" customHeight="1"/>
    <row r="40" ht="25.35" customHeight="1"/>
    <row r="41" ht="25.35" customHeight="1"/>
    <row r="42" ht="25.35" customHeight="1"/>
    <row r="43" ht="25.35" customHeight="1"/>
    <row r="44" ht="25.35" customHeight="1"/>
    <row r="45" ht="25.35" customHeight="1"/>
    <row r="46" ht="28.7" customHeight="1"/>
  </sheetData>
  <mergeCells count="7">
    <mergeCell ref="A1:K1"/>
    <mergeCell ref="A2:C2"/>
    <mergeCell ref="H2:K2"/>
    <mergeCell ref="B9:K9"/>
    <mergeCell ref="B16:K16"/>
    <mergeCell ref="B23:K23"/>
    <mergeCell ref="B30:K30"/>
  </mergeCells>
  <pageMargins left="0.196527777777778" right="0.196527777777778" top="0.677083333333333" bottom="0.393055555555556" header="0.196527777777778" footer="0.196527777777778"/>
  <pageSetup paperSize="9" scale="36" fitToHeight="0" orientation="portrait" horizontalDpi="600"/>
  <headerFooter alignWithMargins="0">
    <oddHeader>&amp;L&amp;G&amp;C&amp;14&amp;BDISPOSAFE HEALTH AND LIFE CARE LIMITED, &amp;10
PLOT NO 37A SECTOR-6, FARIDABAD 121006, HARYANA, INDIA&amp;RRF-DPR:7.5/05:01:00
Date: 02.12.2024
  Page &amp;P of &amp;N</oddHeader>
    <oddFooter>&amp;L&amp;BPRODUCTION SUPERVISOR&amp;R&amp;B
PRODUCTION MANAGER</oddFooter>
  </headerFooter>
  <drawing r:id="rId1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6"/>
  <sheetViews>
    <sheetView zoomScale="70" zoomScaleNormal="70" zoomScalePageLayoutView="115" workbookViewId="0">
      <pane xSplit="1" ySplit="3" topLeftCell="B7" activePane="bottomRight" state="frozen"/>
      <selection/>
      <selection pane="topRight"/>
      <selection pane="bottomLeft"/>
      <selection pane="bottomRight" activeCell="K35" sqref="A1:K35"/>
    </sheetView>
  </sheetViews>
  <sheetFormatPr defaultColWidth="9" defaultRowHeight="15"/>
  <cols>
    <col min="1" max="1" width="10.2857142857143" style="36" customWidth="1"/>
    <col min="2" max="2" width="11.8095238095238" style="36" customWidth="1"/>
    <col min="3" max="3" width="10.9809523809524" style="36" customWidth="1"/>
    <col min="4" max="4" width="10" style="36" customWidth="1"/>
    <col min="5" max="5" width="10.2857142857143" style="36" customWidth="1"/>
    <col min="6" max="6" width="9.84761904761905" style="37" customWidth="1"/>
    <col min="7" max="7" width="6.96190476190476" style="37" customWidth="1"/>
    <col min="8" max="9" width="7.66666666666667" style="37" customWidth="1"/>
    <col min="10" max="10" width="10.2857142857143" style="37" customWidth="1"/>
    <col min="11" max="11" width="11.5714285714286" style="37" customWidth="1"/>
    <col min="12" max="16384" width="9.14285714285714" style="36"/>
  </cols>
  <sheetData>
    <row r="1" s="34" customFormat="1" ht="30" customHeight="1" spans="1:19">
      <c r="A1" s="38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O1" s="65"/>
      <c r="P1" s="65"/>
      <c r="Q1" s="65"/>
      <c r="R1" s="65"/>
      <c r="S1" s="65"/>
    </row>
    <row r="2" ht="17.25" customHeight="1" spans="1:11">
      <c r="A2" s="39" t="s">
        <v>22</v>
      </c>
      <c r="B2" s="39"/>
      <c r="C2" s="39"/>
      <c r="D2" s="13"/>
      <c r="E2" s="13"/>
      <c r="F2" s="14"/>
      <c r="G2" s="14"/>
      <c r="H2" s="15"/>
      <c r="I2" s="15"/>
      <c r="J2" s="15"/>
      <c r="K2" s="15"/>
    </row>
    <row r="3" ht="39" customHeight="1" spans="1:11">
      <c r="A3" s="40" t="s">
        <v>2</v>
      </c>
      <c r="B3" s="41" t="s">
        <v>3</v>
      </c>
      <c r="C3" s="42" t="s">
        <v>4</v>
      </c>
      <c r="D3" s="41" t="s">
        <v>5</v>
      </c>
      <c r="E3" s="43" t="s">
        <v>6</v>
      </c>
      <c r="F3" s="44" t="s">
        <v>7</v>
      </c>
      <c r="G3" s="44" t="s">
        <v>8</v>
      </c>
      <c r="H3" s="44" t="s">
        <v>9</v>
      </c>
      <c r="I3" s="43" t="s">
        <v>21</v>
      </c>
      <c r="J3" s="43" t="s">
        <v>11</v>
      </c>
      <c r="K3" s="44" t="s">
        <v>12</v>
      </c>
    </row>
    <row r="4" ht="22" customHeight="1" spans="1:11">
      <c r="A4" s="45">
        <v>45870</v>
      </c>
      <c r="B4" s="118">
        <v>18</v>
      </c>
      <c r="C4" s="118">
        <v>20</v>
      </c>
      <c r="D4" s="119">
        <v>17</v>
      </c>
      <c r="E4" s="119">
        <v>3</v>
      </c>
      <c r="F4" s="119">
        <v>14</v>
      </c>
      <c r="G4" s="119"/>
      <c r="H4" s="119"/>
      <c r="I4" s="130">
        <v>13</v>
      </c>
      <c r="J4" s="131">
        <v>43</v>
      </c>
      <c r="K4" s="126">
        <f t="shared" ref="K4:K10" si="0">SUM(C4:J4)</f>
        <v>110</v>
      </c>
    </row>
    <row r="5" ht="22" customHeight="1" spans="1:11">
      <c r="A5" s="45">
        <v>45871</v>
      </c>
      <c r="B5" s="118">
        <v>19</v>
      </c>
      <c r="C5" s="118">
        <v>18</v>
      </c>
      <c r="D5" s="119">
        <v>18</v>
      </c>
      <c r="E5" s="119">
        <v>1</v>
      </c>
      <c r="F5" s="119">
        <v>12</v>
      </c>
      <c r="G5" s="119">
        <v>3</v>
      </c>
      <c r="H5" s="119">
        <v>1</v>
      </c>
      <c r="I5" s="130">
        <v>14</v>
      </c>
      <c r="J5" s="131">
        <v>30</v>
      </c>
      <c r="K5" s="126">
        <f t="shared" si="0"/>
        <v>97</v>
      </c>
    </row>
    <row r="6" ht="22" customHeight="1" spans="1:11">
      <c r="A6" s="48">
        <v>45872</v>
      </c>
      <c r="B6" s="96"/>
      <c r="C6" s="96"/>
      <c r="D6" s="112"/>
      <c r="E6" s="112"/>
      <c r="F6" s="112"/>
      <c r="G6" s="112"/>
      <c r="H6" s="112"/>
      <c r="I6" s="132"/>
      <c r="J6" s="133"/>
      <c r="K6" s="97">
        <f t="shared" si="0"/>
        <v>0</v>
      </c>
    </row>
    <row r="7" ht="22" customHeight="1" spans="1:11">
      <c r="A7" s="45">
        <v>45873</v>
      </c>
      <c r="B7" s="118">
        <v>19</v>
      </c>
      <c r="C7" s="118">
        <v>21</v>
      </c>
      <c r="D7" s="119">
        <v>23</v>
      </c>
      <c r="E7" s="119">
        <v>2</v>
      </c>
      <c r="F7" s="119">
        <v>12</v>
      </c>
      <c r="G7" s="119">
        <v>1</v>
      </c>
      <c r="H7" s="119">
        <v>1</v>
      </c>
      <c r="I7" s="130">
        <v>21</v>
      </c>
      <c r="J7" s="131">
        <v>38</v>
      </c>
      <c r="K7" s="126">
        <f t="shared" si="0"/>
        <v>119</v>
      </c>
    </row>
    <row r="8" ht="22" customHeight="1" spans="1:11">
      <c r="A8" s="45">
        <v>45874</v>
      </c>
      <c r="B8" s="118">
        <v>19</v>
      </c>
      <c r="C8" s="118">
        <v>16</v>
      </c>
      <c r="D8" s="119">
        <v>18</v>
      </c>
      <c r="E8" s="119">
        <v>4</v>
      </c>
      <c r="F8" s="119">
        <v>16</v>
      </c>
      <c r="G8" s="119">
        <v>11</v>
      </c>
      <c r="H8" s="119">
        <v>1</v>
      </c>
      <c r="I8" s="130">
        <v>12</v>
      </c>
      <c r="J8" s="131">
        <v>47</v>
      </c>
      <c r="K8" s="126">
        <f t="shared" si="0"/>
        <v>125</v>
      </c>
    </row>
    <row r="9" s="35" customFormat="1" ht="22" customHeight="1" spans="1:11">
      <c r="A9" s="51">
        <v>45875</v>
      </c>
      <c r="B9" s="64">
        <v>19</v>
      </c>
      <c r="C9" s="64">
        <v>8</v>
      </c>
      <c r="D9" s="64">
        <v>8</v>
      </c>
      <c r="E9" s="64">
        <v>10</v>
      </c>
      <c r="F9" s="64">
        <v>16</v>
      </c>
      <c r="G9" s="64">
        <v>1</v>
      </c>
      <c r="H9" s="64"/>
      <c r="I9" s="64">
        <v>11</v>
      </c>
      <c r="J9" s="64">
        <v>24</v>
      </c>
      <c r="K9" s="126">
        <f t="shared" si="0"/>
        <v>78</v>
      </c>
    </row>
    <row r="10" ht="22" customHeight="1" spans="1:11">
      <c r="A10" s="45">
        <v>45876</v>
      </c>
      <c r="B10" s="120">
        <v>19</v>
      </c>
      <c r="C10" s="120">
        <v>10</v>
      </c>
      <c r="D10" s="121">
        <v>8</v>
      </c>
      <c r="E10" s="121">
        <v>7</v>
      </c>
      <c r="F10" s="121">
        <v>12</v>
      </c>
      <c r="G10" s="121">
        <v>5</v>
      </c>
      <c r="H10" s="121"/>
      <c r="I10" s="134">
        <v>6</v>
      </c>
      <c r="J10" s="135">
        <v>37</v>
      </c>
      <c r="K10" s="126">
        <f t="shared" si="0"/>
        <v>85</v>
      </c>
    </row>
    <row r="11" ht="22" customHeight="1" spans="1:11">
      <c r="A11" s="45">
        <v>45877</v>
      </c>
      <c r="B11" s="118">
        <v>19</v>
      </c>
      <c r="C11" s="118">
        <v>11</v>
      </c>
      <c r="D11" s="119">
        <v>9</v>
      </c>
      <c r="E11" s="119">
        <v>28</v>
      </c>
      <c r="F11" s="119">
        <v>10</v>
      </c>
      <c r="G11" s="119">
        <v>5</v>
      </c>
      <c r="H11" s="119">
        <v>1</v>
      </c>
      <c r="I11" s="130">
        <v>20</v>
      </c>
      <c r="J11" s="131">
        <v>27</v>
      </c>
      <c r="K11" s="126">
        <f t="shared" ref="K10:K17" si="1">SUM(C11:J11)</f>
        <v>111</v>
      </c>
    </row>
    <row r="12" ht="22" customHeight="1" spans="1:11">
      <c r="A12" s="122">
        <v>45878</v>
      </c>
      <c r="B12" s="123" t="s">
        <v>23</v>
      </c>
      <c r="C12" s="123"/>
      <c r="D12" s="123"/>
      <c r="E12" s="123"/>
      <c r="F12" s="123"/>
      <c r="G12" s="123"/>
      <c r="H12" s="123"/>
      <c r="I12" s="123"/>
      <c r="J12" s="123"/>
      <c r="K12" s="123"/>
    </row>
    <row r="13" ht="22" customHeight="1" spans="1:11">
      <c r="A13" s="48">
        <v>45879</v>
      </c>
      <c r="B13" s="92"/>
      <c r="C13" s="92"/>
      <c r="D13" s="93"/>
      <c r="E13" s="93"/>
      <c r="F13" s="93"/>
      <c r="G13" s="93"/>
      <c r="H13" s="93"/>
      <c r="I13" s="108"/>
      <c r="J13" s="109"/>
      <c r="K13" s="136">
        <f t="shared" si="1"/>
        <v>0</v>
      </c>
    </row>
    <row r="14" ht="22" customHeight="1" spans="1:11">
      <c r="A14" s="45">
        <v>45880</v>
      </c>
      <c r="B14" s="118">
        <v>17</v>
      </c>
      <c r="C14" s="118">
        <v>21</v>
      </c>
      <c r="D14" s="119">
        <v>6</v>
      </c>
      <c r="E14" s="119">
        <v>4</v>
      </c>
      <c r="F14" s="119">
        <v>22</v>
      </c>
      <c r="G14" s="119">
        <v>3</v>
      </c>
      <c r="H14" s="119">
        <v>2</v>
      </c>
      <c r="I14" s="130">
        <v>19</v>
      </c>
      <c r="J14" s="131">
        <v>33</v>
      </c>
      <c r="K14" s="126">
        <f t="shared" si="1"/>
        <v>110</v>
      </c>
    </row>
    <row r="15" ht="22" customHeight="1" spans="1:11">
      <c r="A15" s="45">
        <v>45881</v>
      </c>
      <c r="B15" s="118">
        <v>15</v>
      </c>
      <c r="C15" s="118">
        <v>16</v>
      </c>
      <c r="D15" s="119">
        <v>11</v>
      </c>
      <c r="E15" s="119">
        <v>66</v>
      </c>
      <c r="F15" s="119">
        <v>12</v>
      </c>
      <c r="G15" s="119">
        <v>3</v>
      </c>
      <c r="H15" s="119">
        <v>1</v>
      </c>
      <c r="I15" s="130">
        <v>25</v>
      </c>
      <c r="J15" s="131">
        <v>28</v>
      </c>
      <c r="K15" s="126">
        <f t="shared" si="1"/>
        <v>162</v>
      </c>
    </row>
    <row r="16" s="35" customFormat="1" ht="22" customHeight="1" spans="1:11">
      <c r="A16" s="51">
        <v>45882</v>
      </c>
      <c r="B16" s="118">
        <v>19</v>
      </c>
      <c r="C16" s="118">
        <v>15</v>
      </c>
      <c r="D16" s="119">
        <v>6</v>
      </c>
      <c r="E16" s="119">
        <v>3</v>
      </c>
      <c r="F16" s="119">
        <v>12</v>
      </c>
      <c r="G16" s="119">
        <v>2</v>
      </c>
      <c r="H16" s="119"/>
      <c r="I16" s="119">
        <v>22</v>
      </c>
      <c r="J16" s="137">
        <v>20</v>
      </c>
      <c r="K16" s="126">
        <f t="shared" si="1"/>
        <v>80</v>
      </c>
    </row>
    <row r="17" ht="22" customHeight="1" spans="1:11">
      <c r="A17" s="45">
        <v>45883</v>
      </c>
      <c r="B17" s="120">
        <v>18</v>
      </c>
      <c r="C17" s="120">
        <v>22</v>
      </c>
      <c r="D17" s="121">
        <v>17</v>
      </c>
      <c r="E17" s="121">
        <v>10</v>
      </c>
      <c r="F17" s="121">
        <v>21</v>
      </c>
      <c r="G17" s="121">
        <v>8</v>
      </c>
      <c r="H17" s="121"/>
      <c r="I17" s="119">
        <v>7</v>
      </c>
      <c r="J17" s="137">
        <v>44</v>
      </c>
      <c r="K17" s="126">
        <f t="shared" si="1"/>
        <v>129</v>
      </c>
    </row>
    <row r="18" ht="22" customHeight="1" spans="1:11">
      <c r="A18" s="122">
        <v>45884</v>
      </c>
      <c r="B18" s="124" t="s">
        <v>23</v>
      </c>
      <c r="C18" s="125"/>
      <c r="D18" s="125"/>
      <c r="E18" s="125"/>
      <c r="F18" s="125"/>
      <c r="G18" s="125"/>
      <c r="H18" s="125"/>
      <c r="I18" s="125"/>
      <c r="J18" s="125"/>
      <c r="K18" s="138"/>
    </row>
    <row r="19" ht="22" customHeight="1" spans="1:11">
      <c r="A19" s="122">
        <v>45885</v>
      </c>
      <c r="B19" s="124" t="s">
        <v>23</v>
      </c>
      <c r="C19" s="125"/>
      <c r="D19" s="125"/>
      <c r="E19" s="125"/>
      <c r="F19" s="125"/>
      <c r="G19" s="125"/>
      <c r="H19" s="125"/>
      <c r="I19" s="125"/>
      <c r="J19" s="125"/>
      <c r="K19" s="138"/>
    </row>
    <row r="20" ht="22" customHeight="1" spans="1:11">
      <c r="A20" s="48">
        <v>45886</v>
      </c>
      <c r="B20" s="96"/>
      <c r="C20" s="96"/>
      <c r="D20" s="112"/>
      <c r="E20" s="112"/>
      <c r="F20" s="112"/>
      <c r="G20" s="112"/>
      <c r="H20" s="112"/>
      <c r="I20" s="132"/>
      <c r="J20" s="133"/>
      <c r="K20" s="97">
        <f t="shared" ref="K17:K24" si="2">SUM(C20:J20)</f>
        <v>0</v>
      </c>
    </row>
    <row r="21" ht="22" customHeight="1" spans="1:11">
      <c r="A21" s="45">
        <v>45887</v>
      </c>
      <c r="B21" s="118">
        <v>19</v>
      </c>
      <c r="C21" s="126">
        <v>22</v>
      </c>
      <c r="D21" s="126">
        <v>25</v>
      </c>
      <c r="E21" s="126">
        <v>5</v>
      </c>
      <c r="F21" s="126">
        <v>12</v>
      </c>
      <c r="G21" s="126">
        <v>2</v>
      </c>
      <c r="H21" s="126">
        <v>1</v>
      </c>
      <c r="I21" s="126">
        <v>23</v>
      </c>
      <c r="J21" s="126">
        <v>40</v>
      </c>
      <c r="K21" s="126">
        <f t="shared" si="2"/>
        <v>130</v>
      </c>
    </row>
    <row r="22" ht="22" customHeight="1" spans="1:11">
      <c r="A22" s="45">
        <v>45888</v>
      </c>
      <c r="B22" s="118">
        <v>19</v>
      </c>
      <c r="C22" s="126">
        <v>13</v>
      </c>
      <c r="D22" s="126">
        <v>29</v>
      </c>
      <c r="E22" s="126">
        <v>2</v>
      </c>
      <c r="F22" s="126">
        <v>22</v>
      </c>
      <c r="G22" s="126">
        <v>1</v>
      </c>
      <c r="H22" s="126"/>
      <c r="I22" s="126">
        <v>32</v>
      </c>
      <c r="J22" s="126">
        <v>21</v>
      </c>
      <c r="K22" s="126">
        <f t="shared" si="2"/>
        <v>120</v>
      </c>
    </row>
    <row r="23" s="35" customFormat="1" ht="22" customHeight="1" spans="1:11">
      <c r="A23" s="51">
        <v>45889</v>
      </c>
      <c r="B23" s="64">
        <v>19</v>
      </c>
      <c r="C23" s="54">
        <v>7</v>
      </c>
      <c r="D23" s="54">
        <v>37</v>
      </c>
      <c r="E23" s="54"/>
      <c r="F23" s="54">
        <v>12</v>
      </c>
      <c r="G23" s="54">
        <v>3</v>
      </c>
      <c r="H23" s="54">
        <v>1</v>
      </c>
      <c r="I23" s="54">
        <v>15</v>
      </c>
      <c r="J23" s="54">
        <v>22</v>
      </c>
      <c r="K23" s="126">
        <f t="shared" si="2"/>
        <v>97</v>
      </c>
    </row>
    <row r="24" ht="22" customHeight="1" spans="1:11">
      <c r="A24" s="45">
        <v>45890</v>
      </c>
      <c r="B24" s="118">
        <v>19</v>
      </c>
      <c r="C24" s="126">
        <v>18</v>
      </c>
      <c r="D24" s="126">
        <v>17</v>
      </c>
      <c r="E24" s="126">
        <v>6</v>
      </c>
      <c r="F24" s="126">
        <v>10</v>
      </c>
      <c r="G24" s="126">
        <v>3</v>
      </c>
      <c r="H24" s="126">
        <v>2</v>
      </c>
      <c r="I24" s="126">
        <v>15</v>
      </c>
      <c r="J24" s="126">
        <v>20</v>
      </c>
      <c r="K24" s="126">
        <f t="shared" si="2"/>
        <v>91</v>
      </c>
    </row>
    <row r="25" ht="22" customHeight="1" spans="1:11">
      <c r="A25" s="45">
        <v>45891</v>
      </c>
      <c r="B25" s="118">
        <v>19</v>
      </c>
      <c r="C25" s="126">
        <v>11</v>
      </c>
      <c r="D25" s="126">
        <v>17</v>
      </c>
      <c r="E25" s="126">
        <v>2</v>
      </c>
      <c r="F25" s="126">
        <v>12</v>
      </c>
      <c r="G25" s="126">
        <v>2</v>
      </c>
      <c r="H25" s="126">
        <v>1</v>
      </c>
      <c r="I25" s="126">
        <v>21</v>
      </c>
      <c r="J25" s="126">
        <v>25</v>
      </c>
      <c r="K25" s="126">
        <f t="shared" ref="K24:K31" si="3">SUM(C25:J25)</f>
        <v>91</v>
      </c>
    </row>
    <row r="26" ht="22" customHeight="1" spans="1:11">
      <c r="A26" s="45">
        <v>45892</v>
      </c>
      <c r="B26" s="120">
        <v>19</v>
      </c>
      <c r="C26" s="127">
        <v>16</v>
      </c>
      <c r="D26" s="127">
        <v>27</v>
      </c>
      <c r="E26" s="127">
        <v>9</v>
      </c>
      <c r="F26" s="127">
        <v>14</v>
      </c>
      <c r="G26" s="127">
        <v>3</v>
      </c>
      <c r="H26" s="127">
        <v>1</v>
      </c>
      <c r="I26" s="127">
        <v>28</v>
      </c>
      <c r="J26" s="127">
        <v>17</v>
      </c>
      <c r="K26" s="126">
        <f t="shared" si="3"/>
        <v>115</v>
      </c>
    </row>
    <row r="27" ht="22" customHeight="1" spans="1:11">
      <c r="A27" s="48">
        <v>45893</v>
      </c>
      <c r="B27" s="96"/>
      <c r="C27" s="96"/>
      <c r="D27" s="112"/>
      <c r="E27" s="112"/>
      <c r="F27" s="112"/>
      <c r="G27" s="112"/>
      <c r="H27" s="112"/>
      <c r="I27" s="132"/>
      <c r="J27" s="133"/>
      <c r="K27" s="97">
        <f t="shared" si="3"/>
        <v>0</v>
      </c>
    </row>
    <row r="28" ht="22" customHeight="1" spans="1:11">
      <c r="A28" s="45">
        <v>45894</v>
      </c>
      <c r="B28" s="120">
        <v>19</v>
      </c>
      <c r="C28" s="127">
        <v>16</v>
      </c>
      <c r="D28" s="127">
        <v>34</v>
      </c>
      <c r="E28" s="127">
        <v>7</v>
      </c>
      <c r="F28" s="127">
        <v>14</v>
      </c>
      <c r="G28" s="127">
        <v>3</v>
      </c>
      <c r="H28" s="127">
        <v>1</v>
      </c>
      <c r="I28" s="127">
        <v>30</v>
      </c>
      <c r="J28" s="127">
        <v>26</v>
      </c>
      <c r="K28" s="126">
        <f t="shared" si="3"/>
        <v>131</v>
      </c>
    </row>
    <row r="29" ht="22" customHeight="1" spans="1:11">
      <c r="A29" s="45">
        <v>45895</v>
      </c>
      <c r="B29" s="128">
        <v>19</v>
      </c>
      <c r="C29" s="129">
        <v>18</v>
      </c>
      <c r="D29" s="129">
        <v>53</v>
      </c>
      <c r="E29" s="129">
        <v>4</v>
      </c>
      <c r="F29" s="129">
        <v>16</v>
      </c>
      <c r="G29" s="129">
        <v>2</v>
      </c>
      <c r="H29" s="129"/>
      <c r="I29" s="129">
        <v>35</v>
      </c>
      <c r="J29" s="129">
        <v>34</v>
      </c>
      <c r="K29" s="139">
        <f t="shared" si="3"/>
        <v>162</v>
      </c>
    </row>
    <row r="30" s="35" customFormat="1" ht="22" customHeight="1" spans="1:11">
      <c r="A30" s="51">
        <v>45896</v>
      </c>
      <c r="B30" s="64">
        <v>19</v>
      </c>
      <c r="C30" s="54">
        <v>10</v>
      </c>
      <c r="D30" s="54">
        <v>26</v>
      </c>
      <c r="E30" s="54">
        <v>6</v>
      </c>
      <c r="F30" s="54">
        <v>6</v>
      </c>
      <c r="G30" s="54">
        <v>4</v>
      </c>
      <c r="H30" s="54">
        <v>1</v>
      </c>
      <c r="I30" s="54">
        <v>26</v>
      </c>
      <c r="J30" s="54">
        <v>64</v>
      </c>
      <c r="K30" s="139">
        <f t="shared" si="3"/>
        <v>143</v>
      </c>
    </row>
    <row r="31" ht="22" customHeight="1" spans="1:11">
      <c r="A31" s="45">
        <v>45897</v>
      </c>
      <c r="B31" s="120">
        <v>19</v>
      </c>
      <c r="C31" s="127">
        <v>15</v>
      </c>
      <c r="D31" s="127">
        <v>44</v>
      </c>
      <c r="E31" s="127">
        <v>6</v>
      </c>
      <c r="F31" s="127">
        <v>12</v>
      </c>
      <c r="G31" s="127">
        <v>3</v>
      </c>
      <c r="H31" s="127">
        <v>1</v>
      </c>
      <c r="I31" s="127">
        <v>27</v>
      </c>
      <c r="J31" s="127">
        <v>40</v>
      </c>
      <c r="K31" s="139">
        <f t="shared" si="3"/>
        <v>148</v>
      </c>
    </row>
    <row r="32" ht="22" customHeight="1" spans="1:11">
      <c r="A32" s="45">
        <v>45898</v>
      </c>
      <c r="B32" s="120">
        <v>19</v>
      </c>
      <c r="C32" s="127">
        <v>16</v>
      </c>
      <c r="D32" s="127">
        <v>28</v>
      </c>
      <c r="E32" s="127">
        <v>9</v>
      </c>
      <c r="F32" s="127">
        <v>32</v>
      </c>
      <c r="G32" s="127">
        <v>7</v>
      </c>
      <c r="H32" s="127">
        <v>4</v>
      </c>
      <c r="I32" s="127">
        <v>28</v>
      </c>
      <c r="J32" s="127">
        <v>39</v>
      </c>
      <c r="K32" s="126">
        <f t="shared" ref="K31:K34" si="4">SUM(C32:J32)</f>
        <v>163</v>
      </c>
    </row>
    <row r="33" ht="22" customHeight="1" spans="1:11">
      <c r="A33" s="45">
        <v>45899</v>
      </c>
      <c r="B33" s="120">
        <v>19</v>
      </c>
      <c r="C33" s="127">
        <v>13</v>
      </c>
      <c r="D33" s="127">
        <v>32</v>
      </c>
      <c r="E33" s="127">
        <v>4</v>
      </c>
      <c r="F33" s="127">
        <v>14</v>
      </c>
      <c r="G33" s="127">
        <v>3</v>
      </c>
      <c r="H33" s="127">
        <v>1</v>
      </c>
      <c r="I33" s="127">
        <v>25</v>
      </c>
      <c r="J33" s="127">
        <v>51</v>
      </c>
      <c r="K33" s="126">
        <f t="shared" si="4"/>
        <v>143</v>
      </c>
    </row>
    <row r="34" ht="22" customHeight="1" spans="1:11">
      <c r="A34" s="48">
        <v>45900</v>
      </c>
      <c r="B34" s="96"/>
      <c r="C34" s="96"/>
      <c r="D34" s="112"/>
      <c r="E34" s="112"/>
      <c r="F34" s="112"/>
      <c r="G34" s="112"/>
      <c r="H34" s="112"/>
      <c r="I34" s="132"/>
      <c r="J34" s="133"/>
      <c r="K34" s="97">
        <f t="shared" si="4"/>
        <v>0</v>
      </c>
    </row>
    <row r="35" ht="38" customHeight="1" spans="1:11">
      <c r="A35" s="24" t="s">
        <v>13</v>
      </c>
      <c r="B35" s="25">
        <f t="shared" ref="B35:J35" si="5">SUM(B4:B34)</f>
        <v>429</v>
      </c>
      <c r="C35" s="25">
        <f t="shared" si="5"/>
        <v>353</v>
      </c>
      <c r="D35" s="25">
        <f t="shared" si="5"/>
        <v>510</v>
      </c>
      <c r="E35" s="25">
        <f t="shared" si="5"/>
        <v>198</v>
      </c>
      <c r="F35" s="25">
        <f t="shared" si="5"/>
        <v>335</v>
      </c>
      <c r="G35" s="25">
        <f t="shared" si="5"/>
        <v>78</v>
      </c>
      <c r="H35" s="25">
        <f t="shared" si="5"/>
        <v>21</v>
      </c>
      <c r="I35" s="25">
        <f t="shared" si="5"/>
        <v>475</v>
      </c>
      <c r="J35" s="25">
        <f t="shared" si="5"/>
        <v>770</v>
      </c>
      <c r="K35" s="24">
        <f>C35+D35+E35+F35+G35+I35+H35+J35</f>
        <v>2740</v>
      </c>
    </row>
    <row r="36" ht="25.35" customHeight="1"/>
    <row r="37" ht="25.35" customHeight="1"/>
    <row r="38" ht="25.35" customHeight="1"/>
    <row r="39" ht="25.35" customHeight="1"/>
    <row r="40" ht="25.35" customHeight="1"/>
    <row r="41" ht="25.35" customHeight="1"/>
    <row r="42" ht="25.35" customHeight="1"/>
    <row r="43" ht="25.35" customHeight="1"/>
    <row r="44" ht="25.35" customHeight="1"/>
    <row r="45" ht="25.35" customHeight="1"/>
    <row r="46" ht="28.7" customHeight="1"/>
  </sheetData>
  <mergeCells count="6">
    <mergeCell ref="A1:K1"/>
    <mergeCell ref="A2:C2"/>
    <mergeCell ref="H2:K2"/>
    <mergeCell ref="B12:K12"/>
    <mergeCell ref="B18:K18"/>
    <mergeCell ref="B19:K19"/>
  </mergeCells>
  <pageMargins left="0.196527777777778" right="0.196527777777778" top="1.18055555555556" bottom="0.393055555555556" header="0.354166666666667" footer="0.196527777777778"/>
  <pageSetup paperSize="9" scale="36" fitToHeight="0" orientation="portrait" horizontalDpi="600"/>
  <headerFooter alignWithMargins="0">
    <oddHeader>&amp;L&amp;G&amp;C&amp;14&amp;BDISPOSAFE HEALTH AND LIFE CARE LIMITED, &amp;10
PLOT NO 37A SECTOR-6, FARIDABAD 121006, HARYANA, INDIA&amp;RRF-DPR:7.5/05:01:00
Date: 02.12.2024
  Page &amp;P of &amp;N</oddHeader>
  </headerFooter>
  <drawing r:id="rId1"/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5"/>
  <sheetViews>
    <sheetView zoomScalePageLayoutView="115" workbookViewId="0">
      <pane xSplit="1" ySplit="3" topLeftCell="B20" activePane="bottomRight" state="frozen"/>
      <selection/>
      <selection pane="topRight"/>
      <selection pane="bottomLeft"/>
      <selection pane="bottomRight" activeCell="H7" sqref="H7"/>
    </sheetView>
  </sheetViews>
  <sheetFormatPr defaultColWidth="9" defaultRowHeight="15"/>
  <cols>
    <col min="1" max="1" width="10.2857142857143" style="36" customWidth="1"/>
    <col min="2" max="2" width="11.8095238095238" style="36" customWidth="1"/>
    <col min="3" max="3" width="10.9809523809524" style="36" customWidth="1"/>
    <col min="4" max="4" width="10" style="36" customWidth="1"/>
    <col min="5" max="5" width="10.2857142857143" style="36" customWidth="1"/>
    <col min="6" max="6" width="9.84761904761905" style="37" customWidth="1"/>
    <col min="7" max="7" width="6.96190476190476" style="37" customWidth="1"/>
    <col min="8" max="9" width="7.66666666666667" style="37" customWidth="1"/>
    <col min="10" max="10" width="10.2857142857143" style="37" customWidth="1"/>
    <col min="11" max="11" width="11.5714285714286" style="37" customWidth="1"/>
    <col min="12" max="16384" width="9.14285714285714" style="36"/>
  </cols>
  <sheetData>
    <row r="1" s="34" customFormat="1" ht="30" customHeight="1" spans="1:19">
      <c r="A1" s="83" t="s">
        <v>14</v>
      </c>
      <c r="B1" s="84"/>
      <c r="C1" s="84"/>
      <c r="D1" s="84"/>
      <c r="E1" s="84"/>
      <c r="F1" s="84"/>
      <c r="G1" s="84"/>
      <c r="H1" s="84"/>
      <c r="I1" s="84"/>
      <c r="J1" s="84"/>
      <c r="K1" s="102"/>
      <c r="O1" s="65"/>
      <c r="P1" s="65"/>
      <c r="Q1" s="65"/>
      <c r="R1" s="65"/>
      <c r="S1" s="65"/>
    </row>
    <row r="2" ht="17.25" customHeight="1" spans="1:11">
      <c r="A2" s="85" t="s">
        <v>24</v>
      </c>
      <c r="B2" s="39"/>
      <c r="C2" s="39"/>
      <c r="D2" s="13"/>
      <c r="E2" s="13"/>
      <c r="F2" s="14"/>
      <c r="G2" s="14"/>
      <c r="H2" s="15"/>
      <c r="I2" s="15"/>
      <c r="J2" s="15"/>
      <c r="K2" s="103"/>
    </row>
    <row r="3" ht="39" customHeight="1" spans="1:11">
      <c r="A3" s="86" t="s">
        <v>2</v>
      </c>
      <c r="B3" s="41" t="s">
        <v>3</v>
      </c>
      <c r="C3" s="42" t="s">
        <v>4</v>
      </c>
      <c r="D3" s="41" t="s">
        <v>5</v>
      </c>
      <c r="E3" s="43" t="s">
        <v>6</v>
      </c>
      <c r="F3" s="44" t="s">
        <v>7</v>
      </c>
      <c r="G3" s="44" t="s">
        <v>8</v>
      </c>
      <c r="H3" s="44" t="s">
        <v>9</v>
      </c>
      <c r="I3" s="43" t="s">
        <v>21</v>
      </c>
      <c r="J3" s="43" t="s">
        <v>11</v>
      </c>
      <c r="K3" s="104" t="s">
        <v>12</v>
      </c>
    </row>
    <row r="4" ht="20" customHeight="1" spans="1:11">
      <c r="A4" s="87">
        <v>45901</v>
      </c>
      <c r="B4" s="88">
        <v>19</v>
      </c>
      <c r="C4" s="88">
        <v>10</v>
      </c>
      <c r="D4" s="89">
        <v>31</v>
      </c>
      <c r="E4" s="89">
        <v>6</v>
      </c>
      <c r="F4" s="89">
        <v>12</v>
      </c>
      <c r="G4" s="89">
        <v>4</v>
      </c>
      <c r="H4" s="89">
        <v>2</v>
      </c>
      <c r="I4" s="105">
        <v>20</v>
      </c>
      <c r="J4" s="67">
        <v>48</v>
      </c>
      <c r="K4" s="106">
        <f t="shared" ref="K4:K15" si="0">SUM(C4:J4)</f>
        <v>133</v>
      </c>
    </row>
    <row r="5" ht="20" customHeight="1" spans="1:11">
      <c r="A5" s="87">
        <v>45902</v>
      </c>
      <c r="B5" s="88">
        <v>19</v>
      </c>
      <c r="C5" s="88">
        <v>16</v>
      </c>
      <c r="D5" s="89">
        <v>29</v>
      </c>
      <c r="E5" s="89">
        <v>6</v>
      </c>
      <c r="F5" s="89">
        <v>14</v>
      </c>
      <c r="G5" s="89">
        <v>3</v>
      </c>
      <c r="H5" s="89">
        <v>1</v>
      </c>
      <c r="I5" s="105">
        <v>28</v>
      </c>
      <c r="J5" s="67">
        <v>64</v>
      </c>
      <c r="K5" s="106">
        <f t="shared" si="0"/>
        <v>161</v>
      </c>
    </row>
    <row r="6" ht="20" customHeight="1" spans="1:11">
      <c r="A6" s="90">
        <v>45903</v>
      </c>
      <c r="B6" s="52">
        <v>19</v>
      </c>
      <c r="C6" s="52">
        <v>15</v>
      </c>
      <c r="D6" s="53">
        <v>20</v>
      </c>
      <c r="E6" s="53">
        <v>4</v>
      </c>
      <c r="F6" s="53">
        <v>18</v>
      </c>
      <c r="G6" s="53">
        <v>4</v>
      </c>
      <c r="H6" s="53">
        <v>3</v>
      </c>
      <c r="I6" s="69">
        <v>25</v>
      </c>
      <c r="J6" s="58">
        <v>45</v>
      </c>
      <c r="K6" s="107">
        <f t="shared" si="0"/>
        <v>134</v>
      </c>
    </row>
    <row r="7" ht="20" customHeight="1" spans="1:11">
      <c r="A7" s="87">
        <v>45904</v>
      </c>
      <c r="B7" s="88">
        <v>19</v>
      </c>
      <c r="C7" s="88">
        <v>14</v>
      </c>
      <c r="D7" s="89">
        <v>27</v>
      </c>
      <c r="E7" s="89">
        <v>1</v>
      </c>
      <c r="F7" s="89">
        <v>16</v>
      </c>
      <c r="G7" s="89">
        <v>5</v>
      </c>
      <c r="H7" s="89">
        <v>1</v>
      </c>
      <c r="I7" s="105">
        <v>43</v>
      </c>
      <c r="J7" s="67">
        <v>68</v>
      </c>
      <c r="K7" s="106">
        <f t="shared" si="0"/>
        <v>175</v>
      </c>
    </row>
    <row r="8" ht="20" customHeight="1" spans="1:11">
      <c r="A8" s="87">
        <v>45905</v>
      </c>
      <c r="B8" s="88">
        <v>19</v>
      </c>
      <c r="C8" s="88">
        <v>14</v>
      </c>
      <c r="D8" s="89">
        <v>10</v>
      </c>
      <c r="E8" s="89">
        <v>10</v>
      </c>
      <c r="F8" s="89">
        <v>14</v>
      </c>
      <c r="G8" s="89">
        <v>6</v>
      </c>
      <c r="H8" s="89"/>
      <c r="I8" s="105">
        <v>12</v>
      </c>
      <c r="J8" s="67">
        <v>37</v>
      </c>
      <c r="K8" s="106">
        <f t="shared" si="0"/>
        <v>103</v>
      </c>
    </row>
    <row r="9" s="35" customFormat="1" ht="20" customHeight="1" spans="1:11">
      <c r="A9" s="90">
        <v>45906</v>
      </c>
      <c r="B9" s="54">
        <v>19</v>
      </c>
      <c r="C9" s="54">
        <v>13</v>
      </c>
      <c r="D9" s="54">
        <v>20</v>
      </c>
      <c r="E9" s="54">
        <v>3</v>
      </c>
      <c r="F9" s="54">
        <v>12</v>
      </c>
      <c r="G9" s="54">
        <v>2</v>
      </c>
      <c r="H9" s="54"/>
      <c r="I9" s="54">
        <v>22</v>
      </c>
      <c r="J9" s="54">
        <v>46</v>
      </c>
      <c r="K9" s="106">
        <f t="shared" si="0"/>
        <v>118</v>
      </c>
    </row>
    <row r="10" ht="20" customHeight="1" spans="1:11">
      <c r="A10" s="91">
        <v>45907</v>
      </c>
      <c r="B10" s="92"/>
      <c r="C10" s="92"/>
      <c r="D10" s="93"/>
      <c r="E10" s="93"/>
      <c r="F10" s="93"/>
      <c r="G10" s="93"/>
      <c r="H10" s="93"/>
      <c r="I10" s="108"/>
      <c r="J10" s="109"/>
      <c r="K10" s="110"/>
    </row>
    <row r="11" ht="20" customHeight="1" spans="1:11">
      <c r="A11" s="87">
        <v>45908</v>
      </c>
      <c r="B11" s="88">
        <v>18</v>
      </c>
      <c r="C11" s="88">
        <v>17</v>
      </c>
      <c r="D11" s="89">
        <v>19</v>
      </c>
      <c r="E11" s="89">
        <v>2</v>
      </c>
      <c r="F11" s="89">
        <v>16</v>
      </c>
      <c r="G11" s="89">
        <v>2</v>
      </c>
      <c r="H11" s="89">
        <v>2</v>
      </c>
      <c r="I11" s="105">
        <v>32</v>
      </c>
      <c r="J11" s="67">
        <v>38</v>
      </c>
      <c r="K11" s="106">
        <f t="shared" si="0"/>
        <v>128</v>
      </c>
    </row>
    <row r="12" ht="20" customHeight="1" spans="1:11">
      <c r="A12" s="90">
        <v>45909</v>
      </c>
      <c r="B12" s="54">
        <v>19</v>
      </c>
      <c r="C12" s="54">
        <v>16</v>
      </c>
      <c r="D12" s="54">
        <v>21</v>
      </c>
      <c r="E12" s="54">
        <v>6</v>
      </c>
      <c r="F12" s="54">
        <v>16</v>
      </c>
      <c r="G12" s="54">
        <v>5</v>
      </c>
      <c r="H12" s="54"/>
      <c r="I12" s="54">
        <v>31</v>
      </c>
      <c r="J12" s="54">
        <v>37</v>
      </c>
      <c r="K12" s="106">
        <f t="shared" si="0"/>
        <v>132</v>
      </c>
    </row>
    <row r="13" ht="20" customHeight="1" spans="1:11">
      <c r="A13" s="90">
        <v>45910</v>
      </c>
      <c r="B13" s="94">
        <v>19</v>
      </c>
      <c r="C13" s="94">
        <v>2</v>
      </c>
      <c r="D13" s="95">
        <v>11</v>
      </c>
      <c r="E13" s="95">
        <v>1</v>
      </c>
      <c r="F13" s="95">
        <v>14</v>
      </c>
      <c r="G13" s="95">
        <v>1</v>
      </c>
      <c r="H13" s="95"/>
      <c r="I13" s="111">
        <v>45</v>
      </c>
      <c r="J13" s="70">
        <v>54</v>
      </c>
      <c r="K13" s="106">
        <f t="shared" si="0"/>
        <v>128</v>
      </c>
    </row>
    <row r="14" ht="20" customHeight="1" spans="1:11">
      <c r="A14" s="90">
        <v>45911</v>
      </c>
      <c r="B14" s="52">
        <v>19</v>
      </c>
      <c r="C14" s="52">
        <v>11</v>
      </c>
      <c r="D14" s="53">
        <v>17</v>
      </c>
      <c r="E14" s="53">
        <v>2</v>
      </c>
      <c r="F14" s="53">
        <v>14</v>
      </c>
      <c r="G14" s="53">
        <v>2</v>
      </c>
      <c r="H14" s="53"/>
      <c r="I14" s="69">
        <v>35</v>
      </c>
      <c r="J14" s="58">
        <v>49</v>
      </c>
      <c r="K14" s="106">
        <f t="shared" si="0"/>
        <v>130</v>
      </c>
    </row>
    <row r="15" ht="20" customHeight="1" spans="1:11">
      <c r="A15" s="90">
        <v>45912</v>
      </c>
      <c r="B15" s="52">
        <v>19</v>
      </c>
      <c r="C15" s="52">
        <v>4</v>
      </c>
      <c r="D15" s="53">
        <v>11</v>
      </c>
      <c r="E15" s="53">
        <v>46</v>
      </c>
      <c r="F15" s="53">
        <v>22</v>
      </c>
      <c r="G15" s="53">
        <v>5</v>
      </c>
      <c r="H15" s="53"/>
      <c r="I15" s="69">
        <v>30</v>
      </c>
      <c r="J15" s="58">
        <v>50</v>
      </c>
      <c r="K15" s="106">
        <f t="shared" si="0"/>
        <v>168</v>
      </c>
    </row>
    <row r="16" s="35" customFormat="1" ht="20" customHeight="1" spans="1:11">
      <c r="A16" s="90">
        <v>45913</v>
      </c>
      <c r="B16" s="52">
        <v>19</v>
      </c>
      <c r="C16" s="52">
        <v>7</v>
      </c>
      <c r="D16" s="53">
        <v>6</v>
      </c>
      <c r="E16" s="53"/>
      <c r="F16" s="53">
        <v>20</v>
      </c>
      <c r="G16" s="53">
        <v>2</v>
      </c>
      <c r="H16" s="53"/>
      <c r="I16" s="53">
        <v>36</v>
      </c>
      <c r="J16" s="57">
        <v>59</v>
      </c>
      <c r="K16" s="107">
        <f t="shared" ref="K13:K20" si="1">SUM(C16:J16)</f>
        <v>130</v>
      </c>
    </row>
    <row r="17" ht="20" customHeight="1" spans="1:11">
      <c r="A17" s="91">
        <v>45914</v>
      </c>
      <c r="B17" s="92"/>
      <c r="C17" s="92"/>
      <c r="D17" s="93"/>
      <c r="E17" s="93"/>
      <c r="F17" s="93"/>
      <c r="G17" s="93"/>
      <c r="H17" s="93"/>
      <c r="I17" s="112"/>
      <c r="J17" s="113"/>
      <c r="K17" s="110">
        <f t="shared" si="1"/>
        <v>0</v>
      </c>
    </row>
    <row r="18" ht="20" customHeight="1" spans="1:11">
      <c r="A18" s="90">
        <v>45915</v>
      </c>
      <c r="B18" s="54">
        <v>19</v>
      </c>
      <c r="C18" s="54">
        <v>9</v>
      </c>
      <c r="D18" s="54">
        <v>15</v>
      </c>
      <c r="E18" s="54"/>
      <c r="F18" s="54">
        <v>22</v>
      </c>
      <c r="G18" s="54">
        <v>8</v>
      </c>
      <c r="H18" s="54"/>
      <c r="I18" s="54">
        <v>30</v>
      </c>
      <c r="J18" s="54">
        <v>49</v>
      </c>
      <c r="K18" s="114">
        <f t="shared" si="1"/>
        <v>133</v>
      </c>
    </row>
    <row r="19" ht="20" customHeight="1" spans="1:11">
      <c r="A19" s="90">
        <v>45916</v>
      </c>
      <c r="B19" s="54">
        <v>19</v>
      </c>
      <c r="C19" s="54">
        <v>12</v>
      </c>
      <c r="D19" s="54">
        <v>11</v>
      </c>
      <c r="E19" s="54"/>
      <c r="F19" s="54">
        <v>10</v>
      </c>
      <c r="G19" s="54">
        <v>5</v>
      </c>
      <c r="H19" s="54"/>
      <c r="I19" s="54">
        <v>50</v>
      </c>
      <c r="J19" s="54">
        <v>56</v>
      </c>
      <c r="K19" s="114">
        <f t="shared" si="1"/>
        <v>144</v>
      </c>
    </row>
    <row r="20" ht="20" customHeight="1" spans="1:11">
      <c r="A20" s="90">
        <v>45917</v>
      </c>
      <c r="B20" s="52">
        <v>19</v>
      </c>
      <c r="C20" s="52">
        <v>10</v>
      </c>
      <c r="D20" s="53">
        <v>13</v>
      </c>
      <c r="E20" s="53"/>
      <c r="F20" s="53">
        <v>10</v>
      </c>
      <c r="G20" s="53">
        <v>8</v>
      </c>
      <c r="H20" s="53"/>
      <c r="I20" s="69">
        <v>39</v>
      </c>
      <c r="J20" s="58">
        <v>89</v>
      </c>
      <c r="K20" s="114">
        <f t="shared" si="1"/>
        <v>169</v>
      </c>
    </row>
    <row r="21" ht="20" customHeight="1" spans="1:11">
      <c r="A21" s="90">
        <v>45918</v>
      </c>
      <c r="B21" s="52">
        <v>19</v>
      </c>
      <c r="C21" s="54">
        <v>10</v>
      </c>
      <c r="D21" s="54">
        <v>4</v>
      </c>
      <c r="E21" s="54">
        <v>20</v>
      </c>
      <c r="F21" s="54">
        <v>22</v>
      </c>
      <c r="G21" s="54">
        <v>4</v>
      </c>
      <c r="H21" s="54"/>
      <c r="I21" s="54">
        <v>28</v>
      </c>
      <c r="J21" s="54">
        <v>94</v>
      </c>
      <c r="K21" s="114">
        <f t="shared" ref="K20:K34" si="2">SUM(C21:J21)</f>
        <v>182</v>
      </c>
    </row>
    <row r="22" ht="20" customHeight="1" spans="1:11">
      <c r="A22" s="90">
        <v>45919</v>
      </c>
      <c r="B22" s="52">
        <v>19</v>
      </c>
      <c r="C22" s="54">
        <v>8</v>
      </c>
      <c r="D22" s="54">
        <v>17</v>
      </c>
      <c r="E22" s="54"/>
      <c r="F22" s="54">
        <v>38</v>
      </c>
      <c r="G22" s="54">
        <v>3</v>
      </c>
      <c r="H22" s="54"/>
      <c r="I22" s="54">
        <v>44</v>
      </c>
      <c r="J22" s="54">
        <v>86</v>
      </c>
      <c r="K22" s="114">
        <f t="shared" si="2"/>
        <v>196</v>
      </c>
    </row>
    <row r="23" s="35" customFormat="1" ht="20" customHeight="1" spans="1:11">
      <c r="A23" s="90">
        <v>45920</v>
      </c>
      <c r="B23" s="54">
        <v>19</v>
      </c>
      <c r="C23" s="54">
        <v>5</v>
      </c>
      <c r="D23" s="54">
        <v>21</v>
      </c>
      <c r="E23" s="54"/>
      <c r="F23" s="54">
        <v>60</v>
      </c>
      <c r="G23" s="54">
        <v>3</v>
      </c>
      <c r="H23" s="54"/>
      <c r="I23" s="54">
        <v>23</v>
      </c>
      <c r="J23" s="54">
        <v>83</v>
      </c>
      <c r="K23" s="114">
        <f t="shared" si="2"/>
        <v>195</v>
      </c>
    </row>
    <row r="24" ht="20" customHeight="1" spans="1:11">
      <c r="A24" s="91">
        <v>45921</v>
      </c>
      <c r="B24" s="96"/>
      <c r="C24" s="97"/>
      <c r="D24" s="97"/>
      <c r="E24" s="97"/>
      <c r="F24" s="97"/>
      <c r="G24" s="97"/>
      <c r="H24" s="97"/>
      <c r="I24" s="97"/>
      <c r="J24" s="97"/>
      <c r="K24" s="110">
        <f t="shared" si="2"/>
        <v>0</v>
      </c>
    </row>
    <row r="25" ht="20" customHeight="1" spans="1:11">
      <c r="A25" s="90">
        <v>45922</v>
      </c>
      <c r="B25" s="52">
        <v>18</v>
      </c>
      <c r="C25" s="54">
        <v>11</v>
      </c>
      <c r="D25" s="54">
        <v>11</v>
      </c>
      <c r="E25" s="54"/>
      <c r="F25" s="54">
        <v>36</v>
      </c>
      <c r="G25" s="54">
        <v>6</v>
      </c>
      <c r="H25" s="54"/>
      <c r="I25" s="54">
        <v>37</v>
      </c>
      <c r="J25" s="54">
        <v>70</v>
      </c>
      <c r="K25" s="114">
        <f t="shared" si="2"/>
        <v>171</v>
      </c>
    </row>
    <row r="26" ht="20" customHeight="1" spans="1:11">
      <c r="A26" s="90">
        <v>45923</v>
      </c>
      <c r="B26" s="94">
        <v>19</v>
      </c>
      <c r="C26" s="55">
        <v>10</v>
      </c>
      <c r="D26" s="55">
        <v>20</v>
      </c>
      <c r="E26" s="55"/>
      <c r="F26" s="55">
        <v>28</v>
      </c>
      <c r="G26" s="55"/>
      <c r="H26" s="55"/>
      <c r="I26" s="54">
        <v>60</v>
      </c>
      <c r="J26" s="54">
        <v>50</v>
      </c>
      <c r="K26" s="114">
        <f t="shared" si="2"/>
        <v>168</v>
      </c>
    </row>
    <row r="27" ht="20" customHeight="1" spans="1:11">
      <c r="A27" s="90">
        <v>45924</v>
      </c>
      <c r="B27" s="52">
        <v>19</v>
      </c>
      <c r="C27" s="52">
        <v>4</v>
      </c>
      <c r="D27" s="53">
        <v>25</v>
      </c>
      <c r="E27" s="53">
        <v>5</v>
      </c>
      <c r="F27" s="53">
        <v>42</v>
      </c>
      <c r="G27" s="53">
        <v>4</v>
      </c>
      <c r="H27" s="53"/>
      <c r="I27" s="53">
        <v>44</v>
      </c>
      <c r="J27" s="57">
        <v>77</v>
      </c>
      <c r="K27" s="114">
        <f t="shared" si="2"/>
        <v>201</v>
      </c>
    </row>
    <row r="28" ht="20" customHeight="1" spans="1:11">
      <c r="A28" s="90">
        <v>45925</v>
      </c>
      <c r="B28" s="94">
        <v>19</v>
      </c>
      <c r="C28" s="55">
        <v>23</v>
      </c>
      <c r="D28" s="55">
        <v>23</v>
      </c>
      <c r="E28" s="55"/>
      <c r="F28" s="55">
        <v>26</v>
      </c>
      <c r="G28" s="55">
        <v>1</v>
      </c>
      <c r="H28" s="55"/>
      <c r="I28" s="54">
        <v>30</v>
      </c>
      <c r="J28" s="54">
        <v>58</v>
      </c>
      <c r="K28" s="114">
        <f t="shared" si="2"/>
        <v>161</v>
      </c>
    </row>
    <row r="29" ht="20" customHeight="1" spans="1:11">
      <c r="A29" s="90">
        <v>45926</v>
      </c>
      <c r="B29" s="98">
        <v>19</v>
      </c>
      <c r="C29" s="62">
        <v>12</v>
      </c>
      <c r="D29" s="62">
        <v>28</v>
      </c>
      <c r="E29" s="62">
        <v>18</v>
      </c>
      <c r="F29" s="62">
        <v>22</v>
      </c>
      <c r="G29" s="62">
        <v>4</v>
      </c>
      <c r="H29" s="62"/>
      <c r="I29" s="54">
        <v>37</v>
      </c>
      <c r="J29" s="54">
        <v>59</v>
      </c>
      <c r="K29" s="115">
        <f t="shared" si="2"/>
        <v>180</v>
      </c>
    </row>
    <row r="30" s="35" customFormat="1" ht="20" customHeight="1" spans="1:11">
      <c r="A30" s="90">
        <v>45927</v>
      </c>
      <c r="B30" s="54">
        <v>14</v>
      </c>
      <c r="C30" s="54">
        <v>11</v>
      </c>
      <c r="D30" s="54">
        <v>20</v>
      </c>
      <c r="E30" s="54">
        <v>2</v>
      </c>
      <c r="F30" s="54">
        <v>28</v>
      </c>
      <c r="G30" s="54">
        <v>2</v>
      </c>
      <c r="H30" s="54"/>
      <c r="I30" s="54">
        <v>31</v>
      </c>
      <c r="J30" s="54">
        <v>63</v>
      </c>
      <c r="K30" s="115">
        <f t="shared" si="2"/>
        <v>157</v>
      </c>
    </row>
    <row r="31" ht="20" customHeight="1" spans="1:11">
      <c r="A31" s="91">
        <v>45928</v>
      </c>
      <c r="B31" s="92"/>
      <c r="C31" s="99"/>
      <c r="D31" s="99"/>
      <c r="E31" s="99"/>
      <c r="F31" s="99"/>
      <c r="G31" s="99"/>
      <c r="H31" s="99"/>
      <c r="I31" s="99"/>
      <c r="J31" s="99"/>
      <c r="K31" s="116">
        <f t="shared" si="2"/>
        <v>0</v>
      </c>
    </row>
    <row r="32" ht="20" customHeight="1" spans="1:11">
      <c r="A32" s="90">
        <v>45929</v>
      </c>
      <c r="B32" s="94">
        <v>18</v>
      </c>
      <c r="C32" s="55">
        <v>19</v>
      </c>
      <c r="D32" s="55">
        <v>23</v>
      </c>
      <c r="E32" s="55"/>
      <c r="F32" s="55">
        <v>28</v>
      </c>
      <c r="G32" s="55">
        <v>1</v>
      </c>
      <c r="H32" s="55"/>
      <c r="I32" s="55">
        <v>39</v>
      </c>
      <c r="J32" s="55">
        <v>66</v>
      </c>
      <c r="K32" s="114">
        <f t="shared" si="2"/>
        <v>176</v>
      </c>
    </row>
    <row r="33" ht="20" customHeight="1" spans="1:11">
      <c r="A33" s="90">
        <v>45930</v>
      </c>
      <c r="B33" s="94">
        <v>19</v>
      </c>
      <c r="C33" s="55">
        <v>16</v>
      </c>
      <c r="D33" s="55">
        <v>47</v>
      </c>
      <c r="E33" s="55">
        <v>1</v>
      </c>
      <c r="F33" s="55">
        <v>40</v>
      </c>
      <c r="G33" s="55">
        <v>2</v>
      </c>
      <c r="H33" s="55"/>
      <c r="I33" s="55">
        <v>39</v>
      </c>
      <c r="J33" s="55">
        <v>91</v>
      </c>
      <c r="K33" s="114">
        <f t="shared" si="2"/>
        <v>236</v>
      </c>
    </row>
    <row r="34" ht="25.35" customHeight="1" spans="1:11">
      <c r="A34" s="100" t="s">
        <v>13</v>
      </c>
      <c r="B34" s="101">
        <f t="shared" ref="B34:J34" si="3">SUM(B4:B33)</f>
        <v>486</v>
      </c>
      <c r="C34" s="101">
        <f t="shared" si="3"/>
        <v>299</v>
      </c>
      <c r="D34" s="101">
        <f t="shared" si="3"/>
        <v>500</v>
      </c>
      <c r="E34" s="101">
        <f t="shared" si="3"/>
        <v>133</v>
      </c>
      <c r="F34" s="101">
        <f t="shared" si="3"/>
        <v>600</v>
      </c>
      <c r="G34" s="101">
        <f t="shared" si="3"/>
        <v>92</v>
      </c>
      <c r="H34" s="101">
        <f t="shared" si="3"/>
        <v>9</v>
      </c>
      <c r="I34" s="101">
        <f t="shared" si="3"/>
        <v>890</v>
      </c>
      <c r="J34" s="101">
        <f t="shared" si="3"/>
        <v>1586</v>
      </c>
      <c r="K34" s="117">
        <f>C34+D34+E34+F34+G34+I34+H34+J34</f>
        <v>4109</v>
      </c>
    </row>
    <row r="35" ht="25.35" customHeight="1"/>
    <row r="36" ht="25.35" customHeight="1"/>
    <row r="37" ht="25.35" customHeight="1"/>
    <row r="38" ht="25.35" customHeight="1"/>
    <row r="39" ht="25.35" customHeight="1"/>
    <row r="40" ht="25.35" customHeight="1"/>
    <row r="41" ht="25.35" customHeight="1"/>
    <row r="42" ht="25.35" customHeight="1"/>
    <row r="43" ht="25.35" customHeight="1"/>
    <row r="44" ht="25.35" customHeight="1"/>
    <row r="45" ht="28.7" customHeight="1"/>
  </sheetData>
  <mergeCells count="3">
    <mergeCell ref="A1:K1"/>
    <mergeCell ref="A2:C2"/>
    <mergeCell ref="H2:K2"/>
  </mergeCells>
  <pageMargins left="0.196527777777778" right="0.196527777777778" top="1.53541666666667" bottom="0.393055555555556" header="0.550694444444444" footer="0.196527777777778"/>
  <pageSetup paperSize="9" scale="54" fitToHeight="0" orientation="landscape" horizontalDpi="600"/>
  <headerFooter alignWithMargins="0">
    <oddHeader>&amp;L&amp;G&amp;C&amp;14&amp;BDISPOSAFE HEALTH AND LIFE CARE LIMITED, &amp;10
PLOT NO 37A SECTOR-6, FARIDABAD 121006, HARYANA, INDIA&amp;RRF-DPR:7.5/05:01:00
Date: 02.12.2024
  Page &amp;P of &amp;N</oddHeader>
  </headerFooter>
  <drawing r:id="rId1"/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6"/>
  <sheetViews>
    <sheetView zoomScalePageLayoutView="115" workbookViewId="0">
      <pane xSplit="1" ySplit="3" topLeftCell="B4" activePane="bottomRight" state="frozen"/>
      <selection/>
      <selection pane="topRight"/>
      <selection pane="bottomLeft"/>
      <selection pane="bottomRight" activeCell="A1" sqref="A1:K35"/>
    </sheetView>
  </sheetViews>
  <sheetFormatPr defaultColWidth="9" defaultRowHeight="15"/>
  <cols>
    <col min="1" max="1" width="10.2857142857143" style="36" customWidth="1"/>
    <col min="2" max="2" width="11.8095238095238" style="36" customWidth="1"/>
    <col min="3" max="3" width="10.9809523809524" style="36" customWidth="1"/>
    <col min="4" max="4" width="10" style="36" customWidth="1"/>
    <col min="5" max="5" width="10.2857142857143" style="36" customWidth="1"/>
    <col min="6" max="6" width="9.84761904761905" style="37" customWidth="1"/>
    <col min="7" max="7" width="6.96190476190476" style="37" customWidth="1"/>
    <col min="8" max="9" width="7.66666666666667" style="37" customWidth="1"/>
    <col min="10" max="10" width="10.2857142857143" style="37" customWidth="1"/>
    <col min="11" max="11" width="11.5714285714286" style="37" customWidth="1"/>
    <col min="12" max="16384" width="9.14285714285714" style="36"/>
  </cols>
  <sheetData>
    <row r="1" s="34" customFormat="1" ht="30" customHeight="1" spans="1:19">
      <c r="A1" s="38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O1" s="65"/>
      <c r="P1" s="65"/>
      <c r="Q1" s="65"/>
      <c r="R1" s="65"/>
      <c r="S1" s="65"/>
    </row>
    <row r="2" ht="17.25" customHeight="1" spans="1:11">
      <c r="A2" s="39" t="s">
        <v>25</v>
      </c>
      <c r="B2" s="39"/>
      <c r="C2" s="39"/>
      <c r="D2" s="13"/>
      <c r="E2" s="13"/>
      <c r="F2" s="14"/>
      <c r="G2" s="14"/>
      <c r="H2" s="15"/>
      <c r="I2" s="15"/>
      <c r="J2" s="15"/>
      <c r="K2" s="15"/>
    </row>
    <row r="3" ht="39" customHeight="1" spans="1:11">
      <c r="A3" s="40" t="s">
        <v>2</v>
      </c>
      <c r="B3" s="41" t="s">
        <v>3</v>
      </c>
      <c r="C3" s="42" t="s">
        <v>4</v>
      </c>
      <c r="D3" s="41" t="s">
        <v>5</v>
      </c>
      <c r="E3" s="43" t="s">
        <v>6</v>
      </c>
      <c r="F3" s="44" t="s">
        <v>7</v>
      </c>
      <c r="G3" s="44" t="s">
        <v>8</v>
      </c>
      <c r="H3" s="44" t="s">
        <v>9</v>
      </c>
      <c r="I3" s="43" t="s">
        <v>21</v>
      </c>
      <c r="J3" s="43" t="s">
        <v>11</v>
      </c>
      <c r="K3" s="44" t="s">
        <v>12</v>
      </c>
    </row>
    <row r="4" ht="20" customHeight="1" spans="1:11">
      <c r="A4" s="45">
        <v>45931</v>
      </c>
      <c r="B4" s="46">
        <v>19</v>
      </c>
      <c r="C4" s="46">
        <v>13</v>
      </c>
      <c r="D4" s="47">
        <v>46</v>
      </c>
      <c r="E4" s="47">
        <v>12</v>
      </c>
      <c r="F4" s="47">
        <v>56</v>
      </c>
      <c r="G4" s="47">
        <v>2</v>
      </c>
      <c r="H4" s="47"/>
      <c r="I4" s="67">
        <v>43</v>
      </c>
      <c r="J4" s="67">
        <v>92</v>
      </c>
      <c r="K4" s="25">
        <f>SUM(C4:J4)</f>
        <v>264</v>
      </c>
    </row>
    <row r="5" ht="20" customHeight="1" spans="1:11">
      <c r="A5" s="79">
        <v>45932</v>
      </c>
      <c r="B5" s="80" t="s">
        <v>26</v>
      </c>
      <c r="C5" s="80"/>
      <c r="D5" s="80"/>
      <c r="E5" s="80"/>
      <c r="F5" s="80"/>
      <c r="G5" s="80"/>
      <c r="H5" s="80"/>
      <c r="I5" s="80"/>
      <c r="J5" s="80"/>
      <c r="K5" s="25">
        <f t="shared" ref="K5:K34" si="0">SUM(C5:J5)</f>
        <v>0</v>
      </c>
    </row>
    <row r="6" ht="20" customHeight="1" spans="1:11">
      <c r="A6" s="51">
        <v>45933</v>
      </c>
      <c r="B6" s="55">
        <v>19</v>
      </c>
      <c r="C6" s="55">
        <v>7</v>
      </c>
      <c r="D6" s="56">
        <v>44</v>
      </c>
      <c r="E6" s="56">
        <v>0</v>
      </c>
      <c r="F6" s="56">
        <v>30</v>
      </c>
      <c r="G6" s="56">
        <v>3</v>
      </c>
      <c r="H6" s="56">
        <v>0</v>
      </c>
      <c r="I6" s="70">
        <v>45</v>
      </c>
      <c r="J6" s="70">
        <v>116</v>
      </c>
      <c r="K6" s="25">
        <f t="shared" si="0"/>
        <v>245</v>
      </c>
    </row>
    <row r="7" ht="20" customHeight="1" spans="1:11">
      <c r="A7" s="45">
        <v>45934</v>
      </c>
      <c r="B7" s="46">
        <v>19</v>
      </c>
      <c r="C7" s="46">
        <v>7</v>
      </c>
      <c r="D7" s="47">
        <v>22</v>
      </c>
      <c r="E7" s="47">
        <v>8</v>
      </c>
      <c r="F7" s="47">
        <v>26</v>
      </c>
      <c r="G7" s="47">
        <v>5</v>
      </c>
      <c r="H7" s="47">
        <v>0</v>
      </c>
      <c r="I7" s="67">
        <v>34</v>
      </c>
      <c r="J7" s="67">
        <v>133</v>
      </c>
      <c r="K7" s="25">
        <f t="shared" si="0"/>
        <v>235</v>
      </c>
    </row>
    <row r="8" ht="20" customHeight="1" spans="1:11">
      <c r="A8" s="48">
        <v>45935</v>
      </c>
      <c r="B8" s="73"/>
      <c r="C8" s="73"/>
      <c r="D8" s="74"/>
      <c r="E8" s="74"/>
      <c r="F8" s="74"/>
      <c r="G8" s="74"/>
      <c r="H8" s="74"/>
      <c r="I8" s="77"/>
      <c r="J8" s="68"/>
      <c r="K8" s="25">
        <f t="shared" si="0"/>
        <v>0</v>
      </c>
    </row>
    <row r="9" s="35" customFormat="1" ht="20" customHeight="1" spans="1:11">
      <c r="A9" s="51">
        <v>45936</v>
      </c>
      <c r="B9" s="54">
        <v>19</v>
      </c>
      <c r="C9" s="54">
        <v>9</v>
      </c>
      <c r="D9" s="54">
        <v>36</v>
      </c>
      <c r="E9" s="54">
        <v>28</v>
      </c>
      <c r="F9" s="54">
        <v>36</v>
      </c>
      <c r="G9" s="54">
        <v>3</v>
      </c>
      <c r="H9" s="54">
        <v>0</v>
      </c>
      <c r="I9" s="54">
        <v>44</v>
      </c>
      <c r="J9" s="54">
        <v>87</v>
      </c>
      <c r="K9" s="25">
        <f t="shared" si="0"/>
        <v>243</v>
      </c>
    </row>
    <row r="10" ht="20" customHeight="1" spans="1:11">
      <c r="A10" s="51">
        <v>45937</v>
      </c>
      <c r="B10" s="55">
        <v>19</v>
      </c>
      <c r="C10" s="55">
        <v>2</v>
      </c>
      <c r="D10" s="56">
        <v>20</v>
      </c>
      <c r="E10" s="56">
        <v>6</v>
      </c>
      <c r="F10" s="56">
        <v>14</v>
      </c>
      <c r="G10" s="56">
        <v>3</v>
      </c>
      <c r="H10" s="56">
        <v>0</v>
      </c>
      <c r="I10" s="70">
        <v>26</v>
      </c>
      <c r="J10" s="70">
        <v>126</v>
      </c>
      <c r="K10" s="25">
        <f t="shared" si="0"/>
        <v>197</v>
      </c>
    </row>
    <row r="11" ht="20" customHeight="1" spans="1:11">
      <c r="A11" s="51">
        <v>45938</v>
      </c>
      <c r="B11" s="54">
        <v>19</v>
      </c>
      <c r="C11" s="54">
        <v>2</v>
      </c>
      <c r="D11" s="57">
        <v>21</v>
      </c>
      <c r="E11" s="57">
        <v>3</v>
      </c>
      <c r="F11" s="57">
        <v>16</v>
      </c>
      <c r="G11" s="57">
        <v>0</v>
      </c>
      <c r="H11" s="57">
        <v>0</v>
      </c>
      <c r="I11" s="58">
        <v>22</v>
      </c>
      <c r="J11" s="58">
        <v>140</v>
      </c>
      <c r="K11" s="25">
        <f t="shared" si="0"/>
        <v>204</v>
      </c>
    </row>
    <row r="12" ht="20" customHeight="1" spans="1:11">
      <c r="A12" s="51">
        <v>45939</v>
      </c>
      <c r="B12" s="54">
        <v>19</v>
      </c>
      <c r="C12" s="54">
        <v>4</v>
      </c>
      <c r="D12" s="54">
        <v>14</v>
      </c>
      <c r="E12" s="54">
        <v>11</v>
      </c>
      <c r="F12" s="54">
        <v>10</v>
      </c>
      <c r="G12" s="54">
        <v>8</v>
      </c>
      <c r="H12" s="54">
        <v>0</v>
      </c>
      <c r="I12" s="54">
        <v>34</v>
      </c>
      <c r="J12" s="54">
        <v>105</v>
      </c>
      <c r="K12" s="25">
        <f t="shared" si="0"/>
        <v>186</v>
      </c>
    </row>
    <row r="13" ht="20" customHeight="1" spans="1:11">
      <c r="A13" s="51">
        <v>45940</v>
      </c>
      <c r="B13" s="55">
        <v>19</v>
      </c>
      <c r="C13" s="55">
        <v>3</v>
      </c>
      <c r="D13" s="56">
        <v>30</v>
      </c>
      <c r="E13" s="56">
        <v>31</v>
      </c>
      <c r="F13" s="56">
        <v>20</v>
      </c>
      <c r="G13" s="56">
        <v>2</v>
      </c>
      <c r="H13" s="56">
        <v>0</v>
      </c>
      <c r="I13" s="70">
        <v>46</v>
      </c>
      <c r="J13" s="70">
        <v>136</v>
      </c>
      <c r="K13" s="25">
        <f t="shared" si="0"/>
        <v>268</v>
      </c>
    </row>
    <row r="14" ht="20" customHeight="1" spans="1:11">
      <c r="A14" s="51">
        <v>45941</v>
      </c>
      <c r="B14" s="54">
        <v>19</v>
      </c>
      <c r="C14" s="54">
        <v>29</v>
      </c>
      <c r="D14" s="57">
        <v>24</v>
      </c>
      <c r="E14" s="57">
        <v>32</v>
      </c>
      <c r="F14" s="57">
        <v>20</v>
      </c>
      <c r="G14" s="57">
        <v>15</v>
      </c>
      <c r="H14" s="57">
        <v>9</v>
      </c>
      <c r="I14" s="58">
        <v>50</v>
      </c>
      <c r="J14" s="58">
        <v>49</v>
      </c>
      <c r="K14" s="25">
        <f t="shared" si="0"/>
        <v>228</v>
      </c>
    </row>
    <row r="15" ht="20" customHeight="1" spans="1:11">
      <c r="A15" s="48">
        <v>45942</v>
      </c>
      <c r="B15" s="49"/>
      <c r="C15" s="49"/>
      <c r="D15" s="50"/>
      <c r="E15" s="50"/>
      <c r="F15" s="50"/>
      <c r="G15" s="50"/>
      <c r="H15" s="50"/>
      <c r="I15" s="68"/>
      <c r="J15" s="68"/>
      <c r="K15" s="25">
        <f t="shared" si="0"/>
        <v>0</v>
      </c>
    </row>
    <row r="16" s="35" customFormat="1" ht="20" customHeight="1" spans="1:11">
      <c r="A16" s="51">
        <v>45943</v>
      </c>
      <c r="B16" s="54">
        <v>19</v>
      </c>
      <c r="C16" s="54">
        <v>4</v>
      </c>
      <c r="D16" s="57">
        <v>41</v>
      </c>
      <c r="E16" s="57">
        <v>24</v>
      </c>
      <c r="F16" s="57">
        <v>52</v>
      </c>
      <c r="G16" s="57">
        <v>2</v>
      </c>
      <c r="H16" s="57">
        <v>0</v>
      </c>
      <c r="I16" s="57">
        <v>36</v>
      </c>
      <c r="J16" s="57">
        <v>155</v>
      </c>
      <c r="K16" s="25">
        <f t="shared" si="0"/>
        <v>314</v>
      </c>
    </row>
    <row r="17" ht="20" customHeight="1" spans="1:11">
      <c r="A17" s="51">
        <v>45944</v>
      </c>
      <c r="B17" s="55">
        <v>17</v>
      </c>
      <c r="C17" s="55">
        <v>10</v>
      </c>
      <c r="D17" s="56">
        <v>44</v>
      </c>
      <c r="E17" s="56">
        <v>54</v>
      </c>
      <c r="F17" s="56">
        <v>36</v>
      </c>
      <c r="G17" s="56">
        <v>5</v>
      </c>
      <c r="H17" s="56">
        <v>0</v>
      </c>
      <c r="I17" s="57">
        <v>23</v>
      </c>
      <c r="J17" s="57">
        <v>113</v>
      </c>
      <c r="K17" s="25">
        <f t="shared" si="0"/>
        <v>285</v>
      </c>
    </row>
    <row r="18" ht="20" customHeight="1" spans="1:11">
      <c r="A18" s="51">
        <v>45945</v>
      </c>
      <c r="B18" s="54">
        <v>17</v>
      </c>
      <c r="C18" s="54">
        <v>6</v>
      </c>
      <c r="D18" s="54">
        <v>42</v>
      </c>
      <c r="E18" s="54">
        <v>24</v>
      </c>
      <c r="F18" s="54">
        <v>30</v>
      </c>
      <c r="G18" s="54">
        <v>2</v>
      </c>
      <c r="H18" s="54">
        <v>0</v>
      </c>
      <c r="I18" s="54">
        <v>19</v>
      </c>
      <c r="J18" s="54">
        <v>150</v>
      </c>
      <c r="K18" s="25">
        <f t="shared" si="0"/>
        <v>273</v>
      </c>
    </row>
    <row r="19" ht="20" customHeight="1" spans="1:11">
      <c r="A19" s="51">
        <v>45946</v>
      </c>
      <c r="B19" s="54">
        <v>17</v>
      </c>
      <c r="C19" s="54">
        <v>7</v>
      </c>
      <c r="D19" s="54">
        <v>34</v>
      </c>
      <c r="E19" s="54">
        <v>21</v>
      </c>
      <c r="F19" s="54">
        <v>24</v>
      </c>
      <c r="G19" s="54">
        <v>2</v>
      </c>
      <c r="H19" s="54">
        <v>0</v>
      </c>
      <c r="I19" s="54">
        <v>34</v>
      </c>
      <c r="J19" s="54">
        <v>123</v>
      </c>
      <c r="K19" s="25">
        <f t="shared" si="0"/>
        <v>245</v>
      </c>
    </row>
    <row r="20" ht="20" customHeight="1" spans="1:11">
      <c r="A20" s="51">
        <v>45947</v>
      </c>
      <c r="B20" s="54">
        <v>17</v>
      </c>
      <c r="C20" s="54">
        <v>12</v>
      </c>
      <c r="D20" s="57">
        <v>22</v>
      </c>
      <c r="E20" s="57">
        <v>35</v>
      </c>
      <c r="F20" s="57">
        <v>30</v>
      </c>
      <c r="G20" s="57">
        <v>12</v>
      </c>
      <c r="H20" s="186" t="s">
        <v>27</v>
      </c>
      <c r="I20" s="58">
        <v>32</v>
      </c>
      <c r="J20" s="58">
        <v>88</v>
      </c>
      <c r="K20" s="25">
        <f t="shared" si="0"/>
        <v>231</v>
      </c>
    </row>
    <row r="21" ht="20" customHeight="1" spans="1:11">
      <c r="A21" s="51">
        <v>45948</v>
      </c>
      <c r="B21" s="54">
        <v>16</v>
      </c>
      <c r="C21" s="54">
        <v>2</v>
      </c>
      <c r="D21" s="54">
        <v>41</v>
      </c>
      <c r="E21" s="54">
        <v>15</v>
      </c>
      <c r="F21" s="54">
        <v>22</v>
      </c>
      <c r="G21" s="54">
        <v>1</v>
      </c>
      <c r="H21" s="54">
        <v>0</v>
      </c>
      <c r="I21" s="54">
        <v>35</v>
      </c>
      <c r="J21" s="54">
        <v>132</v>
      </c>
      <c r="K21" s="25">
        <f t="shared" si="0"/>
        <v>248</v>
      </c>
    </row>
    <row r="22" ht="20" customHeight="1" spans="1:11">
      <c r="A22" s="48">
        <v>45949</v>
      </c>
      <c r="B22" s="75">
        <v>10</v>
      </c>
      <c r="C22" s="75">
        <v>9</v>
      </c>
      <c r="D22" s="75">
        <v>18</v>
      </c>
      <c r="E22" s="75">
        <v>20</v>
      </c>
      <c r="F22" s="75">
        <v>16</v>
      </c>
      <c r="G22" s="75">
        <v>5</v>
      </c>
      <c r="H22" s="75">
        <v>0</v>
      </c>
      <c r="I22" s="75">
        <v>16</v>
      </c>
      <c r="J22" s="75">
        <v>80</v>
      </c>
      <c r="K22" s="25">
        <f t="shared" si="0"/>
        <v>164</v>
      </c>
    </row>
    <row r="23" s="35" customFormat="1" ht="20" customHeight="1" spans="1:11">
      <c r="A23" s="81">
        <v>45950</v>
      </c>
      <c r="B23" s="82" t="s">
        <v>28</v>
      </c>
      <c r="C23" s="82"/>
      <c r="D23" s="82"/>
      <c r="E23" s="82"/>
      <c r="F23" s="82"/>
      <c r="G23" s="82"/>
      <c r="H23" s="82"/>
      <c r="I23" s="82"/>
      <c r="J23" s="82"/>
      <c r="K23" s="25">
        <f t="shared" si="0"/>
        <v>0</v>
      </c>
    </row>
    <row r="24" ht="20" customHeight="1" spans="1:11">
      <c r="A24" s="81">
        <v>45951</v>
      </c>
      <c r="B24" s="82"/>
      <c r="C24" s="82"/>
      <c r="D24" s="82"/>
      <c r="E24" s="82"/>
      <c r="F24" s="82"/>
      <c r="G24" s="82"/>
      <c r="H24" s="82"/>
      <c r="I24" s="82"/>
      <c r="J24" s="82"/>
      <c r="K24" s="25">
        <f t="shared" si="0"/>
        <v>0</v>
      </c>
    </row>
    <row r="25" ht="20" customHeight="1" spans="1:11">
      <c r="A25" s="81">
        <v>45952</v>
      </c>
      <c r="B25" s="82"/>
      <c r="C25" s="82"/>
      <c r="D25" s="82"/>
      <c r="E25" s="82"/>
      <c r="F25" s="82"/>
      <c r="G25" s="82"/>
      <c r="H25" s="82"/>
      <c r="I25" s="82"/>
      <c r="J25" s="82"/>
      <c r="K25" s="25">
        <f t="shared" si="0"/>
        <v>0</v>
      </c>
    </row>
    <row r="26" ht="20" customHeight="1" spans="1:11">
      <c r="A26" s="81">
        <v>45953</v>
      </c>
      <c r="B26" s="82"/>
      <c r="C26" s="82"/>
      <c r="D26" s="82"/>
      <c r="E26" s="82"/>
      <c r="F26" s="82"/>
      <c r="G26" s="82"/>
      <c r="H26" s="82"/>
      <c r="I26" s="82"/>
      <c r="J26" s="82"/>
      <c r="K26" s="25">
        <f t="shared" si="0"/>
        <v>0</v>
      </c>
    </row>
    <row r="27" ht="20" customHeight="1" spans="1:11">
      <c r="A27" s="51">
        <v>45954</v>
      </c>
      <c r="B27" s="54">
        <v>16</v>
      </c>
      <c r="C27" s="54">
        <v>24</v>
      </c>
      <c r="D27" s="57">
        <v>0</v>
      </c>
      <c r="E27" s="57">
        <v>13</v>
      </c>
      <c r="F27" s="57">
        <v>18</v>
      </c>
      <c r="G27" s="57">
        <v>0</v>
      </c>
      <c r="H27" s="57">
        <v>0</v>
      </c>
      <c r="I27" s="57">
        <v>19</v>
      </c>
      <c r="J27" s="57">
        <v>35</v>
      </c>
      <c r="K27" s="25">
        <f t="shared" si="0"/>
        <v>109</v>
      </c>
    </row>
    <row r="28" ht="20" customHeight="1" spans="1:11">
      <c r="A28" s="51">
        <v>45955</v>
      </c>
      <c r="B28" s="55">
        <v>18</v>
      </c>
      <c r="C28" s="55">
        <v>50</v>
      </c>
      <c r="D28" s="55">
        <v>34</v>
      </c>
      <c r="E28" s="55">
        <v>38</v>
      </c>
      <c r="F28" s="55">
        <v>23</v>
      </c>
      <c r="G28" s="55">
        <v>36</v>
      </c>
      <c r="H28" s="55">
        <v>10</v>
      </c>
      <c r="I28" s="54"/>
      <c r="J28" s="54">
        <v>196</v>
      </c>
      <c r="K28" s="25">
        <f t="shared" si="0"/>
        <v>387</v>
      </c>
    </row>
    <row r="29" ht="20" customHeight="1" spans="1:11">
      <c r="A29" s="48">
        <v>45956</v>
      </c>
      <c r="B29" s="76"/>
      <c r="C29" s="76"/>
      <c r="D29" s="76"/>
      <c r="E29" s="76"/>
      <c r="F29" s="76"/>
      <c r="G29" s="76"/>
      <c r="H29" s="76"/>
      <c r="I29" s="49"/>
      <c r="J29" s="49"/>
      <c r="K29" s="25">
        <f t="shared" si="0"/>
        <v>0</v>
      </c>
    </row>
    <row r="30" s="35" customFormat="1" ht="20" customHeight="1" spans="1:11">
      <c r="A30" s="51">
        <v>45957</v>
      </c>
      <c r="B30" s="54">
        <v>16</v>
      </c>
      <c r="C30" s="54">
        <v>3</v>
      </c>
      <c r="D30" s="54">
        <v>33</v>
      </c>
      <c r="E30" s="54">
        <v>10</v>
      </c>
      <c r="F30" s="54">
        <v>14</v>
      </c>
      <c r="G30" s="54">
        <v>8</v>
      </c>
      <c r="H30" s="54">
        <v>2</v>
      </c>
      <c r="I30" s="54">
        <v>22</v>
      </c>
      <c r="J30" s="54">
        <v>85</v>
      </c>
      <c r="K30" s="25">
        <f t="shared" si="0"/>
        <v>177</v>
      </c>
    </row>
    <row r="31" ht="20" customHeight="1" spans="1:11">
      <c r="A31" s="51">
        <v>45958</v>
      </c>
      <c r="B31" s="78">
        <v>18</v>
      </c>
      <c r="C31" s="55">
        <v>20</v>
      </c>
      <c r="D31" s="55">
        <v>43</v>
      </c>
      <c r="E31" s="55">
        <v>3</v>
      </c>
      <c r="F31" s="55">
        <v>30</v>
      </c>
      <c r="G31" s="55">
        <v>4</v>
      </c>
      <c r="H31" s="55">
        <v>0</v>
      </c>
      <c r="I31" s="55">
        <v>19</v>
      </c>
      <c r="J31" s="55">
        <v>66</v>
      </c>
      <c r="K31" s="25">
        <f t="shared" si="0"/>
        <v>185</v>
      </c>
    </row>
    <row r="32" ht="20" customHeight="1" spans="1:11">
      <c r="A32" s="51">
        <v>45959</v>
      </c>
      <c r="B32" s="78">
        <v>19</v>
      </c>
      <c r="C32" s="55">
        <v>9</v>
      </c>
      <c r="D32" s="55">
        <v>43</v>
      </c>
      <c r="E32" s="55">
        <v>1</v>
      </c>
      <c r="F32" s="55">
        <v>24</v>
      </c>
      <c r="G32" s="55">
        <v>5</v>
      </c>
      <c r="H32" s="55">
        <v>0</v>
      </c>
      <c r="I32" s="55">
        <v>18</v>
      </c>
      <c r="J32" s="55">
        <v>74</v>
      </c>
      <c r="K32" s="25">
        <f t="shared" si="0"/>
        <v>174</v>
      </c>
    </row>
    <row r="33" ht="20" customHeight="1" spans="1:11">
      <c r="A33" s="51">
        <v>45960</v>
      </c>
      <c r="B33" s="78">
        <v>19</v>
      </c>
      <c r="C33" s="55">
        <v>6</v>
      </c>
      <c r="D33" s="55">
        <v>11</v>
      </c>
      <c r="E33" s="55">
        <v>6</v>
      </c>
      <c r="F33" s="55">
        <v>16</v>
      </c>
      <c r="G33" s="55">
        <v>5</v>
      </c>
      <c r="H33" s="55">
        <v>0</v>
      </c>
      <c r="I33" s="55">
        <v>22</v>
      </c>
      <c r="J33" s="55">
        <v>68</v>
      </c>
      <c r="K33" s="25">
        <f t="shared" si="0"/>
        <v>134</v>
      </c>
    </row>
    <row r="34" ht="20" customHeight="1" spans="1:11">
      <c r="A34" s="51">
        <v>45961</v>
      </c>
      <c r="B34" s="78">
        <v>19</v>
      </c>
      <c r="C34" s="55">
        <v>7</v>
      </c>
      <c r="D34" s="55">
        <v>16</v>
      </c>
      <c r="E34" s="55">
        <v>2</v>
      </c>
      <c r="F34" s="55">
        <v>14</v>
      </c>
      <c r="G34" s="55">
        <v>4</v>
      </c>
      <c r="H34" s="55"/>
      <c r="I34" s="55">
        <v>11</v>
      </c>
      <c r="J34" s="55">
        <v>66</v>
      </c>
      <c r="K34" s="25">
        <f t="shared" si="0"/>
        <v>120</v>
      </c>
    </row>
    <row r="35" ht="25.35" customHeight="1" spans="1:11">
      <c r="A35" s="63" t="s">
        <v>13</v>
      </c>
      <c r="B35" s="64">
        <f>SUM(B4:B34)</f>
        <v>409</v>
      </c>
      <c r="C35" s="64">
        <f t="shared" ref="C35:K35" si="1">SUM(C4:C34)</f>
        <v>245</v>
      </c>
      <c r="D35" s="64">
        <f t="shared" si="1"/>
        <v>679</v>
      </c>
      <c r="E35" s="64">
        <f t="shared" si="1"/>
        <v>397</v>
      </c>
      <c r="F35" s="64">
        <f t="shared" si="1"/>
        <v>577</v>
      </c>
      <c r="G35" s="64">
        <f t="shared" si="1"/>
        <v>132</v>
      </c>
      <c r="H35" s="64">
        <f t="shared" si="1"/>
        <v>21</v>
      </c>
      <c r="I35" s="64">
        <f t="shared" si="1"/>
        <v>650</v>
      </c>
      <c r="J35" s="64">
        <f t="shared" si="1"/>
        <v>2415</v>
      </c>
      <c r="K35" s="64">
        <f t="shared" si="1"/>
        <v>5116</v>
      </c>
    </row>
    <row r="36" ht="25.35" customHeight="1"/>
    <row r="37" ht="25.35" customHeight="1"/>
    <row r="38" ht="25.35" customHeight="1"/>
    <row r="39" ht="25.35" customHeight="1"/>
    <row r="40" ht="25.35" customHeight="1"/>
    <row r="41" ht="25.35" customHeight="1"/>
    <row r="42" ht="25.35" customHeight="1"/>
    <row r="43" ht="25.35" customHeight="1"/>
    <row r="44" ht="25.35" customHeight="1"/>
    <row r="45" ht="25.35" customHeight="1"/>
    <row r="46" ht="28.7" customHeight="1"/>
  </sheetData>
  <mergeCells count="5">
    <mergeCell ref="A1:K1"/>
    <mergeCell ref="A2:C2"/>
    <mergeCell ref="H2:K2"/>
    <mergeCell ref="B5:J5"/>
    <mergeCell ref="B23:J26"/>
  </mergeCells>
  <pageMargins left="0.196527777777778" right="0.196527777777778" top="0.677083333333333" bottom="0.393055555555556" header="0.196527777777778" footer="0.196527777777778"/>
  <pageSetup paperSize="9" scale="36" fitToHeight="0" orientation="portrait" horizontalDpi="600"/>
  <headerFooter alignWithMargins="0">
    <oddHeader>&amp;L&amp;G&amp;C&amp;14&amp;BDISPOSAFE HEALTH AND LIFE CARE LIMITED, &amp;10
PLOT NO 37A SECTOR-6, FARIDABAD 121006, HARYANA, INDIA&amp;RRF-DPR:7.5/05:01:00
Date: 02.12.2024
  Page &amp;P of &amp;N</oddHeader>
    <oddFooter>&amp;L&amp;BPRODUCTION SUPERVISOR&amp;R&amp;B
PRODUCTION MANAGER</oddFooter>
  </headerFooter>
  <drawing r:id="rId1"/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5"/>
  <sheetViews>
    <sheetView zoomScalePageLayoutView="115" workbookViewId="0">
      <pane xSplit="1" ySplit="3" topLeftCell="B4" activePane="bottomRight" state="frozen"/>
      <selection/>
      <selection pane="topRight"/>
      <selection pane="bottomLeft"/>
      <selection pane="bottomRight" activeCell="K35" sqref="K35"/>
    </sheetView>
  </sheetViews>
  <sheetFormatPr defaultColWidth="9" defaultRowHeight="15"/>
  <cols>
    <col min="1" max="1" width="10.2857142857143" style="36" customWidth="1"/>
    <col min="2" max="2" width="11.8095238095238" style="36" customWidth="1"/>
    <col min="3" max="3" width="10.9809523809524" style="36" customWidth="1"/>
    <col min="4" max="4" width="10" style="36" customWidth="1"/>
    <col min="5" max="5" width="10.2857142857143" style="36" customWidth="1"/>
    <col min="6" max="6" width="9.84761904761905" style="37" customWidth="1"/>
    <col min="7" max="7" width="6.96190476190476" style="37" customWidth="1"/>
    <col min="8" max="9" width="7.66666666666667" style="37" customWidth="1"/>
    <col min="10" max="10" width="10.2857142857143" style="37" customWidth="1"/>
    <col min="11" max="11" width="11.5714285714286" style="37" customWidth="1"/>
    <col min="12" max="16384" width="9.14285714285714" style="36"/>
  </cols>
  <sheetData>
    <row r="1" s="34" customFormat="1" ht="30" customHeight="1" spans="1:19">
      <c r="A1" s="38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O1" s="65"/>
      <c r="P1" s="65"/>
      <c r="Q1" s="65"/>
      <c r="R1" s="65"/>
      <c r="S1" s="65"/>
    </row>
    <row r="2" ht="17.25" customHeight="1" spans="1:11">
      <c r="A2" s="39" t="s">
        <v>29</v>
      </c>
      <c r="B2" s="39"/>
      <c r="C2" s="39"/>
      <c r="D2" s="13"/>
      <c r="E2" s="13"/>
      <c r="F2" s="14"/>
      <c r="G2" s="14"/>
      <c r="H2" s="15"/>
      <c r="I2" s="15"/>
      <c r="J2" s="15"/>
      <c r="K2" s="15"/>
    </row>
    <row r="3" ht="39" customHeight="1" spans="1:11">
      <c r="A3" s="40" t="s">
        <v>2</v>
      </c>
      <c r="B3" s="41" t="s">
        <v>3</v>
      </c>
      <c r="C3" s="42" t="s">
        <v>4</v>
      </c>
      <c r="D3" s="41" t="s">
        <v>5</v>
      </c>
      <c r="E3" s="43" t="s">
        <v>6</v>
      </c>
      <c r="F3" s="44" t="s">
        <v>7</v>
      </c>
      <c r="G3" s="44" t="s">
        <v>8</v>
      </c>
      <c r="H3" s="44" t="s">
        <v>9</v>
      </c>
      <c r="I3" s="43" t="s">
        <v>21</v>
      </c>
      <c r="J3" s="43" t="s">
        <v>11</v>
      </c>
      <c r="K3" s="44" t="s">
        <v>12</v>
      </c>
    </row>
    <row r="4" ht="20" customHeight="1" spans="1:11">
      <c r="A4" s="45">
        <v>45962</v>
      </c>
      <c r="B4" s="46">
        <v>19</v>
      </c>
      <c r="C4" s="46">
        <v>8</v>
      </c>
      <c r="D4" s="47">
        <v>21</v>
      </c>
      <c r="E4" s="47">
        <v>13</v>
      </c>
      <c r="F4" s="47">
        <v>10</v>
      </c>
      <c r="G4" s="47">
        <v>6</v>
      </c>
      <c r="H4" s="47">
        <v>0</v>
      </c>
      <c r="I4" s="67">
        <v>31</v>
      </c>
      <c r="J4" s="67">
        <v>66</v>
      </c>
      <c r="K4" s="25">
        <f>SUM(C4:J4)</f>
        <v>155</v>
      </c>
    </row>
    <row r="5" ht="20" customHeight="1" spans="1:11">
      <c r="A5" s="48">
        <v>45963</v>
      </c>
      <c r="B5" s="73"/>
      <c r="C5" s="73"/>
      <c r="D5" s="74"/>
      <c r="E5" s="74"/>
      <c r="F5" s="74"/>
      <c r="G5" s="74"/>
      <c r="H5" s="74"/>
      <c r="I5" s="77"/>
      <c r="J5" s="68"/>
      <c r="K5" s="25">
        <f t="shared" ref="K5:K33" si="0">SUM(C5:J5)</f>
        <v>0</v>
      </c>
    </row>
    <row r="6" s="35" customFormat="1" ht="20" customHeight="1" spans="1:11">
      <c r="A6" s="51">
        <v>45964</v>
      </c>
      <c r="B6" s="54">
        <v>19</v>
      </c>
      <c r="C6" s="54">
        <v>11</v>
      </c>
      <c r="D6" s="54">
        <v>20</v>
      </c>
      <c r="E6" s="54">
        <v>0</v>
      </c>
      <c r="F6" s="54">
        <v>22</v>
      </c>
      <c r="G6" s="54">
        <v>6</v>
      </c>
      <c r="H6" s="54">
        <v>0</v>
      </c>
      <c r="I6" s="54">
        <v>32</v>
      </c>
      <c r="J6" s="54">
        <v>70</v>
      </c>
      <c r="K6" s="25">
        <f t="shared" si="0"/>
        <v>161</v>
      </c>
    </row>
    <row r="7" ht="20" customHeight="1" spans="1:11">
      <c r="A7" s="51">
        <v>45965</v>
      </c>
      <c r="B7" s="55">
        <v>19</v>
      </c>
      <c r="C7" s="55">
        <v>13</v>
      </c>
      <c r="D7" s="56">
        <v>20</v>
      </c>
      <c r="E7" s="56">
        <v>3</v>
      </c>
      <c r="F7" s="56">
        <v>16</v>
      </c>
      <c r="G7" s="56">
        <v>2</v>
      </c>
      <c r="H7" s="56">
        <v>0</v>
      </c>
      <c r="I7" s="70">
        <v>18</v>
      </c>
      <c r="J7" s="70">
        <v>58</v>
      </c>
      <c r="K7" s="25">
        <f t="shared" si="0"/>
        <v>130</v>
      </c>
    </row>
    <row r="8" ht="20" customHeight="1" spans="1:11">
      <c r="A8" s="51">
        <v>45966</v>
      </c>
      <c r="B8" s="54">
        <v>19</v>
      </c>
      <c r="C8" s="54">
        <v>10</v>
      </c>
      <c r="D8" s="57">
        <v>14</v>
      </c>
      <c r="E8" s="57">
        <v>2</v>
      </c>
      <c r="F8" s="57">
        <v>14</v>
      </c>
      <c r="G8" s="57">
        <v>6</v>
      </c>
      <c r="H8" s="57">
        <v>0</v>
      </c>
      <c r="I8" s="58">
        <v>27</v>
      </c>
      <c r="J8" s="58">
        <v>68</v>
      </c>
      <c r="K8" s="25">
        <f t="shared" si="0"/>
        <v>141</v>
      </c>
    </row>
    <row r="9" ht="20" customHeight="1" spans="1:11">
      <c r="A9" s="51">
        <v>45967</v>
      </c>
      <c r="B9" s="54">
        <v>19</v>
      </c>
      <c r="C9" s="54">
        <v>9</v>
      </c>
      <c r="D9" s="54">
        <v>16</v>
      </c>
      <c r="E9" s="54">
        <v>0</v>
      </c>
      <c r="F9" s="54">
        <v>32</v>
      </c>
      <c r="G9" s="54">
        <v>2</v>
      </c>
      <c r="H9" s="54">
        <v>0</v>
      </c>
      <c r="I9" s="54">
        <v>44</v>
      </c>
      <c r="J9" s="54">
        <v>66</v>
      </c>
      <c r="K9" s="25">
        <f t="shared" si="0"/>
        <v>169</v>
      </c>
    </row>
    <row r="10" ht="20" customHeight="1" spans="1:11">
      <c r="A10" s="51">
        <v>45968</v>
      </c>
      <c r="B10" s="55">
        <v>19</v>
      </c>
      <c r="C10" s="55">
        <v>11</v>
      </c>
      <c r="D10" s="56">
        <v>17</v>
      </c>
      <c r="E10" s="56">
        <v>7</v>
      </c>
      <c r="F10" s="56">
        <v>24</v>
      </c>
      <c r="G10" s="56">
        <v>2</v>
      </c>
      <c r="H10" s="56">
        <v>0</v>
      </c>
      <c r="I10" s="70">
        <v>28</v>
      </c>
      <c r="J10" s="70">
        <v>60</v>
      </c>
      <c r="K10" s="25">
        <f t="shared" si="0"/>
        <v>149</v>
      </c>
    </row>
    <row r="11" ht="20" customHeight="1" spans="1:11">
      <c r="A11" s="51">
        <v>45969</v>
      </c>
      <c r="B11" s="54">
        <v>19</v>
      </c>
      <c r="C11" s="54">
        <v>18</v>
      </c>
      <c r="D11" s="57">
        <v>18</v>
      </c>
      <c r="E11" s="57">
        <v>3</v>
      </c>
      <c r="F11" s="57">
        <v>25</v>
      </c>
      <c r="G11" s="57">
        <v>3</v>
      </c>
      <c r="H11" s="57">
        <v>0</v>
      </c>
      <c r="I11" s="58">
        <v>38</v>
      </c>
      <c r="J11" s="58">
        <v>55</v>
      </c>
      <c r="K11" s="25">
        <f t="shared" si="0"/>
        <v>160</v>
      </c>
    </row>
    <row r="12" ht="20" customHeight="1" spans="1:11">
      <c r="A12" s="48">
        <v>45970</v>
      </c>
      <c r="B12" s="49"/>
      <c r="C12" s="49"/>
      <c r="D12" s="50"/>
      <c r="E12" s="50"/>
      <c r="F12" s="50"/>
      <c r="G12" s="50"/>
      <c r="H12" s="50"/>
      <c r="I12" s="68"/>
      <c r="J12" s="68"/>
      <c r="K12" s="25">
        <f t="shared" si="0"/>
        <v>0</v>
      </c>
    </row>
    <row r="13" s="35" customFormat="1" ht="20" customHeight="1" spans="1:11">
      <c r="A13" s="51">
        <v>45971</v>
      </c>
      <c r="B13" s="54">
        <v>19</v>
      </c>
      <c r="C13" s="54">
        <v>47</v>
      </c>
      <c r="D13" s="57">
        <v>42</v>
      </c>
      <c r="E13" s="57">
        <v>2</v>
      </c>
      <c r="F13" s="57">
        <v>12</v>
      </c>
      <c r="G13" s="57">
        <v>4</v>
      </c>
      <c r="H13" s="57">
        <v>0</v>
      </c>
      <c r="I13" s="57">
        <v>39</v>
      </c>
      <c r="J13" s="57">
        <v>109</v>
      </c>
      <c r="K13" s="25">
        <f t="shared" si="0"/>
        <v>255</v>
      </c>
    </row>
    <row r="14" ht="20" customHeight="1" spans="1:11">
      <c r="A14" s="51">
        <v>45972</v>
      </c>
      <c r="B14" s="55">
        <v>19</v>
      </c>
      <c r="C14" s="55">
        <v>32</v>
      </c>
      <c r="D14" s="56">
        <v>24</v>
      </c>
      <c r="E14" s="56">
        <v>11</v>
      </c>
      <c r="F14" s="56">
        <v>50</v>
      </c>
      <c r="G14" s="56">
        <v>9</v>
      </c>
      <c r="H14" s="56">
        <v>0</v>
      </c>
      <c r="I14" s="57">
        <v>42</v>
      </c>
      <c r="J14" s="57">
        <v>57</v>
      </c>
      <c r="K14" s="25">
        <f t="shared" si="0"/>
        <v>225</v>
      </c>
    </row>
    <row r="15" ht="20" customHeight="1" spans="1:11">
      <c r="A15" s="51">
        <v>45973</v>
      </c>
      <c r="B15" s="54">
        <v>19</v>
      </c>
      <c r="C15" s="54">
        <v>28</v>
      </c>
      <c r="D15" s="54">
        <v>51</v>
      </c>
      <c r="E15" s="54">
        <v>12</v>
      </c>
      <c r="F15" s="54">
        <v>37</v>
      </c>
      <c r="G15" s="54">
        <v>11</v>
      </c>
      <c r="H15" s="54">
        <v>0</v>
      </c>
      <c r="I15" s="54">
        <v>42</v>
      </c>
      <c r="J15" s="54">
        <v>105</v>
      </c>
      <c r="K15" s="25">
        <f t="shared" si="0"/>
        <v>286</v>
      </c>
    </row>
    <row r="16" ht="20" customHeight="1" spans="1:11">
      <c r="A16" s="51">
        <v>45974</v>
      </c>
      <c r="B16" s="54">
        <v>19</v>
      </c>
      <c r="C16" s="54">
        <v>23</v>
      </c>
      <c r="D16" s="54">
        <v>56</v>
      </c>
      <c r="E16" s="54">
        <v>3</v>
      </c>
      <c r="F16" s="54">
        <v>38</v>
      </c>
      <c r="G16" s="54">
        <v>11</v>
      </c>
      <c r="H16" s="54">
        <v>0</v>
      </c>
      <c r="I16" s="54">
        <v>38</v>
      </c>
      <c r="J16" s="54">
        <v>127</v>
      </c>
      <c r="K16" s="25">
        <f t="shared" si="0"/>
        <v>296</v>
      </c>
    </row>
    <row r="17" ht="20" customHeight="1" spans="1:11">
      <c r="A17" s="51">
        <v>45975</v>
      </c>
      <c r="B17" s="54">
        <v>19</v>
      </c>
      <c r="C17" s="54">
        <v>19</v>
      </c>
      <c r="D17" s="57">
        <v>50</v>
      </c>
      <c r="E17" s="57">
        <v>7</v>
      </c>
      <c r="F17" s="57">
        <v>18</v>
      </c>
      <c r="G17" s="57">
        <v>4</v>
      </c>
      <c r="H17" s="57">
        <v>0</v>
      </c>
      <c r="I17" s="58">
        <v>22</v>
      </c>
      <c r="J17" s="58">
        <v>68</v>
      </c>
      <c r="K17" s="25">
        <f t="shared" si="0"/>
        <v>188</v>
      </c>
    </row>
    <row r="18" ht="20" customHeight="1" spans="1:11">
      <c r="A18" s="51">
        <v>45976</v>
      </c>
      <c r="B18" s="54">
        <v>19</v>
      </c>
      <c r="C18" s="54">
        <v>11</v>
      </c>
      <c r="D18" s="54">
        <v>49</v>
      </c>
      <c r="E18" s="54">
        <v>44</v>
      </c>
      <c r="F18" s="54">
        <v>16</v>
      </c>
      <c r="G18" s="54">
        <v>3</v>
      </c>
      <c r="H18" s="54">
        <v>0</v>
      </c>
      <c r="I18" s="54">
        <v>31</v>
      </c>
      <c r="J18" s="54">
        <v>76</v>
      </c>
      <c r="K18" s="25">
        <f t="shared" si="0"/>
        <v>230</v>
      </c>
    </row>
    <row r="19" ht="20" customHeight="1" spans="1:11">
      <c r="A19" s="48">
        <v>45977</v>
      </c>
      <c r="B19" s="75"/>
      <c r="C19" s="75"/>
      <c r="D19" s="75"/>
      <c r="E19" s="75"/>
      <c r="F19" s="75"/>
      <c r="G19" s="75"/>
      <c r="H19" s="75"/>
      <c r="I19" s="75"/>
      <c r="J19" s="75"/>
      <c r="K19" s="25">
        <f t="shared" si="0"/>
        <v>0</v>
      </c>
    </row>
    <row r="20" s="35" customFormat="1" ht="20" customHeight="1" spans="1:11">
      <c r="A20" s="51">
        <v>45978</v>
      </c>
      <c r="B20" s="54">
        <v>17</v>
      </c>
      <c r="C20" s="54">
        <v>12</v>
      </c>
      <c r="D20" s="54">
        <v>26</v>
      </c>
      <c r="E20" s="54">
        <v>3</v>
      </c>
      <c r="F20" s="54">
        <v>34</v>
      </c>
      <c r="G20" s="54">
        <v>0</v>
      </c>
      <c r="H20" s="54">
        <v>0</v>
      </c>
      <c r="I20" s="54">
        <v>47</v>
      </c>
      <c r="J20" s="54">
        <v>47</v>
      </c>
      <c r="K20" s="25">
        <f t="shared" si="0"/>
        <v>169</v>
      </c>
    </row>
    <row r="21" ht="20" customHeight="1" spans="1:11">
      <c r="A21" s="51">
        <v>45979</v>
      </c>
      <c r="B21" s="54">
        <v>19</v>
      </c>
      <c r="C21" s="54">
        <v>13</v>
      </c>
      <c r="D21" s="54">
        <v>45</v>
      </c>
      <c r="E21" s="54">
        <v>0</v>
      </c>
      <c r="F21" s="54">
        <v>18</v>
      </c>
      <c r="G21" s="54">
        <v>2</v>
      </c>
      <c r="H21" s="54">
        <v>0</v>
      </c>
      <c r="I21" s="54">
        <v>32</v>
      </c>
      <c r="J21" s="54">
        <v>79</v>
      </c>
      <c r="K21" s="25">
        <f t="shared" si="0"/>
        <v>189</v>
      </c>
    </row>
    <row r="22" ht="20" customHeight="1" spans="1:11">
      <c r="A22" s="51">
        <v>45980</v>
      </c>
      <c r="B22" s="54">
        <v>19</v>
      </c>
      <c r="C22" s="54">
        <v>11</v>
      </c>
      <c r="D22" s="54">
        <v>29</v>
      </c>
      <c r="E22" s="54">
        <v>2</v>
      </c>
      <c r="F22" s="54">
        <v>16</v>
      </c>
      <c r="G22" s="54">
        <v>4</v>
      </c>
      <c r="H22" s="54">
        <v>0</v>
      </c>
      <c r="I22" s="54">
        <v>25</v>
      </c>
      <c r="J22" s="54">
        <v>67</v>
      </c>
      <c r="K22" s="25">
        <f t="shared" si="0"/>
        <v>154</v>
      </c>
    </row>
    <row r="23" ht="20" customHeight="1" spans="1:11">
      <c r="A23" s="51">
        <v>45981</v>
      </c>
      <c r="B23" s="54">
        <v>19</v>
      </c>
      <c r="C23" s="54">
        <v>15</v>
      </c>
      <c r="D23" s="54">
        <v>36</v>
      </c>
      <c r="E23" s="54">
        <v>40</v>
      </c>
      <c r="F23" s="54">
        <v>22</v>
      </c>
      <c r="G23" s="54">
        <v>4</v>
      </c>
      <c r="H23" s="54">
        <v>1</v>
      </c>
      <c r="I23" s="54">
        <v>65</v>
      </c>
      <c r="J23" s="54">
        <v>64</v>
      </c>
      <c r="K23" s="25">
        <f t="shared" si="0"/>
        <v>247</v>
      </c>
    </row>
    <row r="24" ht="20" customHeight="1" spans="1:11">
      <c r="A24" s="51">
        <v>45982</v>
      </c>
      <c r="B24" s="54">
        <v>19</v>
      </c>
      <c r="C24" s="54">
        <v>18</v>
      </c>
      <c r="D24" s="54">
        <v>22</v>
      </c>
      <c r="E24" s="54">
        <v>0</v>
      </c>
      <c r="F24" s="54">
        <v>6</v>
      </c>
      <c r="G24" s="54">
        <v>2</v>
      </c>
      <c r="H24" s="54">
        <v>0</v>
      </c>
      <c r="I24" s="54">
        <v>51</v>
      </c>
      <c r="J24" s="54">
        <v>65</v>
      </c>
      <c r="K24" s="25">
        <f t="shared" si="0"/>
        <v>164</v>
      </c>
    </row>
    <row r="25" ht="20" customHeight="1" spans="1:11">
      <c r="A25" s="51">
        <v>45983</v>
      </c>
      <c r="B25" s="54">
        <v>19</v>
      </c>
      <c r="C25" s="54">
        <v>40</v>
      </c>
      <c r="D25" s="54">
        <v>21</v>
      </c>
      <c r="E25" s="54">
        <v>25</v>
      </c>
      <c r="F25" s="54">
        <v>10</v>
      </c>
      <c r="G25" s="54">
        <v>2</v>
      </c>
      <c r="H25" s="54">
        <v>0</v>
      </c>
      <c r="I25" s="54">
        <v>59</v>
      </c>
      <c r="J25" s="54">
        <v>78</v>
      </c>
      <c r="K25" s="25">
        <f t="shared" si="0"/>
        <v>235</v>
      </c>
    </row>
    <row r="26" ht="20" customHeight="1" spans="1:11">
      <c r="A26" s="48">
        <v>45984</v>
      </c>
      <c r="B26" s="76"/>
      <c r="C26" s="76"/>
      <c r="D26" s="76"/>
      <c r="E26" s="76"/>
      <c r="F26" s="76"/>
      <c r="G26" s="76"/>
      <c r="H26" s="76"/>
      <c r="I26" s="49"/>
      <c r="J26" s="49"/>
      <c r="K26" s="25">
        <f t="shared" si="0"/>
        <v>0</v>
      </c>
    </row>
    <row r="27" s="35" customFormat="1" ht="20" customHeight="1" spans="1:11">
      <c r="A27" s="51">
        <v>45985</v>
      </c>
      <c r="B27" s="54">
        <v>19</v>
      </c>
      <c r="C27" s="54">
        <v>98</v>
      </c>
      <c r="D27" s="54">
        <v>48</v>
      </c>
      <c r="E27" s="54">
        <v>20</v>
      </c>
      <c r="F27" s="54">
        <v>30</v>
      </c>
      <c r="G27" s="54">
        <v>5</v>
      </c>
      <c r="H27" s="54">
        <v>0</v>
      </c>
      <c r="I27" s="54">
        <v>64</v>
      </c>
      <c r="J27" s="54">
        <v>218</v>
      </c>
      <c r="K27" s="25">
        <f t="shared" si="0"/>
        <v>483</v>
      </c>
    </row>
    <row r="28" ht="20" customHeight="1" spans="1:11">
      <c r="A28" s="51">
        <v>45986</v>
      </c>
      <c r="B28" s="55">
        <v>19</v>
      </c>
      <c r="C28" s="55">
        <v>38</v>
      </c>
      <c r="D28" s="55">
        <v>57</v>
      </c>
      <c r="E28" s="55">
        <v>0</v>
      </c>
      <c r="F28" s="55">
        <v>26</v>
      </c>
      <c r="G28" s="55">
        <v>3</v>
      </c>
      <c r="H28" s="55">
        <v>0</v>
      </c>
      <c r="I28" s="55">
        <v>32</v>
      </c>
      <c r="J28" s="55">
        <v>95</v>
      </c>
      <c r="K28" s="25">
        <f t="shared" si="0"/>
        <v>251</v>
      </c>
    </row>
    <row r="29" ht="20" customHeight="1" spans="1:11">
      <c r="A29" s="51">
        <v>45987</v>
      </c>
      <c r="B29" s="55">
        <v>19</v>
      </c>
      <c r="C29" s="55">
        <v>42</v>
      </c>
      <c r="D29" s="55">
        <v>39</v>
      </c>
      <c r="E29" s="55">
        <v>57</v>
      </c>
      <c r="F29" s="55">
        <v>26</v>
      </c>
      <c r="G29" s="55">
        <v>3</v>
      </c>
      <c r="H29" s="55">
        <v>0</v>
      </c>
      <c r="I29" s="55">
        <v>37</v>
      </c>
      <c r="J29" s="55">
        <v>82</v>
      </c>
      <c r="K29" s="25">
        <f t="shared" si="0"/>
        <v>286</v>
      </c>
    </row>
    <row r="30" ht="20" customHeight="1" spans="1:11">
      <c r="A30" s="51">
        <v>45988</v>
      </c>
      <c r="B30" s="55">
        <v>19</v>
      </c>
      <c r="C30" s="55">
        <v>47</v>
      </c>
      <c r="D30" s="55">
        <v>21</v>
      </c>
      <c r="E30" s="55">
        <v>8</v>
      </c>
      <c r="F30" s="55">
        <v>30</v>
      </c>
      <c r="G30" s="55">
        <v>11</v>
      </c>
      <c r="H30" s="55">
        <v>0</v>
      </c>
      <c r="I30" s="55">
        <v>55</v>
      </c>
      <c r="J30" s="55">
        <v>71</v>
      </c>
      <c r="K30" s="25">
        <f t="shared" si="0"/>
        <v>243</v>
      </c>
    </row>
    <row r="31" ht="20" customHeight="1" spans="1:11">
      <c r="A31" s="51">
        <v>45989</v>
      </c>
      <c r="B31" s="55">
        <v>19</v>
      </c>
      <c r="C31" s="55">
        <v>67</v>
      </c>
      <c r="D31" s="55">
        <v>42</v>
      </c>
      <c r="E31" s="55">
        <v>115</v>
      </c>
      <c r="F31" s="55">
        <v>14</v>
      </c>
      <c r="G31" s="55">
        <v>14</v>
      </c>
      <c r="H31" s="55">
        <v>0</v>
      </c>
      <c r="I31" s="55">
        <v>31</v>
      </c>
      <c r="J31" s="55">
        <v>76</v>
      </c>
      <c r="K31" s="25">
        <f t="shared" si="0"/>
        <v>359</v>
      </c>
    </row>
    <row r="32" ht="20" customHeight="1" spans="1:11">
      <c r="A32" s="51">
        <v>45990</v>
      </c>
      <c r="B32" s="78">
        <v>19</v>
      </c>
      <c r="C32" s="55">
        <v>38</v>
      </c>
      <c r="D32" s="55">
        <v>57</v>
      </c>
      <c r="E32" s="55">
        <v>9</v>
      </c>
      <c r="F32" s="55">
        <v>14</v>
      </c>
      <c r="G32" s="55">
        <v>5</v>
      </c>
      <c r="H32" s="55">
        <v>0</v>
      </c>
      <c r="I32" s="55">
        <v>25</v>
      </c>
      <c r="J32" s="55">
        <v>68</v>
      </c>
      <c r="K32" s="25">
        <f t="shared" si="0"/>
        <v>216</v>
      </c>
    </row>
    <row r="33" ht="20" customHeight="1" spans="1:11">
      <c r="A33" s="48">
        <v>45991</v>
      </c>
      <c r="B33" s="76"/>
      <c r="C33" s="76"/>
      <c r="D33" s="76"/>
      <c r="E33" s="76"/>
      <c r="F33" s="76"/>
      <c r="G33" s="76"/>
      <c r="H33" s="76"/>
      <c r="I33" s="49"/>
      <c r="J33" s="49"/>
      <c r="K33" s="25">
        <f t="shared" si="0"/>
        <v>0</v>
      </c>
    </row>
    <row r="34" ht="25.35" customHeight="1" spans="1:11">
      <c r="A34" s="63" t="s">
        <v>13</v>
      </c>
      <c r="B34" s="64">
        <f>SUM(B4:B33)</f>
        <v>473</v>
      </c>
      <c r="C34" s="64">
        <f t="shared" ref="B34:K34" si="1">SUM(C4:C33)</f>
        <v>679</v>
      </c>
      <c r="D34" s="64">
        <f t="shared" si="1"/>
        <v>841</v>
      </c>
      <c r="E34" s="64">
        <f t="shared" si="1"/>
        <v>386</v>
      </c>
      <c r="F34" s="64">
        <f t="shared" si="1"/>
        <v>560</v>
      </c>
      <c r="G34" s="64">
        <f t="shared" si="1"/>
        <v>124</v>
      </c>
      <c r="H34" s="64">
        <f t="shared" si="1"/>
        <v>1</v>
      </c>
      <c r="I34" s="64">
        <f t="shared" si="1"/>
        <v>955</v>
      </c>
      <c r="J34" s="64">
        <f t="shared" si="1"/>
        <v>1995</v>
      </c>
      <c r="K34" s="64">
        <f t="shared" si="1"/>
        <v>5541</v>
      </c>
    </row>
    <row r="35" ht="25.35" customHeight="1"/>
    <row r="36" ht="25.35" customHeight="1"/>
    <row r="37" ht="25.35" customHeight="1"/>
    <row r="38" ht="25.35" customHeight="1"/>
    <row r="39" ht="25.35" customHeight="1"/>
    <row r="40" ht="25.35" customHeight="1"/>
    <row r="41" ht="25.35" customHeight="1"/>
    <row r="42" ht="25.35" customHeight="1"/>
    <row r="43" ht="25.35" customHeight="1"/>
    <row r="44" ht="25.35" customHeight="1"/>
    <row r="45" ht="28.7" customHeight="1"/>
  </sheetData>
  <mergeCells count="3">
    <mergeCell ref="A1:K1"/>
    <mergeCell ref="A2:C2"/>
    <mergeCell ref="H2:K2"/>
  </mergeCells>
  <pageMargins left="0.196527777777778" right="0.196527777777778" top="1.02361111111111" bottom="0.393055555555556" header="0.511805555555556" footer="0.196527777777778"/>
  <pageSetup paperSize="9" scale="36" fitToHeight="0" orientation="portrait" horizontalDpi="600"/>
  <headerFooter alignWithMargins="0">
    <oddHeader>&amp;L&amp;G&amp;C&amp;14&amp;BDISPOSAFE HEALTH AND LIFE CARE LIMITED, &amp;10
PLOT NO 37A SECTOR-6, FARIDABAD 121006, HARYANA, INDIA&amp;RRF-DPR:7.5/05:01:00
Date: 02.12.2024
  Page &amp;P of &amp;N</oddHeader>
    <oddFooter>&amp;L&amp;BChecked By:&amp;R&amp;B
Approved By:</oddFooter>
  </headerFooter>
  <drawing r:id="rId1"/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6"/>
  <sheetViews>
    <sheetView zoomScalePageLayoutView="115" workbookViewId="0">
      <pane xSplit="1" ySplit="3" topLeftCell="B14" activePane="bottomRight" state="frozen"/>
      <selection/>
      <selection pane="topRight"/>
      <selection pane="bottomLeft"/>
      <selection pane="bottomRight" activeCell="G25" sqref="G25"/>
    </sheetView>
  </sheetViews>
  <sheetFormatPr defaultColWidth="9" defaultRowHeight="15"/>
  <cols>
    <col min="1" max="1" width="10.2857142857143" style="36" customWidth="1"/>
    <col min="2" max="2" width="11.8095238095238" style="36" customWidth="1"/>
    <col min="3" max="3" width="10.9809523809524" style="36" customWidth="1"/>
    <col min="4" max="4" width="10" style="36" customWidth="1"/>
    <col min="5" max="5" width="10.2857142857143" style="36" customWidth="1"/>
    <col min="6" max="6" width="9.84761904761905" style="37" customWidth="1"/>
    <col min="7" max="7" width="6.96190476190476" style="37" customWidth="1"/>
    <col min="8" max="9" width="7.66666666666667" style="37" customWidth="1"/>
    <col min="10" max="10" width="10.2857142857143" style="37" customWidth="1"/>
    <col min="11" max="11" width="11.5714285714286" style="37" customWidth="1"/>
    <col min="12" max="14" width="9.14285714285714" style="36"/>
    <col min="15" max="15" width="10.1428571428571" style="36" customWidth="1"/>
    <col min="16" max="16384" width="9.14285714285714" style="36"/>
  </cols>
  <sheetData>
    <row r="1" s="34" customFormat="1" ht="30" customHeight="1" spans="1:19">
      <c r="A1" s="38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O1" s="65"/>
      <c r="P1" s="65"/>
      <c r="Q1" s="65"/>
      <c r="R1" s="65"/>
      <c r="S1" s="65"/>
    </row>
    <row r="2" ht="17.25" customHeight="1" spans="1:11">
      <c r="A2" s="39" t="s">
        <v>30</v>
      </c>
      <c r="B2" s="39"/>
      <c r="C2" s="39"/>
      <c r="D2" s="13"/>
      <c r="E2" s="13"/>
      <c r="F2" s="14"/>
      <c r="G2" s="14"/>
      <c r="H2" s="15"/>
      <c r="I2" s="15"/>
      <c r="J2" s="15"/>
      <c r="K2" s="15"/>
    </row>
    <row r="3" ht="39" customHeight="1" spans="1:15">
      <c r="A3" s="40" t="s">
        <v>2</v>
      </c>
      <c r="B3" s="41" t="s">
        <v>3</v>
      </c>
      <c r="C3" s="42" t="s">
        <v>4</v>
      </c>
      <c r="D3" s="41" t="s">
        <v>5</v>
      </c>
      <c r="E3" s="43" t="s">
        <v>6</v>
      </c>
      <c r="F3" s="44" t="s">
        <v>7</v>
      </c>
      <c r="G3" s="44" t="s">
        <v>8</v>
      </c>
      <c r="H3" s="44" t="s">
        <v>9</v>
      </c>
      <c r="I3" s="43" t="s">
        <v>21</v>
      </c>
      <c r="J3" s="43" t="s">
        <v>11</v>
      </c>
      <c r="K3" s="44" t="s">
        <v>12</v>
      </c>
      <c r="O3" s="66"/>
    </row>
    <row r="4" ht="22" customHeight="1" spans="1:11">
      <c r="A4" s="45">
        <v>45992</v>
      </c>
      <c r="B4" s="46">
        <v>15</v>
      </c>
      <c r="C4" s="46">
        <v>15</v>
      </c>
      <c r="D4" s="47">
        <v>28</v>
      </c>
      <c r="E4" s="47">
        <v>12</v>
      </c>
      <c r="F4" s="47">
        <v>10</v>
      </c>
      <c r="G4" s="47">
        <v>19</v>
      </c>
      <c r="H4" s="47">
        <v>0</v>
      </c>
      <c r="I4" s="67">
        <v>23</v>
      </c>
      <c r="J4" s="67">
        <v>54</v>
      </c>
      <c r="K4" s="25">
        <f t="shared" ref="K4:K9" si="0">SUM(C4:J4)</f>
        <v>161</v>
      </c>
    </row>
    <row r="5" ht="22" customHeight="1" spans="1:11">
      <c r="A5" s="45">
        <v>45993</v>
      </c>
      <c r="B5" s="46">
        <v>16</v>
      </c>
      <c r="C5" s="46">
        <v>40</v>
      </c>
      <c r="D5" s="47">
        <v>74</v>
      </c>
      <c r="E5" s="47">
        <v>8</v>
      </c>
      <c r="F5" s="47">
        <v>34</v>
      </c>
      <c r="G5" s="47">
        <v>7</v>
      </c>
      <c r="H5" s="47">
        <v>0</v>
      </c>
      <c r="I5" s="67">
        <v>52</v>
      </c>
      <c r="J5" s="67">
        <v>86</v>
      </c>
      <c r="K5" s="25">
        <f t="shared" si="0"/>
        <v>301</v>
      </c>
    </row>
    <row r="6" ht="22" customHeight="1" spans="1:11">
      <c r="A6" s="45">
        <v>45994</v>
      </c>
      <c r="B6" s="46">
        <v>18</v>
      </c>
      <c r="C6" s="46">
        <v>27</v>
      </c>
      <c r="D6" s="47">
        <v>68</v>
      </c>
      <c r="E6" s="47">
        <v>19</v>
      </c>
      <c r="F6" s="47">
        <v>44</v>
      </c>
      <c r="G6" s="47">
        <v>14</v>
      </c>
      <c r="H6" s="47">
        <v>0</v>
      </c>
      <c r="I6" s="67">
        <v>31</v>
      </c>
      <c r="J6" s="67">
        <v>67</v>
      </c>
      <c r="K6" s="25">
        <f t="shared" si="0"/>
        <v>270</v>
      </c>
    </row>
    <row r="7" ht="22" customHeight="1" spans="1:11">
      <c r="A7" s="45">
        <v>45995</v>
      </c>
      <c r="B7" s="46">
        <v>19</v>
      </c>
      <c r="C7" s="46">
        <v>30</v>
      </c>
      <c r="D7" s="47">
        <v>88</v>
      </c>
      <c r="E7" s="47">
        <v>17</v>
      </c>
      <c r="F7" s="47">
        <v>22</v>
      </c>
      <c r="G7" s="47">
        <v>19</v>
      </c>
      <c r="H7" s="47">
        <v>0</v>
      </c>
      <c r="I7" s="67">
        <v>58</v>
      </c>
      <c r="J7" s="67">
        <v>64</v>
      </c>
      <c r="K7" s="25">
        <f t="shared" si="0"/>
        <v>298</v>
      </c>
    </row>
    <row r="8" ht="22" customHeight="1" spans="1:11">
      <c r="A8" s="45">
        <v>45996</v>
      </c>
      <c r="B8" s="46">
        <v>19</v>
      </c>
      <c r="C8" s="46">
        <v>28</v>
      </c>
      <c r="D8" s="47">
        <v>42</v>
      </c>
      <c r="E8" s="47">
        <v>20</v>
      </c>
      <c r="F8" s="47">
        <v>26</v>
      </c>
      <c r="G8" s="47">
        <v>18</v>
      </c>
      <c r="H8" s="47">
        <v>0</v>
      </c>
      <c r="I8" s="67">
        <v>28</v>
      </c>
      <c r="J8" s="67">
        <v>65</v>
      </c>
      <c r="K8" s="25">
        <f t="shared" si="0"/>
        <v>227</v>
      </c>
    </row>
    <row r="9" ht="22" customHeight="1" spans="1:11">
      <c r="A9" s="45">
        <v>45997</v>
      </c>
      <c r="B9" s="46">
        <v>18</v>
      </c>
      <c r="C9" s="46">
        <v>37</v>
      </c>
      <c r="D9" s="47">
        <v>45</v>
      </c>
      <c r="E9" s="47">
        <v>15</v>
      </c>
      <c r="F9" s="47">
        <v>12</v>
      </c>
      <c r="G9" s="47">
        <v>15</v>
      </c>
      <c r="H9" s="47">
        <v>0</v>
      </c>
      <c r="I9" s="67">
        <v>25</v>
      </c>
      <c r="J9" s="67">
        <v>642</v>
      </c>
      <c r="K9" s="25">
        <f t="shared" si="0"/>
        <v>791</v>
      </c>
    </row>
    <row r="10" ht="22" customHeight="1" spans="1:11">
      <c r="A10" s="48">
        <v>45998</v>
      </c>
      <c r="B10" s="73"/>
      <c r="C10" s="73"/>
      <c r="D10" s="74"/>
      <c r="E10" s="74"/>
      <c r="F10" s="74"/>
      <c r="G10" s="74"/>
      <c r="H10" s="74"/>
      <c r="I10" s="77"/>
      <c r="J10" s="68"/>
      <c r="K10" s="25">
        <f t="shared" ref="K10:K38" si="1">SUM(C10:J10)</f>
        <v>0</v>
      </c>
    </row>
    <row r="11" s="35" customFormat="1" ht="22" customHeight="1" spans="1:11">
      <c r="A11" s="51">
        <v>45999</v>
      </c>
      <c r="B11" s="54">
        <v>18</v>
      </c>
      <c r="C11" s="54">
        <v>29</v>
      </c>
      <c r="D11" s="54">
        <v>40</v>
      </c>
      <c r="E11" s="54">
        <v>11</v>
      </c>
      <c r="F11" s="54">
        <v>20</v>
      </c>
      <c r="G11" s="54">
        <v>19</v>
      </c>
      <c r="H11" s="54">
        <v>0</v>
      </c>
      <c r="I11" s="54">
        <v>68</v>
      </c>
      <c r="J11" s="54">
        <v>74</v>
      </c>
      <c r="K11" s="25">
        <f t="shared" si="1"/>
        <v>261</v>
      </c>
    </row>
    <row r="12" ht="22" customHeight="1" spans="1:11">
      <c r="A12" s="51">
        <v>46000</v>
      </c>
      <c r="B12" s="55">
        <v>19</v>
      </c>
      <c r="C12" s="55">
        <v>29</v>
      </c>
      <c r="D12" s="56">
        <v>32</v>
      </c>
      <c r="E12" s="56">
        <v>20</v>
      </c>
      <c r="F12" s="56">
        <v>6</v>
      </c>
      <c r="G12" s="56">
        <v>19</v>
      </c>
      <c r="H12" s="56">
        <v>0</v>
      </c>
      <c r="I12" s="70">
        <v>54</v>
      </c>
      <c r="J12" s="70">
        <v>67</v>
      </c>
      <c r="K12" s="25">
        <f t="shared" si="1"/>
        <v>227</v>
      </c>
    </row>
    <row r="13" ht="22" customHeight="1" spans="1:11">
      <c r="A13" s="51">
        <v>46001</v>
      </c>
      <c r="B13" s="54">
        <v>18</v>
      </c>
      <c r="C13" s="54">
        <v>50</v>
      </c>
      <c r="D13" s="57">
        <v>55</v>
      </c>
      <c r="E13" s="57">
        <v>5</v>
      </c>
      <c r="F13" s="57">
        <v>35</v>
      </c>
      <c r="G13" s="57">
        <v>23</v>
      </c>
      <c r="H13" s="57">
        <v>24</v>
      </c>
      <c r="I13" s="58">
        <v>9</v>
      </c>
      <c r="J13" s="58">
        <v>58</v>
      </c>
      <c r="K13" s="25">
        <f t="shared" si="1"/>
        <v>259</v>
      </c>
    </row>
    <row r="14" ht="22" customHeight="1" spans="1:11">
      <c r="A14" s="51">
        <v>46002</v>
      </c>
      <c r="B14" s="54">
        <v>19</v>
      </c>
      <c r="C14" s="54">
        <v>12</v>
      </c>
      <c r="D14" s="54">
        <v>42</v>
      </c>
      <c r="E14" s="54">
        <v>3</v>
      </c>
      <c r="F14" s="54">
        <v>14</v>
      </c>
      <c r="G14" s="54">
        <v>3</v>
      </c>
      <c r="H14" s="54">
        <v>0</v>
      </c>
      <c r="I14" s="54">
        <v>10</v>
      </c>
      <c r="J14" s="54">
        <v>85</v>
      </c>
      <c r="K14" s="25">
        <f t="shared" si="1"/>
        <v>169</v>
      </c>
    </row>
    <row r="15" ht="22" customHeight="1" spans="1:11">
      <c r="A15" s="51">
        <v>46003</v>
      </c>
      <c r="B15" s="55">
        <v>18</v>
      </c>
      <c r="C15" s="55">
        <v>26</v>
      </c>
      <c r="D15" s="56">
        <v>29</v>
      </c>
      <c r="E15" s="56">
        <v>14</v>
      </c>
      <c r="F15" s="56">
        <v>16</v>
      </c>
      <c r="G15" s="56">
        <v>15</v>
      </c>
      <c r="H15" s="56">
        <v>0</v>
      </c>
      <c r="I15" s="70">
        <v>8</v>
      </c>
      <c r="J15" s="70">
        <v>75</v>
      </c>
      <c r="K15" s="25">
        <f t="shared" si="1"/>
        <v>183</v>
      </c>
    </row>
    <row r="16" ht="22" customHeight="1" spans="1:11">
      <c r="A16" s="51">
        <v>46004</v>
      </c>
      <c r="B16" s="54">
        <v>19</v>
      </c>
      <c r="C16" s="54">
        <v>17</v>
      </c>
      <c r="D16" s="57">
        <v>60</v>
      </c>
      <c r="E16" s="57">
        <v>5</v>
      </c>
      <c r="F16" s="57">
        <v>23</v>
      </c>
      <c r="G16" s="57">
        <v>4</v>
      </c>
      <c r="H16" s="57">
        <v>0</v>
      </c>
      <c r="I16" s="58">
        <v>12</v>
      </c>
      <c r="J16" s="58">
        <v>92</v>
      </c>
      <c r="K16" s="25">
        <f t="shared" si="1"/>
        <v>213</v>
      </c>
    </row>
    <row r="17" ht="22" customHeight="1" spans="1:11">
      <c r="A17" s="48">
        <v>46005</v>
      </c>
      <c r="B17" s="49"/>
      <c r="C17" s="49"/>
      <c r="D17" s="50"/>
      <c r="E17" s="50"/>
      <c r="F17" s="50"/>
      <c r="G17" s="50"/>
      <c r="H17" s="50"/>
      <c r="I17" s="68"/>
      <c r="J17" s="68"/>
      <c r="K17" s="25">
        <f t="shared" si="1"/>
        <v>0</v>
      </c>
    </row>
    <row r="18" s="35" customFormat="1" ht="22" customHeight="1" spans="1:11">
      <c r="A18" s="51">
        <v>46006</v>
      </c>
      <c r="B18" s="54">
        <v>19</v>
      </c>
      <c r="C18" s="54">
        <v>17</v>
      </c>
      <c r="D18" s="57">
        <v>55</v>
      </c>
      <c r="E18" s="57">
        <v>0</v>
      </c>
      <c r="F18" s="57">
        <v>12</v>
      </c>
      <c r="G18" s="57">
        <v>3</v>
      </c>
      <c r="H18" s="57">
        <v>0</v>
      </c>
      <c r="I18" s="57">
        <v>41</v>
      </c>
      <c r="J18" s="57">
        <v>134</v>
      </c>
      <c r="K18" s="25">
        <f t="shared" si="1"/>
        <v>262</v>
      </c>
    </row>
    <row r="19" ht="22" customHeight="1" spans="1:11">
      <c r="A19" s="51">
        <v>46007</v>
      </c>
      <c r="B19" s="55">
        <v>19</v>
      </c>
      <c r="C19" s="55">
        <v>10</v>
      </c>
      <c r="D19" s="56">
        <v>56</v>
      </c>
      <c r="E19" s="56">
        <v>0</v>
      </c>
      <c r="F19" s="56">
        <v>32</v>
      </c>
      <c r="G19" s="56">
        <v>2</v>
      </c>
      <c r="H19" s="56">
        <v>0</v>
      </c>
      <c r="I19" s="57">
        <v>22</v>
      </c>
      <c r="J19" s="57">
        <v>119</v>
      </c>
      <c r="K19" s="25">
        <f t="shared" si="1"/>
        <v>241</v>
      </c>
    </row>
    <row r="20" ht="22" customHeight="1" spans="1:11">
      <c r="A20" s="51">
        <v>46008</v>
      </c>
      <c r="B20" s="54">
        <v>19</v>
      </c>
      <c r="C20" s="54">
        <v>30</v>
      </c>
      <c r="D20" s="54">
        <v>81</v>
      </c>
      <c r="E20" s="54">
        <v>13</v>
      </c>
      <c r="F20" s="54">
        <v>26</v>
      </c>
      <c r="G20" s="54">
        <v>0</v>
      </c>
      <c r="H20" s="54">
        <v>0</v>
      </c>
      <c r="I20" s="54">
        <v>18</v>
      </c>
      <c r="J20" s="54">
        <v>75</v>
      </c>
      <c r="K20" s="25">
        <f t="shared" si="1"/>
        <v>243</v>
      </c>
    </row>
    <row r="21" ht="22" customHeight="1" spans="1:11">
      <c r="A21" s="51">
        <v>46009</v>
      </c>
      <c r="B21" s="54">
        <v>19</v>
      </c>
      <c r="C21" s="54">
        <v>22</v>
      </c>
      <c r="D21" s="54">
        <v>45</v>
      </c>
      <c r="E21" s="54">
        <v>11</v>
      </c>
      <c r="F21" s="54">
        <v>17</v>
      </c>
      <c r="G21" s="54">
        <v>2</v>
      </c>
      <c r="H21" s="54">
        <v>0</v>
      </c>
      <c r="I21" s="54">
        <v>26</v>
      </c>
      <c r="J21" s="54">
        <v>119</v>
      </c>
      <c r="K21" s="25">
        <f t="shared" si="1"/>
        <v>242</v>
      </c>
    </row>
    <row r="22" ht="22" customHeight="1" spans="1:11">
      <c r="A22" s="51">
        <v>46010</v>
      </c>
      <c r="B22" s="54">
        <v>19</v>
      </c>
      <c r="C22" s="54">
        <v>27</v>
      </c>
      <c r="D22" s="57">
        <v>53</v>
      </c>
      <c r="E22" s="57">
        <v>10</v>
      </c>
      <c r="F22" s="57">
        <v>19</v>
      </c>
      <c r="G22" s="57">
        <v>15</v>
      </c>
      <c r="H22" s="58">
        <v>0</v>
      </c>
      <c r="I22" s="23">
        <v>0</v>
      </c>
      <c r="J22" s="23">
        <v>118</v>
      </c>
      <c r="K22" s="25">
        <f t="shared" si="1"/>
        <v>242</v>
      </c>
    </row>
    <row r="23" ht="22" customHeight="1" spans="1:11">
      <c r="A23" s="51">
        <v>46011</v>
      </c>
      <c r="B23" s="54">
        <v>19</v>
      </c>
      <c r="C23" s="54">
        <v>20</v>
      </c>
      <c r="D23" s="54">
        <v>27</v>
      </c>
      <c r="E23" s="54">
        <v>10</v>
      </c>
      <c r="F23" s="54">
        <v>27</v>
      </c>
      <c r="G23" s="54">
        <v>3</v>
      </c>
      <c r="H23" s="54">
        <v>0</v>
      </c>
      <c r="I23" s="54">
        <v>9</v>
      </c>
      <c r="J23" s="54">
        <v>111</v>
      </c>
      <c r="K23" s="25">
        <f t="shared" si="1"/>
        <v>207</v>
      </c>
    </row>
    <row r="24" ht="22" customHeight="1" spans="1:11">
      <c r="A24" s="48">
        <v>46012</v>
      </c>
      <c r="B24" s="75"/>
      <c r="C24" s="75"/>
      <c r="D24" s="75"/>
      <c r="E24" s="75"/>
      <c r="F24" s="75"/>
      <c r="G24" s="75"/>
      <c r="H24" s="75"/>
      <c r="I24" s="75"/>
      <c r="J24" s="75"/>
      <c r="K24" s="25">
        <f t="shared" si="1"/>
        <v>0</v>
      </c>
    </row>
    <row r="25" s="35" customFormat="1" ht="22" customHeight="1" spans="1:11">
      <c r="A25" s="51">
        <v>46013</v>
      </c>
      <c r="B25" s="54">
        <v>19</v>
      </c>
      <c r="C25" s="54">
        <v>13</v>
      </c>
      <c r="D25" s="54">
        <v>62</v>
      </c>
      <c r="E25" s="54">
        <v>5</v>
      </c>
      <c r="F25" s="54">
        <v>27</v>
      </c>
      <c r="G25" s="54">
        <v>3</v>
      </c>
      <c r="H25" s="54">
        <v>0</v>
      </c>
      <c r="I25" s="54">
        <v>13</v>
      </c>
      <c r="J25" s="54">
        <v>130</v>
      </c>
      <c r="K25" s="25">
        <f t="shared" si="1"/>
        <v>253</v>
      </c>
    </row>
    <row r="26" ht="22" customHeight="1" spans="1:11">
      <c r="A26" s="51">
        <v>46014</v>
      </c>
      <c r="B26" s="54">
        <v>17</v>
      </c>
      <c r="C26" s="54">
        <v>27</v>
      </c>
      <c r="D26" s="54">
        <v>40</v>
      </c>
      <c r="E26" s="54">
        <v>13</v>
      </c>
      <c r="F26" s="54">
        <v>20</v>
      </c>
      <c r="G26" s="54">
        <v>7</v>
      </c>
      <c r="H26" s="54">
        <v>0</v>
      </c>
      <c r="I26" s="54">
        <v>2</v>
      </c>
      <c r="J26" s="54">
        <v>100</v>
      </c>
      <c r="K26" s="25">
        <f t="shared" si="1"/>
        <v>209</v>
      </c>
    </row>
    <row r="27" ht="22" customHeight="1" spans="1:11">
      <c r="A27" s="51">
        <v>46015</v>
      </c>
      <c r="B27" s="54">
        <v>19</v>
      </c>
      <c r="C27" s="54">
        <v>7</v>
      </c>
      <c r="D27" s="54">
        <v>34</v>
      </c>
      <c r="E27" s="54">
        <v>0</v>
      </c>
      <c r="F27" s="54">
        <v>28</v>
      </c>
      <c r="G27" s="54">
        <v>2</v>
      </c>
      <c r="H27" s="54">
        <v>0</v>
      </c>
      <c r="I27" s="54">
        <v>36</v>
      </c>
      <c r="J27" s="54">
        <v>99</v>
      </c>
      <c r="K27" s="25">
        <f t="shared" si="1"/>
        <v>206</v>
      </c>
    </row>
    <row r="28" ht="22" customHeight="1" spans="1:11">
      <c r="A28" s="51">
        <v>46016</v>
      </c>
      <c r="B28" s="54">
        <v>17</v>
      </c>
      <c r="C28" s="54">
        <v>12</v>
      </c>
      <c r="D28" s="54">
        <v>35</v>
      </c>
      <c r="E28" s="54">
        <v>2</v>
      </c>
      <c r="F28" s="54">
        <v>22</v>
      </c>
      <c r="G28" s="54">
        <v>3</v>
      </c>
      <c r="H28" s="54">
        <v>0</v>
      </c>
      <c r="I28" s="54">
        <v>7</v>
      </c>
      <c r="J28" s="54">
        <v>74</v>
      </c>
      <c r="K28" s="25">
        <f t="shared" si="1"/>
        <v>155</v>
      </c>
    </row>
    <row r="29" ht="22" customHeight="1" spans="1:11">
      <c r="A29" s="51">
        <v>46017</v>
      </c>
      <c r="B29" s="54">
        <v>19</v>
      </c>
      <c r="C29" s="54">
        <v>23</v>
      </c>
      <c r="D29" s="54">
        <v>38</v>
      </c>
      <c r="E29" s="54">
        <v>0</v>
      </c>
      <c r="F29" s="54">
        <v>22</v>
      </c>
      <c r="G29" s="54">
        <v>0</v>
      </c>
      <c r="H29" s="54">
        <v>0</v>
      </c>
      <c r="I29" s="54">
        <v>0</v>
      </c>
      <c r="J29" s="54">
        <v>77</v>
      </c>
      <c r="K29" s="25">
        <f t="shared" si="1"/>
        <v>160</v>
      </c>
    </row>
    <row r="30" ht="22" customHeight="1" spans="1:11">
      <c r="A30" s="51">
        <v>46018</v>
      </c>
      <c r="B30" s="54">
        <v>19</v>
      </c>
      <c r="C30" s="54">
        <v>12</v>
      </c>
      <c r="D30" s="54">
        <v>35</v>
      </c>
      <c r="E30" s="54">
        <v>5</v>
      </c>
      <c r="F30" s="54">
        <v>28</v>
      </c>
      <c r="G30" s="54">
        <v>5</v>
      </c>
      <c r="H30" s="54">
        <v>0</v>
      </c>
      <c r="I30" s="54">
        <v>2</v>
      </c>
      <c r="J30" s="54">
        <v>133</v>
      </c>
      <c r="K30" s="25">
        <f t="shared" si="1"/>
        <v>220</v>
      </c>
    </row>
    <row r="31" ht="22" customHeight="1" spans="1:11">
      <c r="A31" s="48">
        <v>46019</v>
      </c>
      <c r="B31" s="76"/>
      <c r="C31" s="76"/>
      <c r="D31" s="76"/>
      <c r="E31" s="76"/>
      <c r="F31" s="76"/>
      <c r="G31" s="76"/>
      <c r="H31" s="76"/>
      <c r="I31" s="49"/>
      <c r="J31" s="49"/>
      <c r="K31" s="25">
        <f t="shared" si="1"/>
        <v>0</v>
      </c>
    </row>
    <row r="32" s="35" customFormat="1" ht="22" customHeight="1" spans="1:11">
      <c r="A32" s="51">
        <v>46020</v>
      </c>
      <c r="B32" s="54">
        <v>17</v>
      </c>
      <c r="C32" s="54">
        <v>24</v>
      </c>
      <c r="D32" s="54">
        <v>46</v>
      </c>
      <c r="E32" s="54">
        <v>4</v>
      </c>
      <c r="F32" s="54">
        <v>24</v>
      </c>
      <c r="G32" s="54">
        <v>4</v>
      </c>
      <c r="H32" s="54">
        <v>0</v>
      </c>
      <c r="I32" s="54">
        <v>15</v>
      </c>
      <c r="J32" s="54">
        <v>97</v>
      </c>
      <c r="K32" s="25">
        <f t="shared" si="1"/>
        <v>214</v>
      </c>
    </row>
    <row r="33" ht="22" customHeight="1" spans="1:11">
      <c r="A33" s="51">
        <v>46021</v>
      </c>
      <c r="B33" s="55">
        <v>17</v>
      </c>
      <c r="C33" s="55">
        <v>10</v>
      </c>
      <c r="D33" s="55">
        <v>63</v>
      </c>
      <c r="E33" s="55">
        <v>0</v>
      </c>
      <c r="F33" s="55">
        <v>20</v>
      </c>
      <c r="G33" s="55">
        <v>2</v>
      </c>
      <c r="H33" s="55">
        <v>0</v>
      </c>
      <c r="I33" s="55">
        <v>6</v>
      </c>
      <c r="J33" s="55">
        <v>105</v>
      </c>
      <c r="K33" s="25">
        <f t="shared" si="1"/>
        <v>206</v>
      </c>
    </row>
    <row r="34" ht="22" customHeight="1" spans="1:11">
      <c r="A34" s="51">
        <v>46022</v>
      </c>
      <c r="B34" s="55">
        <v>19</v>
      </c>
      <c r="C34" s="55">
        <v>25</v>
      </c>
      <c r="D34" s="55">
        <v>86</v>
      </c>
      <c r="E34" s="55">
        <v>6</v>
      </c>
      <c r="F34" s="55">
        <v>38</v>
      </c>
      <c r="G34" s="55">
        <v>5</v>
      </c>
      <c r="H34" s="55">
        <v>0</v>
      </c>
      <c r="I34" s="55">
        <v>7</v>
      </c>
      <c r="J34" s="55">
        <v>121</v>
      </c>
      <c r="K34" s="25">
        <f t="shared" si="1"/>
        <v>288</v>
      </c>
    </row>
    <row r="35" ht="22" customHeight="1" spans="1:11">
      <c r="A35" s="63" t="s">
        <v>13</v>
      </c>
      <c r="B35" s="64">
        <f>SUM(B4:B34)</f>
        <v>493</v>
      </c>
      <c r="C35" s="64">
        <f>SUM(C4:C34)</f>
        <v>619</v>
      </c>
      <c r="D35" s="64">
        <f t="shared" ref="B35:K35" si="2">SUM(D4:D34)</f>
        <v>1359</v>
      </c>
      <c r="E35" s="64">
        <f t="shared" si="2"/>
        <v>228</v>
      </c>
      <c r="F35" s="64">
        <f t="shared" si="2"/>
        <v>624</v>
      </c>
      <c r="G35" s="64">
        <f t="shared" si="2"/>
        <v>231</v>
      </c>
      <c r="H35" s="64">
        <f t="shared" si="2"/>
        <v>24</v>
      </c>
      <c r="I35" s="64">
        <f t="shared" si="2"/>
        <v>582</v>
      </c>
      <c r="J35" s="64">
        <f t="shared" si="2"/>
        <v>3041</v>
      </c>
      <c r="K35" s="64">
        <f t="shared" si="2"/>
        <v>6708</v>
      </c>
    </row>
    <row r="36" ht="25.35" customHeight="1"/>
    <row r="37" ht="25.35" customHeight="1"/>
    <row r="38" ht="25.35" customHeight="1"/>
    <row r="39" ht="25.35" customHeight="1"/>
    <row r="40" ht="25.35" customHeight="1"/>
    <row r="41" ht="25.35" customHeight="1"/>
    <row r="42" ht="25.35" customHeight="1"/>
    <row r="43" ht="25.35" customHeight="1"/>
    <row r="44" ht="25.35" customHeight="1"/>
    <row r="45" ht="25.35" customHeight="1"/>
    <row r="46" ht="28.7" customHeight="1"/>
  </sheetData>
  <mergeCells count="3">
    <mergeCell ref="A1:K1"/>
    <mergeCell ref="A2:C2"/>
    <mergeCell ref="H2:K2"/>
  </mergeCells>
  <pageMargins left="0.196527777777778" right="0.196527777777778" top="0.677083333333333" bottom="0.393055555555556" header="0.196527777777778" footer="0.196527777777778"/>
  <pageSetup paperSize="9" scale="36" fitToHeight="0" orientation="portrait" horizontalDpi="600"/>
  <headerFooter alignWithMargins="0">
    <oddHeader>&amp;L&amp;G&amp;C&amp;14&amp;BDISPOSAFE HEALTH AND LIFE CARE LIMITED, &amp;10
PLOT NO 37A SECTOR-6, FARIDABAD 121006, HARYANA, INDIA&amp;RRF-DPR:7.5/05:01:00
Date: 02.12.2024
  Page &amp;P of &amp;N</oddHeader>
    <oddFooter>&amp;L&amp;"times New Roman"&amp;BChecked By:&amp;R&amp;"times New Roman"&amp;B
Approved By:</oddFooter>
  </headerFooter>
  <drawing r:id="rId1"/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6"/>
  <sheetViews>
    <sheetView tabSelected="1" zoomScalePageLayoutView="115" workbookViewId="0">
      <pane xSplit="1" ySplit="3" topLeftCell="B10" activePane="bottomRight" state="frozen"/>
      <selection/>
      <selection pane="topRight"/>
      <selection pane="bottomLeft"/>
      <selection pane="bottomRight" activeCell="B31" sqref="B31"/>
    </sheetView>
  </sheetViews>
  <sheetFormatPr defaultColWidth="9" defaultRowHeight="15"/>
  <cols>
    <col min="1" max="1" width="10.2857142857143" style="36" customWidth="1"/>
    <col min="2" max="2" width="11.8095238095238" style="36" customWidth="1"/>
    <col min="3" max="3" width="10.9809523809524" style="36" customWidth="1"/>
    <col min="4" max="4" width="10" style="36" customWidth="1"/>
    <col min="5" max="5" width="10.2857142857143" style="36" customWidth="1"/>
    <col min="6" max="6" width="9.84761904761905" style="37" customWidth="1"/>
    <col min="7" max="7" width="6.96190476190476" style="37" customWidth="1"/>
    <col min="8" max="9" width="7.66666666666667" style="37" customWidth="1"/>
    <col min="10" max="10" width="10.2857142857143" style="37" customWidth="1"/>
    <col min="11" max="11" width="11.5714285714286" style="37" customWidth="1"/>
    <col min="12" max="14" width="9.14285714285714" style="36"/>
    <col min="15" max="15" width="10.1428571428571" style="36" customWidth="1"/>
    <col min="16" max="16384" width="9.14285714285714" style="36"/>
  </cols>
  <sheetData>
    <row r="1" s="34" customFormat="1" ht="30" customHeight="1" spans="1:19">
      <c r="A1" s="38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O1" s="65"/>
      <c r="P1" s="65"/>
      <c r="Q1" s="65"/>
      <c r="R1" s="65"/>
      <c r="S1" s="65"/>
    </row>
    <row r="2" ht="17.25" customHeight="1" spans="1:11">
      <c r="A2" s="39" t="s">
        <v>31</v>
      </c>
      <c r="B2" s="39"/>
      <c r="C2" s="39"/>
      <c r="D2" s="13"/>
      <c r="E2" s="13"/>
      <c r="F2" s="14"/>
      <c r="G2" s="14"/>
      <c r="H2" s="15"/>
      <c r="I2" s="15"/>
      <c r="J2" s="15"/>
      <c r="K2" s="15"/>
    </row>
    <row r="3" ht="39" customHeight="1" spans="1:15">
      <c r="A3" s="40" t="s">
        <v>2</v>
      </c>
      <c r="B3" s="41" t="s">
        <v>3</v>
      </c>
      <c r="C3" s="42" t="s">
        <v>4</v>
      </c>
      <c r="D3" s="41" t="s">
        <v>5</v>
      </c>
      <c r="E3" s="43" t="s">
        <v>6</v>
      </c>
      <c r="F3" s="44" t="s">
        <v>7</v>
      </c>
      <c r="G3" s="44" t="s">
        <v>8</v>
      </c>
      <c r="H3" s="44" t="s">
        <v>9</v>
      </c>
      <c r="I3" s="43" t="s">
        <v>21</v>
      </c>
      <c r="J3" s="43" t="s">
        <v>11</v>
      </c>
      <c r="K3" s="44" t="s">
        <v>12</v>
      </c>
      <c r="O3" s="66"/>
    </row>
    <row r="4" ht="20" customHeight="1" spans="1:11">
      <c r="A4" s="45">
        <v>46023</v>
      </c>
      <c r="B4" s="46">
        <v>13</v>
      </c>
      <c r="C4" s="46">
        <v>21</v>
      </c>
      <c r="D4" s="47">
        <v>14</v>
      </c>
      <c r="E4" s="47">
        <v>0</v>
      </c>
      <c r="F4" s="47">
        <v>10</v>
      </c>
      <c r="G4" s="47">
        <v>12</v>
      </c>
      <c r="H4" s="47">
        <v>0</v>
      </c>
      <c r="I4" s="67">
        <v>0</v>
      </c>
      <c r="J4" s="67">
        <v>50</v>
      </c>
      <c r="K4" s="25">
        <f>SUM(C4:J4)</f>
        <v>107</v>
      </c>
    </row>
    <row r="5" ht="20" customHeight="1" spans="1:11">
      <c r="A5" s="45">
        <v>46024</v>
      </c>
      <c r="B5" s="46">
        <v>17</v>
      </c>
      <c r="C5" s="46">
        <v>13</v>
      </c>
      <c r="D5" s="47">
        <v>64</v>
      </c>
      <c r="E5" s="47">
        <v>0</v>
      </c>
      <c r="F5" s="47">
        <v>24</v>
      </c>
      <c r="G5" s="47">
        <v>6</v>
      </c>
      <c r="H5" s="47">
        <v>0</v>
      </c>
      <c r="I5" s="67">
        <v>0</v>
      </c>
      <c r="J5" s="67">
        <v>138</v>
      </c>
      <c r="K5" s="25">
        <f t="shared" ref="K4:K34" si="0">SUM(C5:J5)</f>
        <v>245</v>
      </c>
    </row>
    <row r="6" ht="20" customHeight="1" spans="1:11">
      <c r="A6" s="45">
        <v>46025</v>
      </c>
      <c r="B6" s="46">
        <v>19</v>
      </c>
      <c r="C6" s="46">
        <v>15</v>
      </c>
      <c r="D6" s="47">
        <v>146</v>
      </c>
      <c r="E6" s="47">
        <v>0</v>
      </c>
      <c r="F6" s="47">
        <v>4</v>
      </c>
      <c r="G6" s="47">
        <v>6</v>
      </c>
      <c r="H6" s="47">
        <v>0</v>
      </c>
      <c r="I6" s="67">
        <v>4</v>
      </c>
      <c r="J6" s="67">
        <v>114</v>
      </c>
      <c r="K6" s="25">
        <f t="shared" si="0"/>
        <v>289</v>
      </c>
    </row>
    <row r="7" ht="20" customHeight="1" spans="1:11">
      <c r="A7" s="48">
        <v>46026</v>
      </c>
      <c r="B7" s="49"/>
      <c r="C7" s="49"/>
      <c r="D7" s="50"/>
      <c r="E7" s="50"/>
      <c r="F7" s="50"/>
      <c r="G7" s="50"/>
      <c r="H7" s="50"/>
      <c r="I7" s="68"/>
      <c r="J7" s="68"/>
      <c r="K7" s="25">
        <f t="shared" si="0"/>
        <v>0</v>
      </c>
    </row>
    <row r="8" ht="20" customHeight="1" spans="1:11">
      <c r="A8" s="45">
        <v>46027</v>
      </c>
      <c r="B8" s="46">
        <v>19</v>
      </c>
      <c r="C8" s="46">
        <v>16</v>
      </c>
      <c r="D8" s="47">
        <v>73</v>
      </c>
      <c r="E8" s="47">
        <v>18</v>
      </c>
      <c r="F8" s="47">
        <v>17</v>
      </c>
      <c r="G8" s="47">
        <v>6</v>
      </c>
      <c r="H8" s="47">
        <v>0</v>
      </c>
      <c r="I8" s="67">
        <v>0</v>
      </c>
      <c r="J8" s="67">
        <v>172</v>
      </c>
      <c r="K8" s="25">
        <f t="shared" si="0"/>
        <v>302</v>
      </c>
    </row>
    <row r="9" ht="20" customHeight="1" spans="1:11">
      <c r="A9" s="45">
        <v>46028</v>
      </c>
      <c r="B9" s="46">
        <v>19</v>
      </c>
      <c r="C9" s="46">
        <v>15</v>
      </c>
      <c r="D9" s="47">
        <v>38</v>
      </c>
      <c r="E9" s="47">
        <v>4</v>
      </c>
      <c r="F9" s="47">
        <v>28</v>
      </c>
      <c r="G9" s="47">
        <v>8</v>
      </c>
      <c r="H9" s="47">
        <v>0</v>
      </c>
      <c r="I9" s="67">
        <v>8</v>
      </c>
      <c r="J9" s="67">
        <v>156</v>
      </c>
      <c r="K9" s="25">
        <f t="shared" si="0"/>
        <v>257</v>
      </c>
    </row>
    <row r="10" ht="20" customHeight="1" spans="1:11">
      <c r="A10" s="51">
        <v>46029</v>
      </c>
      <c r="B10" s="52">
        <v>19</v>
      </c>
      <c r="C10" s="52">
        <v>16</v>
      </c>
      <c r="D10" s="53">
        <v>49</v>
      </c>
      <c r="E10" s="53">
        <v>6</v>
      </c>
      <c r="F10" s="53">
        <v>22</v>
      </c>
      <c r="G10" s="53">
        <v>6</v>
      </c>
      <c r="H10" s="53">
        <v>0</v>
      </c>
      <c r="I10" s="69">
        <v>10</v>
      </c>
      <c r="J10" s="58">
        <v>183</v>
      </c>
      <c r="K10" s="25">
        <f t="shared" si="0"/>
        <v>292</v>
      </c>
    </row>
    <row r="11" s="35" customFormat="1" ht="20" customHeight="1" spans="1:11">
      <c r="A11" s="51">
        <v>46030</v>
      </c>
      <c r="B11" s="54">
        <v>19</v>
      </c>
      <c r="C11" s="54">
        <v>15</v>
      </c>
      <c r="D11" s="54">
        <v>40</v>
      </c>
      <c r="E11" s="54">
        <v>0</v>
      </c>
      <c r="F11" s="54">
        <v>30</v>
      </c>
      <c r="G11" s="54">
        <v>1</v>
      </c>
      <c r="H11" s="54">
        <v>0</v>
      </c>
      <c r="I11" s="54">
        <v>3</v>
      </c>
      <c r="J11" s="54">
        <v>203</v>
      </c>
      <c r="K11" s="25">
        <f t="shared" si="0"/>
        <v>292</v>
      </c>
    </row>
    <row r="12" ht="20" customHeight="1" spans="1:11">
      <c r="A12" s="51">
        <v>46031</v>
      </c>
      <c r="B12" s="55">
        <v>19</v>
      </c>
      <c r="C12" s="55">
        <v>14</v>
      </c>
      <c r="D12" s="56">
        <v>16</v>
      </c>
      <c r="E12" s="56">
        <v>2</v>
      </c>
      <c r="F12" s="56">
        <v>22</v>
      </c>
      <c r="G12" s="56">
        <v>5</v>
      </c>
      <c r="H12" s="56">
        <v>0</v>
      </c>
      <c r="I12" s="70">
        <v>8</v>
      </c>
      <c r="J12" s="70">
        <v>200</v>
      </c>
      <c r="K12" s="25">
        <f t="shared" si="0"/>
        <v>267</v>
      </c>
    </row>
    <row r="13" ht="20" customHeight="1" spans="1:11">
      <c r="A13" s="51">
        <v>46032</v>
      </c>
      <c r="B13" s="54">
        <v>19</v>
      </c>
      <c r="C13" s="54">
        <v>8</v>
      </c>
      <c r="D13" s="57">
        <v>10</v>
      </c>
      <c r="E13" s="57">
        <v>8</v>
      </c>
      <c r="F13" s="57">
        <v>18</v>
      </c>
      <c r="G13" s="57">
        <v>3</v>
      </c>
      <c r="H13" s="57">
        <v>0</v>
      </c>
      <c r="I13" s="58">
        <v>0</v>
      </c>
      <c r="J13" s="58">
        <v>164</v>
      </c>
      <c r="K13" s="25">
        <f t="shared" si="0"/>
        <v>211</v>
      </c>
    </row>
    <row r="14" ht="20" customHeight="1" spans="1:11">
      <c r="A14" s="48">
        <v>46033</v>
      </c>
      <c r="B14" s="49"/>
      <c r="C14" s="49"/>
      <c r="D14" s="49"/>
      <c r="E14" s="49"/>
      <c r="F14" s="49"/>
      <c r="G14" s="49"/>
      <c r="H14" s="49"/>
      <c r="I14" s="49"/>
      <c r="J14" s="49"/>
      <c r="K14" s="25">
        <f t="shared" si="0"/>
        <v>0</v>
      </c>
    </row>
    <row r="15" ht="20" customHeight="1" spans="1:11">
      <c r="A15" s="51">
        <v>46034</v>
      </c>
      <c r="B15" s="55">
        <v>19</v>
      </c>
      <c r="C15" s="55">
        <v>18</v>
      </c>
      <c r="D15" s="56">
        <v>28</v>
      </c>
      <c r="E15" s="56">
        <v>3</v>
      </c>
      <c r="F15" s="56">
        <v>16</v>
      </c>
      <c r="G15" s="56">
        <v>8</v>
      </c>
      <c r="H15" s="56">
        <v>0</v>
      </c>
      <c r="I15" s="70">
        <v>0</v>
      </c>
      <c r="J15" s="70">
        <v>158</v>
      </c>
      <c r="K15" s="25">
        <f t="shared" si="0"/>
        <v>231</v>
      </c>
    </row>
    <row r="16" ht="20" customHeight="1" spans="1:11">
      <c r="A16" s="51">
        <v>46035</v>
      </c>
      <c r="B16" s="54">
        <v>19</v>
      </c>
      <c r="C16" s="54">
        <v>31</v>
      </c>
      <c r="D16" s="57">
        <v>25</v>
      </c>
      <c r="E16" s="57">
        <v>35</v>
      </c>
      <c r="F16" s="57">
        <v>16</v>
      </c>
      <c r="G16" s="57">
        <v>5</v>
      </c>
      <c r="H16" s="57">
        <v>0</v>
      </c>
      <c r="I16" s="58">
        <v>0</v>
      </c>
      <c r="J16" s="58">
        <v>171</v>
      </c>
      <c r="K16" s="25">
        <f t="shared" si="0"/>
        <v>283</v>
      </c>
    </row>
    <row r="17" ht="20" customHeight="1" spans="1:11">
      <c r="A17" s="51">
        <v>46036</v>
      </c>
      <c r="B17" s="54">
        <v>19</v>
      </c>
      <c r="C17" s="54">
        <v>28</v>
      </c>
      <c r="D17" s="57">
        <v>30</v>
      </c>
      <c r="E17" s="57">
        <v>110</v>
      </c>
      <c r="F17" s="57">
        <v>22</v>
      </c>
      <c r="G17" s="57">
        <v>5</v>
      </c>
      <c r="H17" s="57">
        <v>0</v>
      </c>
      <c r="I17" s="58">
        <v>0</v>
      </c>
      <c r="J17" s="58">
        <v>138</v>
      </c>
      <c r="K17" s="25">
        <f t="shared" si="0"/>
        <v>333</v>
      </c>
    </row>
    <row r="18" s="35" customFormat="1" ht="20" customHeight="1" spans="1:11">
      <c r="A18" s="51">
        <v>46037</v>
      </c>
      <c r="B18" s="54">
        <v>19</v>
      </c>
      <c r="C18" s="54">
        <v>19</v>
      </c>
      <c r="D18" s="57">
        <v>30</v>
      </c>
      <c r="E18" s="57">
        <v>31</v>
      </c>
      <c r="F18" s="57">
        <v>28</v>
      </c>
      <c r="G18" s="57">
        <v>4</v>
      </c>
      <c r="H18" s="57">
        <v>0</v>
      </c>
      <c r="I18" s="57">
        <v>0</v>
      </c>
      <c r="J18" s="57">
        <v>106</v>
      </c>
      <c r="K18" s="25">
        <f t="shared" si="0"/>
        <v>218</v>
      </c>
    </row>
    <row r="19" ht="20" customHeight="1" spans="1:11">
      <c r="A19" s="51">
        <v>46038</v>
      </c>
      <c r="B19" s="55">
        <v>19</v>
      </c>
      <c r="C19" s="55">
        <v>18</v>
      </c>
      <c r="D19" s="56">
        <v>24</v>
      </c>
      <c r="E19" s="56">
        <v>3</v>
      </c>
      <c r="F19" s="56">
        <v>40</v>
      </c>
      <c r="G19" s="56">
        <v>3</v>
      </c>
      <c r="H19" s="56">
        <v>0</v>
      </c>
      <c r="I19" s="57">
        <v>1</v>
      </c>
      <c r="J19" s="57">
        <v>84</v>
      </c>
      <c r="K19" s="25">
        <f t="shared" si="0"/>
        <v>173</v>
      </c>
    </row>
    <row r="20" ht="20" customHeight="1" spans="1:11">
      <c r="A20" s="51">
        <v>46039</v>
      </c>
      <c r="B20" s="54">
        <v>19</v>
      </c>
      <c r="C20" s="54">
        <v>24</v>
      </c>
      <c r="D20" s="54">
        <v>24</v>
      </c>
      <c r="E20" s="54">
        <v>4</v>
      </c>
      <c r="F20" s="54">
        <v>30</v>
      </c>
      <c r="G20" s="54">
        <v>4</v>
      </c>
      <c r="H20" s="54">
        <v>0</v>
      </c>
      <c r="I20" s="54">
        <v>1</v>
      </c>
      <c r="J20" s="54">
        <v>112</v>
      </c>
      <c r="K20" s="25">
        <f t="shared" si="0"/>
        <v>199</v>
      </c>
    </row>
    <row r="21" ht="20" customHeight="1" spans="1:11">
      <c r="A21" s="48">
        <v>46040</v>
      </c>
      <c r="B21" s="49"/>
      <c r="C21" s="49"/>
      <c r="D21" s="49"/>
      <c r="E21" s="49"/>
      <c r="F21" s="49"/>
      <c r="G21" s="49"/>
      <c r="H21" s="49"/>
      <c r="I21" s="49"/>
      <c r="J21" s="49"/>
      <c r="K21" s="25">
        <f t="shared" si="0"/>
        <v>0</v>
      </c>
    </row>
    <row r="22" ht="20" customHeight="1" spans="1:11">
      <c r="A22" s="51">
        <v>46041</v>
      </c>
      <c r="B22" s="54">
        <v>19</v>
      </c>
      <c r="C22" s="54">
        <v>49</v>
      </c>
      <c r="D22" s="57">
        <v>43</v>
      </c>
      <c r="E22" s="57">
        <v>5</v>
      </c>
      <c r="F22" s="57">
        <v>22</v>
      </c>
      <c r="G22" s="57">
        <v>11</v>
      </c>
      <c r="H22" s="58">
        <v>0</v>
      </c>
      <c r="I22" s="71">
        <v>0</v>
      </c>
      <c r="J22" s="71">
        <v>156</v>
      </c>
      <c r="K22" s="25">
        <f t="shared" si="0"/>
        <v>286</v>
      </c>
    </row>
    <row r="23" ht="20" customHeight="1" spans="1:11">
      <c r="A23" s="51">
        <v>46042</v>
      </c>
      <c r="B23" s="54">
        <v>18</v>
      </c>
      <c r="C23" s="54">
        <v>29</v>
      </c>
      <c r="D23" s="54">
        <v>26</v>
      </c>
      <c r="E23" s="54">
        <v>19</v>
      </c>
      <c r="F23" s="54">
        <v>20</v>
      </c>
      <c r="G23" s="54">
        <v>5</v>
      </c>
      <c r="H23" s="54">
        <v>0</v>
      </c>
      <c r="I23" s="54">
        <v>1</v>
      </c>
      <c r="J23" s="54">
        <v>96</v>
      </c>
      <c r="K23" s="25">
        <f t="shared" si="0"/>
        <v>196</v>
      </c>
    </row>
    <row r="24" ht="20" customHeight="1" spans="1:11">
      <c r="A24" s="51">
        <v>46043</v>
      </c>
      <c r="B24" s="59">
        <v>19</v>
      </c>
      <c r="C24" s="59">
        <v>37</v>
      </c>
      <c r="D24" s="59">
        <v>9</v>
      </c>
      <c r="E24" s="59">
        <v>23</v>
      </c>
      <c r="F24" s="59">
        <v>14</v>
      </c>
      <c r="G24" s="59">
        <v>8</v>
      </c>
      <c r="H24" s="59">
        <v>0</v>
      </c>
      <c r="I24" s="59">
        <v>0</v>
      </c>
      <c r="J24" s="59">
        <v>97</v>
      </c>
      <c r="K24" s="25">
        <f t="shared" si="0"/>
        <v>188</v>
      </c>
    </row>
    <row r="25" s="35" customFormat="1" ht="20" customHeight="1" spans="1:11">
      <c r="A25" s="51">
        <v>46044</v>
      </c>
      <c r="B25" s="54">
        <v>19</v>
      </c>
      <c r="C25" s="54">
        <v>36</v>
      </c>
      <c r="D25" s="54">
        <v>25</v>
      </c>
      <c r="E25" s="54">
        <v>18</v>
      </c>
      <c r="F25" s="54">
        <v>14</v>
      </c>
      <c r="G25" s="54">
        <v>7</v>
      </c>
      <c r="H25" s="54">
        <v>0</v>
      </c>
      <c r="I25" s="54">
        <v>1</v>
      </c>
      <c r="J25" s="54">
        <v>139</v>
      </c>
      <c r="K25" s="25">
        <f t="shared" si="0"/>
        <v>240</v>
      </c>
    </row>
    <row r="26" ht="20" customHeight="1" spans="1:11">
      <c r="A26" s="51">
        <v>46045</v>
      </c>
      <c r="B26" s="54">
        <v>19</v>
      </c>
      <c r="C26" s="54">
        <v>39</v>
      </c>
      <c r="D26" s="54">
        <v>15</v>
      </c>
      <c r="E26" s="54">
        <v>4</v>
      </c>
      <c r="F26" s="54">
        <v>22</v>
      </c>
      <c r="G26" s="54">
        <v>7</v>
      </c>
      <c r="H26" s="54">
        <v>0</v>
      </c>
      <c r="I26" s="54">
        <v>1</v>
      </c>
      <c r="J26" s="54">
        <v>105</v>
      </c>
      <c r="K26" s="25">
        <f t="shared" si="0"/>
        <v>193</v>
      </c>
    </row>
    <row r="27" ht="20" customHeight="1" spans="1:11">
      <c r="A27" s="51">
        <v>46046</v>
      </c>
      <c r="B27" s="54">
        <v>19</v>
      </c>
      <c r="C27" s="54">
        <v>31</v>
      </c>
      <c r="D27" s="54">
        <v>26</v>
      </c>
      <c r="E27" s="54">
        <v>34</v>
      </c>
      <c r="F27" s="54">
        <v>14</v>
      </c>
      <c r="G27" s="54">
        <v>14</v>
      </c>
      <c r="H27" s="54">
        <v>0</v>
      </c>
      <c r="I27" s="54">
        <v>0</v>
      </c>
      <c r="J27" s="54">
        <v>109</v>
      </c>
      <c r="K27" s="25">
        <f t="shared" si="0"/>
        <v>228</v>
      </c>
    </row>
    <row r="28" ht="20" customHeight="1" spans="1:11">
      <c r="A28" s="48">
        <v>46047</v>
      </c>
      <c r="B28" s="49"/>
      <c r="C28" s="49"/>
      <c r="D28" s="49"/>
      <c r="E28" s="49"/>
      <c r="F28" s="49"/>
      <c r="G28" s="49"/>
      <c r="H28" s="49"/>
      <c r="I28" s="49"/>
      <c r="J28" s="49"/>
      <c r="K28" s="25">
        <f t="shared" si="0"/>
        <v>0</v>
      </c>
    </row>
    <row r="29" ht="20" customHeight="1" spans="1:11">
      <c r="A29" s="60">
        <v>46048</v>
      </c>
      <c r="B29" s="61"/>
      <c r="C29" s="61"/>
      <c r="D29" s="61"/>
      <c r="E29" s="61"/>
      <c r="F29" s="61"/>
      <c r="G29" s="61"/>
      <c r="H29" s="61"/>
      <c r="I29" s="61"/>
      <c r="J29" s="61"/>
      <c r="K29" s="72">
        <f t="shared" si="0"/>
        <v>0</v>
      </c>
    </row>
    <row r="30" ht="20" customHeight="1" spans="1:11">
      <c r="A30" s="51">
        <v>46049</v>
      </c>
      <c r="B30" s="54">
        <v>18</v>
      </c>
      <c r="C30" s="54">
        <v>56</v>
      </c>
      <c r="D30" s="54">
        <v>21</v>
      </c>
      <c r="E30" s="54">
        <v>2</v>
      </c>
      <c r="F30" s="54">
        <v>38</v>
      </c>
      <c r="G30" s="54">
        <v>5</v>
      </c>
      <c r="H30" s="54">
        <v>0</v>
      </c>
      <c r="I30" s="54">
        <v>2</v>
      </c>
      <c r="J30" s="54">
        <v>134</v>
      </c>
      <c r="K30" s="25">
        <f t="shared" si="0"/>
        <v>258</v>
      </c>
    </row>
    <row r="31" ht="20" customHeight="1" spans="1:11">
      <c r="A31" s="51">
        <v>46050</v>
      </c>
      <c r="B31" s="62"/>
      <c r="C31" s="62"/>
      <c r="D31" s="62"/>
      <c r="E31" s="62"/>
      <c r="F31" s="62"/>
      <c r="G31" s="62"/>
      <c r="H31" s="62"/>
      <c r="I31" s="54"/>
      <c r="J31" s="54"/>
      <c r="K31" s="25">
        <f t="shared" si="0"/>
        <v>0</v>
      </c>
    </row>
    <row r="32" s="35" customFormat="1" ht="20" customHeight="1" spans="1:11">
      <c r="A32" s="51">
        <v>46051</v>
      </c>
      <c r="B32" s="54"/>
      <c r="C32" s="54"/>
      <c r="D32" s="54"/>
      <c r="E32" s="54"/>
      <c r="F32" s="54"/>
      <c r="G32" s="54"/>
      <c r="H32" s="54"/>
      <c r="I32" s="54"/>
      <c r="J32" s="54"/>
      <c r="K32" s="25">
        <f t="shared" si="0"/>
        <v>0</v>
      </c>
    </row>
    <row r="33" ht="20" customHeight="1" spans="1:11">
      <c r="A33" s="51">
        <v>46052</v>
      </c>
      <c r="B33" s="55"/>
      <c r="C33" s="55"/>
      <c r="D33" s="55"/>
      <c r="E33" s="55"/>
      <c r="F33" s="55"/>
      <c r="G33" s="55"/>
      <c r="H33" s="55"/>
      <c r="I33" s="55"/>
      <c r="J33" s="55"/>
      <c r="K33" s="25">
        <f t="shared" si="0"/>
        <v>0</v>
      </c>
    </row>
    <row r="34" ht="20" customHeight="1" spans="1:11">
      <c r="A34" s="51">
        <v>46053</v>
      </c>
      <c r="B34" s="55"/>
      <c r="C34" s="55"/>
      <c r="D34" s="55"/>
      <c r="E34" s="55"/>
      <c r="F34" s="55"/>
      <c r="G34" s="55"/>
      <c r="H34" s="55"/>
      <c r="I34" s="55"/>
      <c r="J34" s="55"/>
      <c r="K34" s="25">
        <f t="shared" si="0"/>
        <v>0</v>
      </c>
    </row>
    <row r="35" ht="25.35" customHeight="1" spans="1:11">
      <c r="A35" s="63" t="s">
        <v>13</v>
      </c>
      <c r="B35" s="64">
        <f>SUM(B4:B34)</f>
        <v>408</v>
      </c>
      <c r="C35" s="64">
        <f t="shared" ref="B35:K35" si="1">SUM(C4:C34)</f>
        <v>548</v>
      </c>
      <c r="D35" s="64">
        <f t="shared" si="1"/>
        <v>776</v>
      </c>
      <c r="E35" s="64">
        <f t="shared" si="1"/>
        <v>329</v>
      </c>
      <c r="F35" s="64">
        <f t="shared" si="1"/>
        <v>471</v>
      </c>
      <c r="G35" s="64">
        <f t="shared" si="1"/>
        <v>139</v>
      </c>
      <c r="H35" s="64">
        <f t="shared" si="1"/>
        <v>0</v>
      </c>
      <c r="I35" s="64">
        <f t="shared" si="1"/>
        <v>40</v>
      </c>
      <c r="J35" s="64">
        <f t="shared" si="1"/>
        <v>2985</v>
      </c>
      <c r="K35" s="64">
        <f t="shared" si="1"/>
        <v>5288</v>
      </c>
    </row>
    <row r="36" ht="25.35" customHeight="1"/>
    <row r="37" ht="25.35" customHeight="1"/>
    <row r="38" ht="25.35" customHeight="1"/>
    <row r="39" ht="25.35" customHeight="1"/>
    <row r="40" ht="25.35" customHeight="1"/>
    <row r="41" ht="25.35" customHeight="1"/>
    <row r="42" ht="25.35" customHeight="1"/>
    <row r="43" ht="25.35" customHeight="1"/>
    <row r="44" ht="25.35" customHeight="1"/>
    <row r="45" ht="25.35" customHeight="1"/>
    <row r="46" ht="28.7" customHeight="1"/>
  </sheetData>
  <mergeCells count="3">
    <mergeCell ref="A1:K1"/>
    <mergeCell ref="A2:C2"/>
    <mergeCell ref="H2:K2"/>
  </mergeCells>
  <pageMargins left="0.196527777777778" right="0.196527777777778" top="0.677083333333333" bottom="0.393055555555556" header="0.196527777777778" footer="0.196527777777778"/>
  <pageSetup paperSize="9" scale="36" fitToHeight="0" orientation="portrait" horizontalDpi="600"/>
  <headerFooter alignWithMargins="0">
    <oddHeader>&amp;L&amp;G&amp;C&amp;14&amp;BDISPOSAFE HEALTH AND LIFE CARE LIMITED, &amp;10
PLOT NO 37A SECTOR-6, FARIDABAD 121006, HARYANA, INDIA&amp;RRF-DPR:7.5/05:01:00
Date: 02.12.2024
  Page &amp;P of &amp;N</oddHeader>
    <oddFooter>&amp;L&amp;BPRODUCTION SUPERVISOR&amp;R&amp;B
PRODUCTION MANAGER</oddFooter>
  </headerFooter>
  <drawing r:id="rId1"/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2"/>
  <sheetViews>
    <sheetView zoomScale="85" zoomScaleNormal="85" workbookViewId="0">
      <selection activeCell="D12" sqref="D12"/>
    </sheetView>
  </sheetViews>
  <sheetFormatPr defaultColWidth="9.14285714285714" defaultRowHeight="15"/>
  <cols>
    <col min="1" max="1" width="21.4285714285714" customWidth="1"/>
    <col min="2" max="2" width="14.0285714285714" customWidth="1"/>
    <col min="3" max="3" width="14.4" customWidth="1"/>
    <col min="4" max="4" width="13.5333333333333" customWidth="1"/>
    <col min="5" max="5" width="15.0380952380952" customWidth="1"/>
    <col min="6" max="6" width="12.6666666666667" customWidth="1"/>
    <col min="7" max="7" width="12.8571428571429" customWidth="1"/>
    <col min="8" max="9" width="15.0666666666667" customWidth="1"/>
    <col min="10" max="10" width="12.1428571428571" customWidth="1"/>
  </cols>
  <sheetData>
    <row r="1" customHeight="1" spans="1:10">
      <c r="A1" s="1"/>
      <c r="B1" s="2" t="s">
        <v>32</v>
      </c>
      <c r="C1" s="3"/>
      <c r="D1" s="3"/>
      <c r="E1" s="3"/>
      <c r="F1" s="3"/>
      <c r="G1" s="3"/>
      <c r="H1" s="4"/>
      <c r="I1" s="26" t="s">
        <v>33</v>
      </c>
      <c r="J1" s="27"/>
    </row>
    <row r="2" customHeight="1" spans="1:10">
      <c r="A2" s="1"/>
      <c r="B2" s="5"/>
      <c r="C2" s="6"/>
      <c r="D2" s="6"/>
      <c r="E2" s="6"/>
      <c r="F2" s="6"/>
      <c r="G2" s="6"/>
      <c r="H2" s="7"/>
      <c r="I2" s="26" t="s">
        <v>34</v>
      </c>
      <c r="J2" s="27"/>
    </row>
    <row r="3" customHeight="1" spans="1:10">
      <c r="A3" s="1"/>
      <c r="B3" s="8"/>
      <c r="C3" s="9"/>
      <c r="D3" s="9"/>
      <c r="E3" s="9"/>
      <c r="F3" s="9"/>
      <c r="G3" s="9"/>
      <c r="H3" s="10"/>
      <c r="I3" s="26" t="s">
        <v>35</v>
      </c>
      <c r="J3" s="27"/>
    </row>
    <row r="4" spans="1:10">
      <c r="A4" s="1"/>
      <c r="B4" s="11" t="s">
        <v>36</v>
      </c>
      <c r="C4" s="11"/>
      <c r="D4" s="11"/>
      <c r="E4" s="11"/>
      <c r="F4" s="11"/>
      <c r="G4" s="11"/>
      <c r="H4" s="11"/>
      <c r="I4" s="28" t="s">
        <v>37</v>
      </c>
      <c r="J4" s="29"/>
    </row>
    <row r="5" spans="1:10">
      <c r="A5" s="1"/>
      <c r="B5" s="11" t="s">
        <v>38</v>
      </c>
      <c r="C5" s="11"/>
      <c r="D5" s="11"/>
      <c r="E5" s="11"/>
      <c r="F5" s="11"/>
      <c r="G5" s="11"/>
      <c r="H5" s="11"/>
      <c r="I5" s="30"/>
      <c r="J5" s="31"/>
    </row>
    <row r="7" ht="24" customHeight="1" spans="1:10">
      <c r="A7" s="12" t="s">
        <v>39</v>
      </c>
      <c r="B7" s="12"/>
      <c r="C7" s="13"/>
      <c r="D7" s="13"/>
      <c r="E7" s="14"/>
      <c r="F7" s="14"/>
      <c r="G7" s="15" t="s">
        <v>40</v>
      </c>
      <c r="H7" s="15"/>
      <c r="I7" s="15"/>
      <c r="J7" s="15"/>
    </row>
    <row r="8" ht="60" customHeight="1" spans="1:10">
      <c r="A8" s="16" t="s">
        <v>41</v>
      </c>
      <c r="B8" s="17" t="s">
        <v>4</v>
      </c>
      <c r="C8" s="17" t="s">
        <v>5</v>
      </c>
      <c r="D8" s="18" t="s">
        <v>6</v>
      </c>
      <c r="E8" s="17" t="s">
        <v>7</v>
      </c>
      <c r="F8" s="17" t="s">
        <v>8</v>
      </c>
      <c r="G8" s="17" t="s">
        <v>9</v>
      </c>
      <c r="H8" s="18" t="s">
        <v>10</v>
      </c>
      <c r="I8" s="18" t="s">
        <v>11</v>
      </c>
      <c r="J8" s="17" t="s">
        <v>12</v>
      </c>
    </row>
    <row r="9" ht="50" customHeight="1" spans="1:11">
      <c r="A9" s="19" t="s">
        <v>42</v>
      </c>
      <c r="B9" s="20">
        <f>'APRIL 25'!C30</f>
        <v>258</v>
      </c>
      <c r="C9" s="20">
        <f>'APRIL 25'!D30</f>
        <v>487</v>
      </c>
      <c r="D9" s="20">
        <f>'APRIL 25'!E30</f>
        <v>312</v>
      </c>
      <c r="E9" s="20">
        <f>'APRIL 25'!F30</f>
        <v>350</v>
      </c>
      <c r="F9" s="20">
        <f>'APRIL 25'!G30</f>
        <v>51</v>
      </c>
      <c r="G9" s="20">
        <f>'APRIL 25'!H30</f>
        <v>14</v>
      </c>
      <c r="H9" s="20">
        <f>'APRIL 25'!I30</f>
        <v>76</v>
      </c>
      <c r="I9" s="20">
        <f>'APRIL 25'!J30</f>
        <v>78</v>
      </c>
      <c r="J9" s="20">
        <f>'APRIL 25'!K30</f>
        <v>1550</v>
      </c>
      <c r="K9" s="32"/>
    </row>
    <row r="10" ht="50" customHeight="1" spans="1:11">
      <c r="A10" s="19" t="s">
        <v>43</v>
      </c>
      <c r="B10" s="20">
        <f>'MAY 25'!C35</f>
        <v>313</v>
      </c>
      <c r="C10" s="20">
        <f>'MAY 25'!D35</f>
        <v>327</v>
      </c>
      <c r="D10" s="20">
        <f>'MAY 25'!E35</f>
        <v>558</v>
      </c>
      <c r="E10" s="20">
        <f>'MAY 25'!F35</f>
        <v>729</v>
      </c>
      <c r="F10" s="20">
        <f>'MAY 25'!G35</f>
        <v>97</v>
      </c>
      <c r="G10" s="20">
        <f>'MAY 25'!H35</f>
        <v>40</v>
      </c>
      <c r="H10" s="20">
        <f>'MAY 25'!I35</f>
        <v>159</v>
      </c>
      <c r="I10" s="20">
        <f>'MAY 25'!J35</f>
        <v>0</v>
      </c>
      <c r="J10" s="20">
        <f>'MAY 25'!K35</f>
        <v>2223</v>
      </c>
      <c r="K10" s="32"/>
    </row>
    <row r="11" ht="50" customHeight="1" spans="1:11">
      <c r="A11" s="19" t="s">
        <v>44</v>
      </c>
      <c r="B11" s="20">
        <f>'JUNE 25'!C34</f>
        <v>670</v>
      </c>
      <c r="C11" s="20">
        <f>'JUNE 25'!D34</f>
        <v>685</v>
      </c>
      <c r="D11" s="20">
        <f>'JUNE 25'!E34</f>
        <v>1255</v>
      </c>
      <c r="E11" s="20">
        <f>'JUNE 25'!F34</f>
        <v>297</v>
      </c>
      <c r="F11" s="20">
        <f>'JUNE 25'!G34</f>
        <v>136</v>
      </c>
      <c r="G11" s="20">
        <f>'JUNE 25'!H34</f>
        <v>104</v>
      </c>
      <c r="H11" s="20">
        <f>'JUNE 25'!I34</f>
        <v>231</v>
      </c>
      <c r="I11" s="20">
        <f>'JUNE 25'!J34</f>
        <v>810</v>
      </c>
      <c r="J11" s="20">
        <f>'JUNE 25'!K34</f>
        <v>4188</v>
      </c>
      <c r="K11" s="32"/>
    </row>
    <row r="12" ht="50" customHeight="1" spans="1:11">
      <c r="A12" s="19" t="s">
        <v>45</v>
      </c>
      <c r="B12" s="20">
        <f>'JULY 25'!C35</f>
        <v>892</v>
      </c>
      <c r="C12" s="20">
        <f>'JULY 25'!D35</f>
        <v>437</v>
      </c>
      <c r="D12" s="20">
        <f>'JULY 25'!E35</f>
        <v>198</v>
      </c>
      <c r="E12" s="20">
        <f>'JULY 25'!F35</f>
        <v>533</v>
      </c>
      <c r="F12" s="20">
        <f>'JULY 25'!G35</f>
        <v>130</v>
      </c>
      <c r="G12" s="20">
        <f>'JULY 25'!H35</f>
        <v>74</v>
      </c>
      <c r="H12" s="20">
        <f>'JULY 25'!I35</f>
        <v>353</v>
      </c>
      <c r="I12" s="20">
        <f>'JULY 25'!J35</f>
        <v>1315</v>
      </c>
      <c r="J12" s="20">
        <f>'JULY 25'!K35</f>
        <v>3932</v>
      </c>
      <c r="K12" s="32"/>
    </row>
    <row r="13" ht="50" customHeight="1" spans="1:11">
      <c r="A13" s="19" t="s">
        <v>46</v>
      </c>
      <c r="B13" s="20">
        <f>'AUGUST 25'!C35</f>
        <v>353</v>
      </c>
      <c r="C13" s="20">
        <f>'AUGUST 25'!D35</f>
        <v>510</v>
      </c>
      <c r="D13" s="20">
        <f>'AUGUST 25'!E35</f>
        <v>198</v>
      </c>
      <c r="E13" s="20">
        <f>'AUGUST 25'!F35</f>
        <v>335</v>
      </c>
      <c r="F13" s="20">
        <f>'AUGUST 25'!G35</f>
        <v>78</v>
      </c>
      <c r="G13" s="20">
        <f>'AUGUST 25'!H35</f>
        <v>21</v>
      </c>
      <c r="H13" s="20">
        <f>'AUGUST 25'!I35</f>
        <v>475</v>
      </c>
      <c r="I13" s="20">
        <f>'AUGUST 25'!J35</f>
        <v>770</v>
      </c>
      <c r="J13" s="20">
        <f>'AUGUST 25'!K35</f>
        <v>2740</v>
      </c>
      <c r="K13" s="32"/>
    </row>
    <row r="14" ht="50" customHeight="1" spans="1:11">
      <c r="A14" s="19" t="s">
        <v>47</v>
      </c>
      <c r="B14" s="20"/>
      <c r="C14" s="20"/>
      <c r="D14" s="20"/>
      <c r="E14" s="20"/>
      <c r="F14" s="20"/>
      <c r="G14" s="20"/>
      <c r="H14" s="20"/>
      <c r="I14" s="20"/>
      <c r="J14" s="33"/>
      <c r="K14" s="32"/>
    </row>
    <row r="15" ht="50" customHeight="1" spans="1:11">
      <c r="A15" s="19" t="s">
        <v>48</v>
      </c>
      <c r="B15" s="20"/>
      <c r="C15" s="20"/>
      <c r="D15" s="20"/>
      <c r="E15" s="20"/>
      <c r="F15" s="20"/>
      <c r="G15" s="20"/>
      <c r="H15" s="20"/>
      <c r="I15" s="20"/>
      <c r="J15" s="33"/>
      <c r="K15" s="32"/>
    </row>
    <row r="16" ht="50" customHeight="1" spans="1:11">
      <c r="A16" s="19" t="s">
        <v>49</v>
      </c>
      <c r="B16" s="20"/>
      <c r="C16" s="20"/>
      <c r="D16" s="20"/>
      <c r="E16" s="20"/>
      <c r="F16" s="20"/>
      <c r="G16" s="20"/>
      <c r="H16" s="20"/>
      <c r="I16" s="20"/>
      <c r="J16" s="33"/>
      <c r="K16" s="32"/>
    </row>
    <row r="17" ht="50" customHeight="1" spans="1:11">
      <c r="A17" s="19" t="s">
        <v>50</v>
      </c>
      <c r="B17" s="20"/>
      <c r="C17" s="20"/>
      <c r="D17" s="20"/>
      <c r="E17" s="20"/>
      <c r="F17" s="20"/>
      <c r="G17" s="20"/>
      <c r="H17" s="20"/>
      <c r="I17" s="20"/>
      <c r="J17" s="33"/>
      <c r="K17" s="32"/>
    </row>
    <row r="18" ht="50" customHeight="1" spans="1:11">
      <c r="A18" s="19" t="s">
        <v>51</v>
      </c>
      <c r="B18" s="20"/>
      <c r="C18" s="20"/>
      <c r="D18" s="20"/>
      <c r="E18" s="20"/>
      <c r="F18" s="20"/>
      <c r="G18" s="20"/>
      <c r="H18" s="20"/>
      <c r="I18" s="20"/>
      <c r="J18" s="33"/>
      <c r="K18" s="32"/>
    </row>
    <row r="19" ht="50" customHeight="1" spans="1:11">
      <c r="A19" s="19" t="s">
        <v>52</v>
      </c>
      <c r="B19" s="20"/>
      <c r="C19" s="20"/>
      <c r="D19" s="20"/>
      <c r="E19" s="20"/>
      <c r="F19" s="20"/>
      <c r="G19" s="20"/>
      <c r="H19" s="20"/>
      <c r="I19" s="20"/>
      <c r="J19" s="33"/>
      <c r="K19" s="32"/>
    </row>
    <row r="20" ht="50" customHeight="1" spans="1:11">
      <c r="A20" s="19" t="s">
        <v>53</v>
      </c>
      <c r="B20" s="20"/>
      <c r="C20" s="20"/>
      <c r="D20" s="20"/>
      <c r="E20" s="20"/>
      <c r="F20" s="20"/>
      <c r="G20" s="20"/>
      <c r="H20" s="20"/>
      <c r="I20" s="20"/>
      <c r="J20" s="33"/>
      <c r="K20" s="32"/>
    </row>
    <row r="21" ht="60" customHeight="1" spans="1:10">
      <c r="A21" s="21" t="s">
        <v>13</v>
      </c>
      <c r="B21" s="22">
        <f>SUM(B9:B20)</f>
        <v>2486</v>
      </c>
      <c r="C21" s="22">
        <f t="shared" ref="C21:J21" si="0">SUM(C9:C20)</f>
        <v>2446</v>
      </c>
      <c r="D21" s="22">
        <f t="shared" si="0"/>
        <v>2521</v>
      </c>
      <c r="E21" s="22">
        <f t="shared" si="0"/>
        <v>2244</v>
      </c>
      <c r="F21" s="22">
        <f t="shared" si="0"/>
        <v>492</v>
      </c>
      <c r="G21" s="22">
        <f t="shared" si="0"/>
        <v>253</v>
      </c>
      <c r="H21" s="22">
        <f t="shared" si="0"/>
        <v>1294</v>
      </c>
      <c r="I21" s="22">
        <f t="shared" si="0"/>
        <v>2973</v>
      </c>
      <c r="J21" s="22">
        <f t="shared" si="0"/>
        <v>14633</v>
      </c>
    </row>
    <row r="26" spans="1:2">
      <c r="A26" s="23" t="s">
        <v>4</v>
      </c>
      <c r="B26" s="1">
        <f>B21</f>
        <v>2486</v>
      </c>
    </row>
    <row r="27" spans="1:2">
      <c r="A27" s="23" t="s">
        <v>54</v>
      </c>
      <c r="B27" s="1">
        <f>C21</f>
        <v>2446</v>
      </c>
    </row>
    <row r="28" spans="1:2">
      <c r="A28" s="23" t="s">
        <v>55</v>
      </c>
      <c r="B28" s="1">
        <f>D21</f>
        <v>2521</v>
      </c>
    </row>
    <row r="29" spans="1:2">
      <c r="A29" s="23" t="s">
        <v>56</v>
      </c>
      <c r="B29" s="1">
        <f>E21</f>
        <v>2244</v>
      </c>
    </row>
    <row r="30" spans="1:2">
      <c r="A30" s="23" t="s">
        <v>57</v>
      </c>
      <c r="B30" s="1">
        <f>F21</f>
        <v>492</v>
      </c>
    </row>
    <row r="31" spans="1:2">
      <c r="A31" s="23" t="s">
        <v>58</v>
      </c>
      <c r="B31" s="1">
        <f>I21</f>
        <v>2973</v>
      </c>
    </row>
    <row r="32" spans="1:2">
      <c r="A32" s="24" t="s">
        <v>59</v>
      </c>
      <c r="B32" s="25">
        <f>SUM(B26:B31)</f>
        <v>13162</v>
      </c>
    </row>
  </sheetData>
  <mergeCells count="7">
    <mergeCell ref="B4:H4"/>
    <mergeCell ref="B5:H5"/>
    <mergeCell ref="A7:B7"/>
    <mergeCell ref="G7:J7"/>
    <mergeCell ref="A1:A5"/>
    <mergeCell ref="I4:J5"/>
    <mergeCell ref="B1:H3"/>
  </mergeCells>
  <pageMargins left="0.251388888888889" right="0.251388888888889" top="0.251388888888889" bottom="0.251388888888889" header="0.251388888888889" footer="0.251388888888889"/>
  <pageSetup paperSize="9" scale="63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APRIL 25</vt:lpstr>
      <vt:lpstr>MAY 25</vt:lpstr>
      <vt:lpstr>JUNE 25</vt:lpstr>
      <vt:lpstr>JULY 25</vt:lpstr>
      <vt:lpstr>AUGUST 25</vt:lpstr>
      <vt:lpstr>SEPTEMBER 25</vt:lpstr>
      <vt:lpstr>OCTOBER 25</vt:lpstr>
      <vt:lpstr>NOVEMBER 25</vt:lpstr>
      <vt:lpstr>DECEMBER 25</vt:lpstr>
      <vt:lpstr>JANUARY 26</vt:lpstr>
      <vt:lpstr>YEARLY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</dc:creator>
  <cp:lastModifiedBy>PC-134</cp:lastModifiedBy>
  <dcterms:created xsi:type="dcterms:W3CDTF">2014-11-09T08:33:00Z</dcterms:created>
  <cp:lastPrinted>2021-03-15T05:58:00Z</cp:lastPrinted>
  <dcterms:modified xsi:type="dcterms:W3CDTF">2026-01-28T03:53:34Z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EEA1C41F4AE3418B9B9BAA252023C6CE_12</vt:lpwstr>
  </property>
  <property fmtid="{D5CDD505-2E9C-101B-9397-08002B2CF9AE}" pid="3" name="KSOProductBuildVer">
    <vt:lpwstr>1033-12.2.0.21179</vt:lpwstr>
  </property>
</Properties>
</file>