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80" firstSheet="2" activeTab="11"/>
  </bookViews>
  <sheets>
    <sheet name="FORMATE" sheetId="2" state="hidden" r:id="rId1"/>
    <sheet name="4-2-25" sheetId="1" state="hidden" r:id="rId2"/>
    <sheet name="APRIL 25" sheetId="5" r:id="rId3"/>
    <sheet name="MAY 25" sheetId="8" r:id="rId4"/>
    <sheet name="JUNE 25" sheetId="9" r:id="rId5"/>
    <sheet name="JULY 25" sheetId="10" r:id="rId6"/>
    <sheet name="AUGUST 25" sheetId="11" r:id="rId7"/>
    <sheet name="SEPTEMBER 25" sheetId="12" r:id="rId8"/>
    <sheet name="OCTOBER 25" sheetId="13" r:id="rId9"/>
    <sheet name="NOVEMBER 25" sheetId="14" r:id="rId10"/>
    <sheet name="DECEMBER 25" sheetId="15" r:id="rId11"/>
    <sheet name="JANUARY 26" sheetId="16" r:id="rId12"/>
    <sheet name="YEARLY 2024-25" sheetId="7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E22" authorId="0">
      <text>
        <r>
          <rPr>
            <b/>
            <sz val="9"/>
            <rFont val="Times New Roman"/>
            <charset val="0"/>
          </rPr>
          <t>admin:</t>
        </r>
        <r>
          <rPr>
            <sz val="9"/>
            <rFont val="Times New Roman"/>
            <charset val="0"/>
          </rPr>
          <t xml:space="preserve">
1000 qty hold for Re-Work</t>
        </r>
      </text>
    </comment>
  </commentList>
</comments>
</file>

<file path=xl/sharedStrings.xml><?xml version="1.0" encoding="utf-8"?>
<sst xmlns="http://schemas.openxmlformats.org/spreadsheetml/2006/main" count="688" uniqueCount="117">
  <si>
    <r>
      <rPr>
        <b/>
        <sz val="20"/>
        <color theme="1"/>
        <rFont val="Times New Roman"/>
        <charset val="134"/>
      </rPr>
      <t>DISPOSAFE HEALTH AND LIFE CARE LIMITED</t>
    </r>
    <r>
      <rPr>
        <b/>
        <sz val="16"/>
        <color theme="1"/>
        <rFont val="Times New Roman"/>
        <charset val="134"/>
      </rPr>
      <t xml:space="preserve">
</t>
    </r>
    <r>
      <rPr>
        <b/>
        <sz val="14"/>
        <color theme="1"/>
        <rFont val="Times New Roman"/>
        <charset val="134"/>
      </rPr>
      <t>Plot No.37A,</t>
    </r>
    <r>
      <rPr>
        <b/>
        <sz val="16"/>
        <color theme="1"/>
        <rFont val="Times New Roman"/>
        <charset val="134"/>
      </rPr>
      <t xml:space="preserve"> </t>
    </r>
    <r>
      <rPr>
        <b/>
        <sz val="14"/>
        <color theme="1"/>
        <rFont val="Times New Roman"/>
        <charset val="134"/>
      </rPr>
      <t>Sector-06, Ballabgarh (Faridabad) Haryana India 121006</t>
    </r>
  </si>
  <si>
    <t>Doc. No.        :</t>
  </si>
  <si>
    <t>F/ASSEM/02:00</t>
  </si>
  <si>
    <t>Supersedes :</t>
  </si>
  <si>
    <t>None</t>
  </si>
  <si>
    <t>Effective Date:</t>
  </si>
  <si>
    <t>07- 1 2-2024</t>
  </si>
  <si>
    <t>DAILY VISUAL INSPECTION REPORT</t>
  </si>
  <si>
    <t>Page 1 of 1</t>
  </si>
  <si>
    <t>DATE:</t>
  </si>
  <si>
    <t>B.NO</t>
  </si>
  <si>
    <t>SIZE</t>
  </si>
  <si>
    <t>REC. QTY</t>
  </si>
  <si>
    <t>ACCEPT QTY</t>
  </si>
  <si>
    <t>HOLD QTY</t>
  </si>
  <si>
    <t>HOLD %</t>
  </si>
  <si>
    <t>REJ. QTY</t>
  </si>
  <si>
    <t>REJ %</t>
  </si>
  <si>
    <t>REASON FOR REJECTION</t>
  </si>
  <si>
    <t>COAG</t>
  </si>
  <si>
    <t>SD</t>
  </si>
  <si>
    <t>TT</t>
  </si>
  <si>
    <t>BL</t>
  </si>
  <si>
    <t>PS</t>
  </si>
  <si>
    <t>SB</t>
  </si>
  <si>
    <t>PW</t>
  </si>
  <si>
    <t>FP</t>
  </si>
  <si>
    <t>RW</t>
  </si>
  <si>
    <t>BEP</t>
  </si>
  <si>
    <t>DEC</t>
  </si>
  <si>
    <t>BM</t>
  </si>
  <si>
    <t>WEB</t>
  </si>
  <si>
    <t>BT</t>
  </si>
  <si>
    <t>SF</t>
  </si>
  <si>
    <t>BIC</t>
  </si>
  <si>
    <t>WK</t>
  </si>
  <si>
    <t>BMP</t>
  </si>
  <si>
    <t>TF</t>
  </si>
  <si>
    <t>PH</t>
  </si>
  <si>
    <t>BST</t>
  </si>
  <si>
    <t>TOTAL</t>
  </si>
  <si>
    <t>TOTAL IN %</t>
  </si>
  <si>
    <t>COAG        COAGULUM</t>
  </si>
  <si>
    <t xml:space="preserve">      SD                SURFACE   DEFECT</t>
  </si>
  <si>
    <t>TT             THIN TIP</t>
  </si>
  <si>
    <t>BL BLISTER</t>
  </si>
  <si>
    <t>PS  PLY SEPARATION</t>
  </si>
  <si>
    <t>SB  STEP BALLOON</t>
  </si>
  <si>
    <t>PW  PROJECTED WIRE</t>
  </si>
  <si>
    <t>RW             RAISED WIRE</t>
  </si>
  <si>
    <t xml:space="preserve">     BEP              BAD EYE PUNCHING</t>
  </si>
  <si>
    <t>DEC DECOLORISATION</t>
  </si>
  <si>
    <t>BM BLACK MARK</t>
  </si>
  <si>
    <t>WEB WEBBING</t>
  </si>
  <si>
    <t>BT  BAD TRIMMING</t>
  </si>
  <si>
    <t>SF  SHORT FUNNEL</t>
  </si>
  <si>
    <t>WK             WRINKLE</t>
  </si>
  <si>
    <t xml:space="preserve">     BP                BUMP</t>
  </si>
  <si>
    <t>TF  TORN FUNNEL</t>
  </si>
  <si>
    <t>PH     PIN HOLE</t>
  </si>
  <si>
    <t>BST  BAD STRIPPING</t>
  </si>
  <si>
    <t>BIC BEND IN CATHETER</t>
  </si>
  <si>
    <t>FP FOREIGN PARTICLE</t>
  </si>
  <si>
    <t>DISPOSAFE HEALTH AND LIFE CARE LIMITED
PLOT NO 37/A, SECTOR-6, FARIDABAD 121006. HARYANA(INDIA)
DAILY VISUAL INSPECTION REPORT</t>
  </si>
  <si>
    <t>A GRADE</t>
  </si>
  <si>
    <t>HOLD</t>
  </si>
  <si>
    <t>LOCAL GRADE</t>
  </si>
  <si>
    <t>25A28</t>
  </si>
  <si>
    <t>16FR</t>
  </si>
  <si>
    <t>25A30</t>
  </si>
  <si>
    <t>25A29</t>
  </si>
  <si>
    <t>COAG           COAGULUM</t>
  </si>
  <si>
    <t>WK                   WRINKLE</t>
  </si>
  <si>
    <t xml:space="preserve">     BP                          BUMP</t>
  </si>
  <si>
    <t>PH PIN HOLE</t>
  </si>
  <si>
    <r>
      <rPr>
        <b/>
        <sz val="22"/>
        <color theme="1"/>
        <rFont val="Times New Roman"/>
        <charset val="134"/>
      </rPr>
      <t xml:space="preserve">DISPOSAFE HEALTH AND LIFE CARE LIMITED
</t>
    </r>
    <r>
      <rPr>
        <b/>
        <sz val="16"/>
        <color theme="1"/>
        <rFont val="Times New Roman"/>
        <charset val="134"/>
      </rPr>
      <t>Plot No.37A, Sector-06, Ballabgarh (Faridabad) Haryana India 121006</t>
    </r>
    <r>
      <rPr>
        <b/>
        <sz val="22"/>
        <color theme="1"/>
        <rFont val="Times New Roman"/>
        <charset val="134"/>
      </rPr>
      <t xml:space="preserve">
</t>
    </r>
  </si>
  <si>
    <t>Doc. no.              :</t>
  </si>
  <si>
    <t>F/QC/01:00</t>
  </si>
  <si>
    <t>Supersedes          :</t>
  </si>
  <si>
    <t>Effective Date     :</t>
  </si>
  <si>
    <t>VISUAL INSPECTION REPORT</t>
  </si>
  <si>
    <t>DATE</t>
  </si>
  <si>
    <r>
      <rPr>
        <b/>
        <sz val="22"/>
        <color theme="1"/>
        <rFont val="Times New Roman"/>
        <charset val="134"/>
      </rPr>
      <t xml:space="preserve">DISPOSAFE HEALTH AND LIFE CARE LIMITED
</t>
    </r>
    <r>
      <rPr>
        <b/>
        <sz val="18"/>
        <color theme="1"/>
        <rFont val="Times New Roman"/>
        <charset val="134"/>
      </rPr>
      <t>Plot No.37A, Sector-06, Ballabgarh (Faridabad) Haryana India 121006</t>
    </r>
    <r>
      <rPr>
        <b/>
        <sz val="22"/>
        <color theme="1"/>
        <rFont val="Times New Roman"/>
        <charset val="134"/>
      </rPr>
      <t xml:space="preserve">
</t>
    </r>
  </si>
  <si>
    <t>Doc. No.              :</t>
  </si>
  <si>
    <t>%</t>
  </si>
  <si>
    <t>SUNDAY</t>
  </si>
  <si>
    <t>Current Trend</t>
  </si>
  <si>
    <t>Target</t>
  </si>
  <si>
    <t>Deviation</t>
  </si>
  <si>
    <t>00</t>
  </si>
  <si>
    <t>HOLD%</t>
  </si>
  <si>
    <t>Supersedes         :</t>
  </si>
  <si>
    <t>HOLIDAY</t>
  </si>
  <si>
    <t xml:space="preserve"> </t>
  </si>
  <si>
    <t>NA</t>
  </si>
  <si>
    <t>VIJAYA DASHMI</t>
  </si>
  <si>
    <t>HAPPY DIWALI</t>
  </si>
  <si>
    <r>
      <rPr>
        <b/>
        <sz val="24"/>
        <color theme="1"/>
        <rFont val="Times New Roman"/>
        <charset val="134"/>
      </rPr>
      <t>DISPOSAFE HEALTH AND LIFE CARE LIMITED</t>
    </r>
    <r>
      <rPr>
        <b/>
        <sz val="22"/>
        <color theme="1"/>
        <rFont val="Times New Roman"/>
        <charset val="134"/>
      </rPr>
      <t xml:space="preserve">
</t>
    </r>
    <r>
      <rPr>
        <b/>
        <sz val="20"/>
        <color theme="1"/>
        <rFont val="Times New Roman"/>
        <charset val="134"/>
      </rPr>
      <t>Plot No.37A, Sector-06, Ballabgarh (Faridabad) Haryana India 121006</t>
    </r>
    <r>
      <rPr>
        <b/>
        <sz val="22"/>
        <color theme="1"/>
        <rFont val="Times New Roman"/>
        <charset val="134"/>
      </rPr>
      <t xml:space="preserve">
</t>
    </r>
  </si>
  <si>
    <t>Doc. no.                       :</t>
  </si>
  <si>
    <t>Supersedes                :</t>
  </si>
  <si>
    <t>Effective Date             :</t>
  </si>
  <si>
    <t>MONTH</t>
  </si>
  <si>
    <t>ACCEPTED QTY</t>
  </si>
  <si>
    <t>DEFECT MARKING</t>
  </si>
  <si>
    <t>APRIL 25</t>
  </si>
  <si>
    <t>MAY 25</t>
  </si>
  <si>
    <t>JUNE 25</t>
  </si>
  <si>
    <t>JULY 25</t>
  </si>
  <si>
    <t>AUGUST 25</t>
  </si>
  <si>
    <t>SEPTEMBER 25</t>
  </si>
  <si>
    <t>OCTOBER 25</t>
  </si>
  <si>
    <t>NOVEMBER 25</t>
  </si>
  <si>
    <t>DECEMBER 25</t>
  </si>
  <si>
    <t>JANUARY 26</t>
  </si>
  <si>
    <t>FEBRUARY 26</t>
  </si>
  <si>
    <t>MARCH 26</t>
  </si>
  <si>
    <t>IN 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</si>
</sst>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[$-409]d/mmm/yyyy;@"/>
  </numFmts>
  <fonts count="43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24"/>
      <color theme="1"/>
      <name val="Times New Roman"/>
      <charset val="134"/>
    </font>
    <font>
      <b/>
      <sz val="18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2"/>
      <color theme="1"/>
      <name val="Times New Roman"/>
      <charset val="134"/>
    </font>
    <font>
      <b/>
      <sz val="22"/>
      <color theme="1"/>
      <name val="Times New Roman"/>
      <charset val="134"/>
    </font>
    <font>
      <b/>
      <sz val="18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b/>
      <sz val="24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4"/>
      <color theme="0"/>
      <name val="Calibri"/>
      <charset val="134"/>
      <scheme val="minor"/>
    </font>
    <font>
      <sz val="12"/>
      <color theme="0"/>
      <name val="Calibri"/>
      <charset val="134"/>
      <scheme val="minor"/>
    </font>
    <font>
      <b/>
      <sz val="16"/>
      <color theme="1"/>
      <name val="Times New Roman"/>
      <charset val="134"/>
    </font>
    <font>
      <b/>
      <sz val="20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color theme="1"/>
      <name val="Times New Roman"/>
      <charset val="134"/>
    </font>
    <font>
      <b/>
      <sz val="14"/>
      <color theme="1"/>
      <name val="Times New Roman"/>
      <charset val="134"/>
    </font>
    <font>
      <sz val="9"/>
      <name val="Times New Roman"/>
      <charset val="0"/>
    </font>
    <font>
      <b/>
      <sz val="9"/>
      <name val="Times New Roman"/>
      <charset val="0"/>
    </font>
  </fonts>
  <fills count="47">
    <fill>
      <patternFill patternType="none"/>
    </fill>
    <fill>
      <patternFill patternType="gray125"/>
    </fill>
    <fill>
      <patternFill patternType="solid">
        <fgColor rgb="FFA5F0FF"/>
        <bgColor indexed="64"/>
      </patternFill>
    </fill>
    <fill>
      <patternFill patternType="solid">
        <fgColor rgb="FF451ABE"/>
        <bgColor indexed="64"/>
      </patternFill>
    </fill>
    <fill>
      <gradientFill degree="90">
        <stop position="0">
          <color theme="0"/>
        </stop>
        <stop position="1">
          <color rgb="FF58FF31"/>
        </stop>
      </gradient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E2FF"/>
        <bgColor indexed="64"/>
      </patternFill>
    </fill>
    <fill>
      <patternFill patternType="solid">
        <fgColor rgb="FF0B5FD1"/>
        <bgColor indexed="64"/>
      </patternFill>
    </fill>
    <fill>
      <patternFill patternType="solid">
        <fgColor rgb="FF4F0FBD"/>
        <bgColor indexed="64"/>
      </patternFill>
    </fill>
    <fill>
      <patternFill patternType="solid">
        <fgColor rgb="FFFF8383"/>
        <bgColor indexed="64"/>
      </patternFill>
    </fill>
    <fill>
      <patternFill patternType="solid">
        <fgColor rgb="FF00B0F0"/>
        <bgColor indexed="64"/>
      </patternFill>
    </fill>
    <fill>
      <gradientFill>
        <stop position="0">
          <color theme="0"/>
        </stop>
        <stop position="1">
          <color theme="5" tint="-0.25"/>
        </stop>
      </gradientFill>
    </fill>
    <fill>
      <patternFill patternType="solid">
        <fgColor rgb="FF77E4FF"/>
        <bgColor indexed="64"/>
      </patternFill>
    </fill>
    <fill>
      <gradientFill degree="90">
        <stop position="0">
          <color theme="0"/>
        </stop>
        <stop position="1">
          <color rgb="FFFF0000"/>
        </stop>
      </gradient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16" borderId="16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17" applyNumberFormat="0" applyFill="0" applyAlignment="0" applyProtection="0">
      <alignment vertical="center"/>
    </xf>
    <xf numFmtId="0" fontId="26" fillId="0" borderId="17" applyNumberFormat="0" applyFill="0" applyAlignment="0" applyProtection="0">
      <alignment vertical="center"/>
    </xf>
    <xf numFmtId="0" fontId="27" fillId="0" borderId="18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17" borderId="19" applyNumberFormat="0" applyAlignment="0" applyProtection="0">
      <alignment vertical="center"/>
    </xf>
    <xf numFmtId="0" fontId="29" fillId="18" borderId="20" applyNumberFormat="0" applyAlignment="0" applyProtection="0">
      <alignment vertical="center"/>
    </xf>
    <xf numFmtId="0" fontId="30" fillId="18" borderId="19" applyNumberFormat="0" applyAlignment="0" applyProtection="0">
      <alignment vertical="center"/>
    </xf>
    <xf numFmtId="0" fontId="31" fillId="19" borderId="21" applyNumberFormat="0" applyAlignment="0" applyProtection="0">
      <alignment vertical="center"/>
    </xf>
    <xf numFmtId="0" fontId="32" fillId="0" borderId="22" applyNumberFormat="0" applyFill="0" applyAlignment="0" applyProtection="0">
      <alignment vertical="center"/>
    </xf>
    <xf numFmtId="0" fontId="33" fillId="0" borderId="23" applyNumberFormat="0" applyFill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</cellStyleXfs>
  <cellXfs count="167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NumberFormat="1" applyFont="1" applyFill="1" applyBorder="1" applyAlignment="1">
      <alignment horizontal="center" vertical="center"/>
    </xf>
    <xf numFmtId="2" fontId="4" fillId="5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2" fontId="4" fillId="6" borderId="1" xfId="0" applyNumberFormat="1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/>
    </xf>
    <xf numFmtId="0" fontId="6" fillId="0" borderId="1" xfId="0" applyFont="1" applyBorder="1" applyAlignment="1">
      <alignment horizontal="distributed" vertical="center" wrapText="1"/>
    </xf>
    <xf numFmtId="0" fontId="1" fillId="0" borderId="1" xfId="0" applyFont="1" applyBorder="1" applyAlignment="1">
      <alignment horizontal="left" vertical="center" wrapText="1"/>
    </xf>
    <xf numFmtId="58" fontId="1" fillId="0" borderId="1" xfId="0" applyNumberFormat="1" applyFont="1" applyBorder="1" applyAlignment="1">
      <alignment horizontal="left" vertical="center" wrapText="1"/>
    </xf>
    <xf numFmtId="0" fontId="0" fillId="0" borderId="0" xfId="0" applyFill="1">
      <alignment vertical="center"/>
    </xf>
    <xf numFmtId="0" fontId="4" fillId="0" borderId="0" xfId="0" applyFont="1">
      <alignment vertical="center"/>
    </xf>
    <xf numFmtId="0" fontId="0" fillId="0" borderId="0" xfId="0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 wrapText="1"/>
    </xf>
    <xf numFmtId="0" fontId="4" fillId="7" borderId="9" xfId="0" applyFont="1" applyFill="1" applyBorder="1" applyAlignment="1">
      <alignment horizontal="center" vertical="center" wrapText="1"/>
    </xf>
    <xf numFmtId="0" fontId="4" fillId="7" borderId="10" xfId="0" applyFont="1" applyFill="1" applyBorder="1" applyAlignment="1">
      <alignment horizontal="center" vertical="center" wrapText="1"/>
    </xf>
    <xf numFmtId="0" fontId="4" fillId="7" borderId="11" xfId="0" applyFont="1" applyFill="1" applyBorder="1" applyAlignment="1">
      <alignment horizontal="center" vertical="center" wrapText="1"/>
    </xf>
    <xf numFmtId="180" fontId="0" fillId="0" borderId="1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80" fontId="9" fillId="8" borderId="1" xfId="0" applyNumberFormat="1" applyFont="1" applyFill="1" applyBorder="1" applyAlignment="1">
      <alignment horizontal="center" vertical="center"/>
    </xf>
    <xf numFmtId="0" fontId="10" fillId="8" borderId="7" xfId="0" applyNumberFormat="1" applyFont="1" applyFill="1" applyBorder="1" applyAlignment="1">
      <alignment horizontal="center" vertical="center"/>
    </xf>
    <xf numFmtId="2" fontId="10" fillId="8" borderId="7" xfId="0" applyNumberFormat="1" applyFont="1" applyFill="1" applyBorder="1" applyAlignment="1">
      <alignment horizontal="center" vertical="center"/>
    </xf>
    <xf numFmtId="180" fontId="9" fillId="9" borderId="1" xfId="0" applyNumberFormat="1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2" fontId="10" fillId="9" borderId="1" xfId="0" applyNumberFormat="1" applyFont="1" applyFill="1" applyBorder="1" applyAlignment="1">
      <alignment horizontal="center" vertical="center"/>
    </xf>
    <xf numFmtId="180" fontId="0" fillId="10" borderId="1" xfId="0" applyNumberForma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2" fontId="0" fillId="10" borderId="1" xfId="0" applyNumberFormat="1" applyFill="1" applyBorder="1" applyAlignment="1">
      <alignment horizontal="center" vertical="center"/>
    </xf>
    <xf numFmtId="180" fontId="0" fillId="0" borderId="1" xfId="0" applyNumberFormat="1" applyFill="1" applyBorder="1" applyAlignment="1">
      <alignment horizontal="center" vertical="center"/>
    </xf>
    <xf numFmtId="2" fontId="0" fillId="0" borderId="1" xfId="0" applyNumberFormat="1" applyFill="1" applyBorder="1" applyAlignment="1">
      <alignment horizontal="center" vertical="center"/>
    </xf>
    <xf numFmtId="180" fontId="4" fillId="10" borderId="1" xfId="0" applyNumberFormat="1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2" fontId="4" fillId="10" borderId="1" xfId="0" applyNumberFormat="1" applyFont="1" applyFill="1" applyBorder="1" applyAlignment="1">
      <alignment horizontal="center" vertical="center"/>
    </xf>
    <xf numFmtId="0" fontId="10" fillId="8" borderId="1" xfId="0" applyNumberFormat="1" applyFont="1" applyFill="1" applyBorder="1" applyAlignment="1">
      <alignment horizontal="center" vertical="center"/>
    </xf>
    <xf numFmtId="2" fontId="10" fillId="8" borderId="1" xfId="0" applyNumberFormat="1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center" vertical="center"/>
    </xf>
    <xf numFmtId="0" fontId="0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11" borderId="0" xfId="0" applyFill="1">
      <alignment vertical="center"/>
    </xf>
    <xf numFmtId="0" fontId="0" fillId="11" borderId="9" xfId="0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2" fontId="0" fillId="6" borderId="0" xfId="0" applyNumberFormat="1" applyFill="1" applyAlignment="1">
      <alignment horizontal="center" vertical="center"/>
    </xf>
    <xf numFmtId="0" fontId="0" fillId="12" borderId="0" xfId="0" applyNumberFormat="1" applyFill="1" applyAlignment="1">
      <alignment horizontal="center" vertical="center"/>
    </xf>
    <xf numFmtId="2" fontId="0" fillId="0" borderId="0" xfId="0" applyNumberFormat="1">
      <alignment vertical="center"/>
    </xf>
    <xf numFmtId="0" fontId="7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80" fontId="0" fillId="13" borderId="1" xfId="0" applyNumberFormat="1" applyFill="1" applyBorder="1" applyAlignment="1">
      <alignment horizontal="center" vertical="center"/>
    </xf>
    <xf numFmtId="2" fontId="4" fillId="13" borderId="1" xfId="0" applyNumberFormat="1" applyFont="1" applyFill="1" applyBorder="1" applyAlignment="1">
      <alignment horizontal="center" vertical="center"/>
    </xf>
    <xf numFmtId="2" fontId="12" fillId="13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180" fontId="0" fillId="2" borderId="1" xfId="0" applyNumberForma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0" fillId="0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0" fontId="0" fillId="0" borderId="9" xfId="0" applyNumberFormat="1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13" fillId="2" borderId="15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10" borderId="1" xfId="0" applyNumberFormat="1" applyFont="1" applyFill="1" applyBorder="1" applyAlignment="1">
      <alignment horizontal="center" vertical="center"/>
    </xf>
    <xf numFmtId="0" fontId="0" fillId="10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 wrapText="1"/>
    </xf>
    <xf numFmtId="0" fontId="14" fillId="7" borderId="9" xfId="0" applyFont="1" applyFill="1" applyBorder="1" applyAlignment="1">
      <alignment horizontal="center" vertical="center" wrapText="1"/>
    </xf>
    <xf numFmtId="0" fontId="14" fillId="7" borderId="10" xfId="0" applyFont="1" applyFill="1" applyBorder="1" applyAlignment="1">
      <alignment horizontal="center" vertical="center" wrapText="1"/>
    </xf>
    <xf numFmtId="0" fontId="14" fillId="7" borderId="11" xfId="0" applyFont="1" applyFill="1" applyBorder="1" applyAlignment="1">
      <alignment horizontal="center" vertical="center" wrapText="1"/>
    </xf>
    <xf numFmtId="180" fontId="15" fillId="14" borderId="1" xfId="0" applyNumberFormat="1" applyFont="1" applyFill="1" applyBorder="1" applyAlignment="1">
      <alignment horizontal="center" vertical="center"/>
    </xf>
    <xf numFmtId="0" fontId="14" fillId="14" borderId="7" xfId="0" applyFont="1" applyFill="1" applyBorder="1" applyAlignment="1">
      <alignment horizontal="center" vertical="center"/>
    </xf>
    <xf numFmtId="0" fontId="14" fillId="14" borderId="8" xfId="0" applyFont="1" applyFill="1" applyBorder="1" applyAlignment="1">
      <alignment horizontal="center" vertical="center"/>
    </xf>
    <xf numFmtId="180" fontId="15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2" fontId="15" fillId="0" borderId="1" xfId="0" applyNumberFormat="1" applyFont="1" applyBorder="1" applyAlignment="1">
      <alignment horizontal="center" vertical="center"/>
    </xf>
    <xf numFmtId="180" fontId="11" fillId="8" borderId="1" xfId="0" applyNumberFormat="1" applyFont="1" applyFill="1" applyBorder="1" applyAlignment="1">
      <alignment horizontal="center" vertical="center"/>
    </xf>
    <xf numFmtId="0" fontId="11" fillId="8" borderId="7" xfId="0" applyNumberFormat="1" applyFont="1" applyFill="1" applyBorder="1" applyAlignment="1">
      <alignment horizontal="center" vertical="center"/>
    </xf>
    <xf numFmtId="2" fontId="11" fillId="8" borderId="7" xfId="0" applyNumberFormat="1" applyFont="1" applyFill="1" applyBorder="1" applyAlignment="1">
      <alignment horizontal="center" vertical="center"/>
    </xf>
    <xf numFmtId="180" fontId="11" fillId="9" borderId="1" xfId="0" applyNumberFormat="1" applyFont="1" applyFill="1" applyBorder="1" applyAlignment="1">
      <alignment horizontal="center" vertical="center"/>
    </xf>
    <xf numFmtId="2" fontId="11" fillId="9" borderId="1" xfId="0" applyNumberFormat="1" applyFont="1" applyFill="1" applyBorder="1" applyAlignment="1">
      <alignment horizontal="center" vertical="center"/>
    </xf>
    <xf numFmtId="2" fontId="16" fillId="8" borderId="1" xfId="0" applyNumberFormat="1" applyFont="1" applyFill="1" applyBorder="1" applyAlignment="1">
      <alignment horizontal="center" vertical="center"/>
    </xf>
    <xf numFmtId="0" fontId="15" fillId="0" borderId="1" xfId="0" applyNumberFormat="1" applyFont="1" applyFill="1" applyBorder="1" applyAlignment="1">
      <alignment horizontal="center" vertical="center"/>
    </xf>
    <xf numFmtId="0" fontId="15" fillId="0" borderId="1" xfId="0" applyNumberFormat="1" applyFont="1" applyBorder="1" applyAlignment="1">
      <alignment horizontal="center" vertical="center"/>
    </xf>
    <xf numFmtId="0" fontId="15" fillId="10" borderId="1" xfId="0" applyFont="1" applyFill="1" applyBorder="1" applyAlignment="1">
      <alignment horizontal="center" vertical="center"/>
    </xf>
    <xf numFmtId="2" fontId="15" fillId="10" borderId="1" xfId="0" applyNumberFormat="1" applyFont="1" applyFill="1" applyBorder="1" applyAlignment="1">
      <alignment horizontal="center" vertical="center"/>
    </xf>
    <xf numFmtId="0" fontId="15" fillId="0" borderId="9" xfId="0" applyNumberFormat="1" applyFont="1" applyFill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2" fontId="15" fillId="0" borderId="9" xfId="0" applyNumberFormat="1" applyFont="1" applyBorder="1" applyAlignment="1">
      <alignment horizontal="center" vertical="center"/>
    </xf>
    <xf numFmtId="0" fontId="15" fillId="0" borderId="9" xfId="0" applyNumberFormat="1" applyFont="1" applyBorder="1" applyAlignment="1">
      <alignment horizontal="center" vertical="center"/>
    </xf>
    <xf numFmtId="0" fontId="11" fillId="8" borderId="1" xfId="0" applyNumberFormat="1" applyFont="1" applyFill="1" applyBorder="1" applyAlignment="1">
      <alignment horizontal="center" vertical="center"/>
    </xf>
    <xf numFmtId="180" fontId="15" fillId="14" borderId="11" xfId="0" applyNumberFormat="1" applyFont="1" applyFill="1" applyBorder="1" applyAlignment="1">
      <alignment horizontal="center" vertical="center"/>
    </xf>
    <xf numFmtId="0" fontId="14" fillId="14" borderId="5" xfId="0" applyFont="1" applyFill="1" applyBorder="1" applyAlignment="1">
      <alignment horizontal="center" vertical="center"/>
    </xf>
    <xf numFmtId="0" fontId="14" fillId="14" borderId="6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14" fillId="5" borderId="1" xfId="0" applyNumberFormat="1" applyFont="1" applyFill="1" applyBorder="1" applyAlignment="1">
      <alignment horizontal="center" vertical="center"/>
    </xf>
    <xf numFmtId="2" fontId="14" fillId="5" borderId="1" xfId="0" applyNumberFormat="1" applyFont="1" applyFill="1" applyBorder="1" applyAlignment="1">
      <alignment horizontal="center" vertical="center"/>
    </xf>
    <xf numFmtId="0" fontId="15" fillId="0" borderId="0" xfId="0" applyFont="1" applyBorder="1">
      <alignment vertical="center"/>
    </xf>
    <xf numFmtId="0" fontId="15" fillId="0" borderId="1" xfId="0" applyFont="1" applyBorder="1" applyAlignment="1">
      <alignment horizontal="center" vertical="center" wrapText="1"/>
    </xf>
    <xf numFmtId="0" fontId="15" fillId="0" borderId="0" xfId="0" applyFont="1">
      <alignment vertical="center"/>
    </xf>
    <xf numFmtId="0" fontId="15" fillId="11" borderId="0" xfId="0" applyFont="1" applyFill="1">
      <alignment vertical="center"/>
    </xf>
    <xf numFmtId="0" fontId="15" fillId="11" borderId="9" xfId="0" applyFont="1" applyFill="1" applyBorder="1" applyAlignment="1">
      <alignment horizontal="center" vertical="center"/>
    </xf>
    <xf numFmtId="0" fontId="15" fillId="0" borderId="1" xfId="0" applyFont="1" applyBorder="1">
      <alignment vertical="center"/>
    </xf>
    <xf numFmtId="0" fontId="15" fillId="0" borderId="0" xfId="0" applyFont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14" borderId="15" xfId="0" applyFont="1" applyFill="1" applyBorder="1" applyAlignment="1">
      <alignment horizontal="center" vertical="center"/>
    </xf>
    <xf numFmtId="0" fontId="15" fillId="0" borderId="0" xfId="0" applyFont="1" applyFill="1">
      <alignment vertical="center"/>
    </xf>
    <xf numFmtId="0" fontId="14" fillId="14" borderId="14" xfId="0" applyFont="1" applyFill="1" applyBorder="1" applyAlignment="1">
      <alignment horizontal="center" vertical="center"/>
    </xf>
    <xf numFmtId="0" fontId="15" fillId="12" borderId="0" xfId="0" applyNumberFormat="1" applyFont="1" applyFill="1" applyAlignment="1">
      <alignment horizontal="center" vertical="center"/>
    </xf>
    <xf numFmtId="180" fontId="0" fillId="14" borderId="1" xfId="0" applyNumberFormat="1" applyFill="1" applyBorder="1" applyAlignment="1">
      <alignment horizontal="center" vertical="center"/>
    </xf>
    <xf numFmtId="2" fontId="17" fillId="8" borderId="1" xfId="0" applyNumberFormat="1" applyFont="1" applyFill="1" applyBorder="1" applyAlignment="1">
      <alignment horizontal="center" vertical="center"/>
    </xf>
    <xf numFmtId="0" fontId="14" fillId="14" borderId="1" xfId="0" applyFont="1" applyFill="1" applyBorder="1" applyAlignment="1">
      <alignment horizontal="center" vertical="center"/>
    </xf>
    <xf numFmtId="180" fontId="0" fillId="0" borderId="9" xfId="0" applyNumberFormat="1" applyBorder="1" applyAlignment="1">
      <alignment horizontal="center" vertical="center"/>
    </xf>
    <xf numFmtId="180" fontId="0" fillId="14" borderId="11" xfId="0" applyNumberFormat="1" applyFill="1" applyBorder="1" applyAlignment="1">
      <alignment horizontal="center" vertical="center"/>
    </xf>
    <xf numFmtId="2" fontId="17" fillId="9" borderId="1" xfId="0" applyNumberFormat="1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0" fontId="4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58" fontId="4" fillId="0" borderId="0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>
      <alignment vertical="center"/>
    </xf>
    <xf numFmtId="0" fontId="4" fillId="0" borderId="1" xfId="0" applyNumberFormat="1" applyFont="1" applyBorder="1">
      <alignment vertical="center"/>
    </xf>
    <xf numFmtId="0" fontId="4" fillId="0" borderId="7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8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8" fillId="0" borderId="0" xfId="0" applyFont="1" applyBorder="1" applyAlignment="1">
      <alignment vertical="center" wrapText="1"/>
    </xf>
    <xf numFmtId="0" fontId="0" fillId="0" borderId="8" xfId="0" applyBorder="1" applyAlignment="1">
      <alignment horizontal="center" vertical="center"/>
    </xf>
    <xf numFmtId="0" fontId="4" fillId="0" borderId="1" xfId="0" applyFont="1" applyBorder="1" applyAlignment="1">
      <alignment horizontal="distributed" vertical="center" wrapText="1"/>
    </xf>
    <xf numFmtId="0" fontId="0" fillId="0" borderId="15" xfId="0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1" fillId="0" borderId="1" xfId="0" applyFont="1" applyBorder="1" applyAlignment="1" quotePrefix="1">
      <alignment horizontal="left" vertical="center" wrapText="1"/>
    </xf>
    <xf numFmtId="0" fontId="0" fillId="0" borderId="7" xfId="0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1">
    <dxf>
      <fill>
        <gradientFill degree="90">
          <stop position="0">
            <color theme="0"/>
          </stop>
          <stop position="1">
            <color rgb="FF58FF31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colors>
    <mruColors>
      <color rgb="0058FF31"/>
      <color rgb="0000E2FF"/>
      <color rgb="004F0FBD"/>
      <color rgb="000B5FD1"/>
      <color rgb="00621FDD"/>
      <color rgb="00451ABE"/>
      <color rgb="00FF8383"/>
      <color rgb="00A5F0FF"/>
      <color rgb="0077E4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VISUAL DEFECT WISE REJ 2024-25</a:t>
            </a:r>
            <a:endParaRPr lang="en-I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'YEARLY 2024-25'!$H$8:$AB$8</c:f>
              <c:strCache>
                <c:ptCount val="21"/>
                <c:pt idx="0">
                  <c:v>COAG</c:v>
                </c:pt>
                <c:pt idx="1">
                  <c:v>SD</c:v>
                </c:pt>
                <c:pt idx="2">
                  <c:v>TT</c:v>
                </c:pt>
                <c:pt idx="3">
                  <c:v>BL</c:v>
                </c:pt>
                <c:pt idx="4">
                  <c:v>PS</c:v>
                </c:pt>
                <c:pt idx="5">
                  <c:v>SB</c:v>
                </c:pt>
                <c:pt idx="6">
                  <c:v>PW</c:v>
                </c:pt>
                <c:pt idx="7">
                  <c:v>FP</c:v>
                </c:pt>
                <c:pt idx="8">
                  <c:v>RW</c:v>
                </c:pt>
                <c:pt idx="9">
                  <c:v>BEP</c:v>
                </c:pt>
                <c:pt idx="10">
                  <c:v>DEC</c:v>
                </c:pt>
                <c:pt idx="11">
                  <c:v>BM</c:v>
                </c:pt>
                <c:pt idx="12">
                  <c:v>WEB</c:v>
                </c:pt>
                <c:pt idx="13">
                  <c:v>BT</c:v>
                </c:pt>
                <c:pt idx="14">
                  <c:v>SF</c:v>
                </c:pt>
                <c:pt idx="15">
                  <c:v>BIC</c:v>
                </c:pt>
                <c:pt idx="16">
                  <c:v>WK</c:v>
                </c:pt>
                <c:pt idx="17">
                  <c:v>BMP</c:v>
                </c:pt>
                <c:pt idx="18">
                  <c:v>TF</c:v>
                </c:pt>
                <c:pt idx="19">
                  <c:v>PH</c:v>
                </c:pt>
                <c:pt idx="20">
                  <c:v>BST</c:v>
                </c:pt>
              </c:strCache>
            </c:strRef>
          </c:cat>
          <c:val>
            <c:numRef>
              <c:f>'YEARLY 2024-25'!$H$21:$AB$21</c:f>
              <c:numCache>
                <c:formatCode>General</c:formatCode>
                <c:ptCount val="21"/>
                <c:pt idx="0">
                  <c:v>20731</c:v>
                </c:pt>
                <c:pt idx="1">
                  <c:v>16146</c:v>
                </c:pt>
                <c:pt idx="2">
                  <c:v>486</c:v>
                </c:pt>
                <c:pt idx="3">
                  <c:v>833</c:v>
                </c:pt>
                <c:pt idx="4">
                  <c:v>36578</c:v>
                </c:pt>
                <c:pt idx="5">
                  <c:v>6</c:v>
                </c:pt>
                <c:pt idx="6">
                  <c:v>19</c:v>
                </c:pt>
                <c:pt idx="7">
                  <c:v>34</c:v>
                </c:pt>
                <c:pt idx="8">
                  <c:v>5239</c:v>
                </c:pt>
                <c:pt idx="9">
                  <c:v>5933</c:v>
                </c:pt>
                <c:pt idx="10">
                  <c:v>772</c:v>
                </c:pt>
                <c:pt idx="11">
                  <c:v>37971</c:v>
                </c:pt>
                <c:pt idx="12">
                  <c:v>13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2970</c:v>
                </c:pt>
                <c:pt idx="17">
                  <c:v>3876</c:v>
                </c:pt>
                <c:pt idx="18">
                  <c:v>2430</c:v>
                </c:pt>
                <c:pt idx="19">
                  <c:v>492</c:v>
                </c:pt>
                <c:pt idx="20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906146797"/>
        <c:axId val="636823687"/>
      </c:barChart>
      <c:catAx>
        <c:axId val="90614679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36823687"/>
        <c:crosses val="autoZero"/>
        <c:auto val="1"/>
        <c:lblAlgn val="ctr"/>
        <c:lblOffset val="100"/>
        <c:noMultiLvlLbl val="0"/>
      </c:catAx>
      <c:valAx>
        <c:axId val="636823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0614679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81d1141-d76d-469f-993f-9d3cfdfa2f4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PRODUCTION DETAILS IN YEAR 2024-25</a:t>
            </a:r>
            <a:endParaRPr lang="en-I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"PROD. DETAILS"</c:f>
              <c:strCache>
                <c:ptCount val="1"/>
                <c:pt idx="0">
                  <c:v>PROD. DETAILS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'YEARLY 2024-25'!$H$41:$H$44</c:f>
              <c:strCache>
                <c:ptCount val="4"/>
                <c:pt idx="0">
                  <c:v>REC. QTY</c:v>
                </c:pt>
                <c:pt idx="1">
                  <c:v>ACCEPTED QTY</c:v>
                </c:pt>
                <c:pt idx="2">
                  <c:v>HOLD</c:v>
                </c:pt>
                <c:pt idx="3">
                  <c:v>REJ. QTY</c:v>
                </c:pt>
              </c:strCache>
            </c:strRef>
          </c:cat>
          <c:val>
            <c:numRef>
              <c:f>'YEARLY 2024-25'!$J$41:$J$44</c:f>
              <c:numCache>
                <c:formatCode>General</c:formatCode>
                <c:ptCount val="4"/>
                <c:pt idx="0">
                  <c:v>2434980</c:v>
                </c:pt>
                <c:pt idx="1">
                  <c:v>2209311</c:v>
                </c:pt>
                <c:pt idx="2">
                  <c:v>74734</c:v>
                </c:pt>
                <c:pt idx="3">
                  <c:v>147224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6"/>
        <c:overlap val="-32"/>
        <c:axId val="34160780"/>
        <c:axId val="61213871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'YEARLY 2024-25'!$H$41:$H$44</c15:sqref>
                        </c15:formulaRef>
                      </c:ext>
                    </c:extLst>
                    <c:strCache>
                      <c:ptCount val="4"/>
                      <c:pt idx="0">
                        <c:v>REC. QTY</c:v>
                      </c:pt>
                      <c:pt idx="1">
                        <c:v>ACCEPTED QTY</c:v>
                      </c:pt>
                      <c:pt idx="2">
                        <c:v>HOLD</c:v>
                      </c:pt>
                      <c:pt idx="3">
                        <c:v>REJ. QTY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'YEARLY 2024-25'!$I$41:$I$44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</c15:ser>
            </c15:filteredBarSeries>
            <c15:filteredBarSeries>
              <c15:ser>
                <c:idx val="2"/>
                <c:order val="2"/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'YEARLY 2024-25'!$H$41:$H$44</c15:sqref>
                        </c15:formulaRef>
                      </c:ext>
                    </c:extLst>
                    <c:strCache>
                      <c:ptCount val="4"/>
                      <c:pt idx="0">
                        <c:v>REC. QTY</c:v>
                      </c:pt>
                      <c:pt idx="1">
                        <c:v>ACCEPTED QTY</c:v>
                      </c:pt>
                      <c:pt idx="2">
                        <c:v>HOLD</c:v>
                      </c:pt>
                      <c:pt idx="3">
                        <c:v>REJ. QTY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'YEARLY 2024-25'!$K$41:$K$44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</c15:ser>
            </c15:filteredBarSeries>
          </c:ext>
        </c:extLst>
      </c:barChart>
      <c:catAx>
        <c:axId val="341607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213871"/>
        <c:crosses val="autoZero"/>
        <c:auto val="1"/>
        <c:lblAlgn val="ctr"/>
        <c:lblOffset val="100"/>
        <c:noMultiLvlLbl val="0"/>
      </c:catAx>
      <c:valAx>
        <c:axId val="61213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altLang="en-US"/>
                  <a:t>PRODUCTION QTY</a:t>
                </a:r>
                <a:endParaRPr lang="en-I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16078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f8ff18e-0b03-49bf-8b95-23b251c6c05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191135</xdr:colOff>
      <xdr:row>0</xdr:row>
      <xdr:rowOff>114935</xdr:rowOff>
    </xdr:from>
    <xdr:to>
      <xdr:col>1</xdr:col>
      <xdr:colOff>429895</xdr:colOff>
      <xdr:row>3</xdr:row>
      <xdr:rowOff>118745</xdr:rowOff>
    </xdr:to>
    <xdr:pic>
      <xdr:nvPicPr>
        <xdr:cNvPr id="3" name="Picture 2" descr="Disposafe_logo without b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1135" y="114935"/>
          <a:ext cx="848360" cy="57531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23</xdr:col>
      <xdr:colOff>228600</xdr:colOff>
      <xdr:row>0</xdr:row>
      <xdr:rowOff>19050</xdr:rowOff>
    </xdr:from>
    <xdr:to>
      <xdr:col>29</xdr:col>
      <xdr:colOff>9525</xdr:colOff>
      <xdr:row>4</xdr:row>
      <xdr:rowOff>0</xdr:rowOff>
    </xdr:to>
    <xdr:sp>
      <xdr:nvSpPr>
        <xdr:cNvPr id="2" name="Text Box 1"/>
        <xdr:cNvSpPr txBox="1"/>
      </xdr:nvSpPr>
      <xdr:spPr>
        <a:xfrm>
          <a:off x="9867900" y="19050"/>
          <a:ext cx="1533525" cy="114935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en-US" sz="1100"/>
            <a:t>REF-F-QC-01:00</a:t>
          </a:r>
          <a:endParaRPr lang="en-US" sz="1100"/>
        </a:p>
        <a:p>
          <a:pPr algn="l"/>
          <a:r>
            <a:rPr lang="en-US" sz="1100"/>
            <a:t>Date: 04-02-2025</a:t>
          </a:r>
          <a:endParaRPr lang="en-US" sz="1100"/>
        </a:p>
        <a:p>
          <a:pPr algn="l"/>
          <a:r>
            <a:rPr lang="en-US" sz="1100"/>
            <a:t>Page:  1of 1</a:t>
          </a:r>
          <a:endParaRPr lang="en-US" sz="1100"/>
        </a:p>
      </xdr:txBody>
    </xdr:sp>
    <xdr:clientData/>
  </xdr:twoCellAnchor>
  <xdr:twoCellAnchor editAs="oneCell">
    <xdr:from>
      <xdr:col>0</xdr:col>
      <xdr:colOff>66675</xdr:colOff>
      <xdr:row>0</xdr:row>
      <xdr:rowOff>104775</xdr:rowOff>
    </xdr:from>
    <xdr:to>
      <xdr:col>1</xdr:col>
      <xdr:colOff>207010</xdr:colOff>
      <xdr:row>2</xdr:row>
      <xdr:rowOff>419100</xdr:rowOff>
    </xdr:to>
    <xdr:pic>
      <xdr:nvPicPr>
        <xdr:cNvPr id="3" name="Picture 2" descr="Disposafe_logo without b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" y="104775"/>
          <a:ext cx="749935" cy="6953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0</xdr:row>
      <xdr:rowOff>83185</xdr:rowOff>
    </xdr:from>
    <xdr:to>
      <xdr:col>0</xdr:col>
      <xdr:colOff>888365</xdr:colOff>
      <xdr:row>3</xdr:row>
      <xdr:rowOff>164465</xdr:rowOff>
    </xdr:to>
    <xdr:pic>
      <xdr:nvPicPr>
        <xdr:cNvPr id="2" name="Picture 1" descr="Disposafe_logo_bl_-removebg-preview (1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83185"/>
          <a:ext cx="887730" cy="81470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0</xdr:row>
      <xdr:rowOff>83185</xdr:rowOff>
    </xdr:from>
    <xdr:to>
      <xdr:col>0</xdr:col>
      <xdr:colOff>888365</xdr:colOff>
      <xdr:row>3</xdr:row>
      <xdr:rowOff>164465</xdr:rowOff>
    </xdr:to>
    <xdr:pic>
      <xdr:nvPicPr>
        <xdr:cNvPr id="2" name="Picture 1" descr="Disposafe_logo_bl_-removebg-preview (1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83185"/>
          <a:ext cx="887730" cy="81470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0</xdr:row>
      <xdr:rowOff>83185</xdr:rowOff>
    </xdr:from>
    <xdr:to>
      <xdr:col>0</xdr:col>
      <xdr:colOff>888365</xdr:colOff>
      <xdr:row>3</xdr:row>
      <xdr:rowOff>164465</xdr:rowOff>
    </xdr:to>
    <xdr:pic>
      <xdr:nvPicPr>
        <xdr:cNvPr id="2" name="Picture 1" descr="Disposafe_logo_bl_-removebg-preview (1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83185"/>
          <a:ext cx="887730" cy="81470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0</xdr:row>
      <xdr:rowOff>83185</xdr:rowOff>
    </xdr:from>
    <xdr:to>
      <xdr:col>0</xdr:col>
      <xdr:colOff>888365</xdr:colOff>
      <xdr:row>3</xdr:row>
      <xdr:rowOff>164465</xdr:rowOff>
    </xdr:to>
    <xdr:pic>
      <xdr:nvPicPr>
        <xdr:cNvPr id="2" name="Picture 1" descr="Disposafe_logo_bl_-removebg-preview (1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83185"/>
          <a:ext cx="887730" cy="81470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0</xdr:row>
      <xdr:rowOff>83185</xdr:rowOff>
    </xdr:from>
    <xdr:to>
      <xdr:col>0</xdr:col>
      <xdr:colOff>888365</xdr:colOff>
      <xdr:row>3</xdr:row>
      <xdr:rowOff>164465</xdr:rowOff>
    </xdr:to>
    <xdr:pic>
      <xdr:nvPicPr>
        <xdr:cNvPr id="2" name="Picture 1" descr="Disposafe_logo_bl_-removebg-preview (1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83185"/>
          <a:ext cx="887730" cy="81470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0</xdr:row>
      <xdr:rowOff>83185</xdr:rowOff>
    </xdr:from>
    <xdr:to>
      <xdr:col>0</xdr:col>
      <xdr:colOff>888365</xdr:colOff>
      <xdr:row>3</xdr:row>
      <xdr:rowOff>164465</xdr:rowOff>
    </xdr:to>
    <xdr:pic>
      <xdr:nvPicPr>
        <xdr:cNvPr id="2" name="Picture 1" descr="Disposafe_logo_bl_-removebg-preview (1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83185"/>
          <a:ext cx="887730" cy="81470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0</xdr:row>
      <xdr:rowOff>83185</xdr:rowOff>
    </xdr:from>
    <xdr:to>
      <xdr:col>0</xdr:col>
      <xdr:colOff>888365</xdr:colOff>
      <xdr:row>3</xdr:row>
      <xdr:rowOff>164465</xdr:rowOff>
    </xdr:to>
    <xdr:pic>
      <xdr:nvPicPr>
        <xdr:cNvPr id="2" name="Picture 1" descr="Disposafe_logo_bl_-removebg-preview (1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83185"/>
          <a:ext cx="887730" cy="81470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0</xdr:row>
      <xdr:rowOff>83185</xdr:rowOff>
    </xdr:from>
    <xdr:to>
      <xdr:col>0</xdr:col>
      <xdr:colOff>888365</xdr:colOff>
      <xdr:row>3</xdr:row>
      <xdr:rowOff>164465</xdr:rowOff>
    </xdr:to>
    <xdr:pic>
      <xdr:nvPicPr>
        <xdr:cNvPr id="2" name="Picture 1" descr="Disposafe_logo_bl_-removebg-preview (1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83185"/>
          <a:ext cx="887730" cy="81470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0</xdr:row>
      <xdr:rowOff>83185</xdr:rowOff>
    </xdr:from>
    <xdr:to>
      <xdr:col>0</xdr:col>
      <xdr:colOff>888365</xdr:colOff>
      <xdr:row>3</xdr:row>
      <xdr:rowOff>164465</xdr:rowOff>
    </xdr:to>
    <xdr:pic>
      <xdr:nvPicPr>
        <xdr:cNvPr id="2" name="Picture 1" descr="Disposafe_logo_bl_-removebg-preview (1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83185"/>
          <a:ext cx="887730" cy="81470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0</xdr:row>
      <xdr:rowOff>83185</xdr:rowOff>
    </xdr:from>
    <xdr:to>
      <xdr:col>0</xdr:col>
      <xdr:colOff>888365</xdr:colOff>
      <xdr:row>3</xdr:row>
      <xdr:rowOff>164465</xdr:rowOff>
    </xdr:to>
    <xdr:pic>
      <xdr:nvPicPr>
        <xdr:cNvPr id="2" name="Picture 1" descr="Disposafe_logo_bl_-removebg-preview (1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83185"/>
          <a:ext cx="887730" cy="80518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0</xdr:row>
      <xdr:rowOff>97155</xdr:rowOff>
    </xdr:from>
    <xdr:to>
      <xdr:col>1</xdr:col>
      <xdr:colOff>1905</xdr:colOff>
      <xdr:row>3</xdr:row>
      <xdr:rowOff>215900</xdr:rowOff>
    </xdr:to>
    <xdr:pic>
      <xdr:nvPicPr>
        <xdr:cNvPr id="2" name="Picture 1" descr="Disposafe_logo_bl_-removebg-preview (1)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35" y="97155"/>
          <a:ext cx="1001395" cy="918845"/>
        </a:xfrm>
        <a:prstGeom prst="rect">
          <a:avLst/>
        </a:prstGeom>
      </xdr:spPr>
    </xdr:pic>
    <xdr:clientData/>
  </xdr:twoCellAnchor>
  <xdr:twoCellAnchor>
    <xdr:from>
      <xdr:col>0</xdr:col>
      <xdr:colOff>27305</xdr:colOff>
      <xdr:row>59</xdr:row>
      <xdr:rowOff>163195</xdr:rowOff>
    </xdr:from>
    <xdr:to>
      <xdr:col>27</xdr:col>
      <xdr:colOff>476885</xdr:colOff>
      <xdr:row>107</xdr:row>
      <xdr:rowOff>6985</xdr:rowOff>
    </xdr:to>
    <xdr:graphicFrame>
      <xdr:nvGraphicFramePr>
        <xdr:cNvPr id="5" name="Chart 4"/>
        <xdr:cNvGraphicFramePr/>
      </xdr:nvGraphicFramePr>
      <xdr:xfrm>
        <a:off x="27305" y="16279495"/>
        <a:ext cx="13102590" cy="89877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</xdr:col>
      <xdr:colOff>20955</xdr:colOff>
      <xdr:row>34</xdr:row>
      <xdr:rowOff>40005</xdr:rowOff>
    </xdr:from>
    <xdr:ext cx="5130165" cy="424180"/>
    <xdr:sp>
      <xdr:nvSpPr>
        <xdr:cNvPr id="3" name="Text Box 2"/>
        <xdr:cNvSpPr txBox="1"/>
      </xdr:nvSpPr>
      <xdr:spPr>
        <a:xfrm>
          <a:off x="1021080" y="11393805"/>
          <a:ext cx="5130165" cy="42418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 anchorCtr="0">
          <a:spAutoFit/>
        </a:bodyPr>
        <a:p>
          <a:pPr algn="l"/>
          <a:r>
            <a:rPr lang="en-IN" altLang="en-US" sz="2000" b="1"/>
            <a:t>COMMULATIVE REJECTION DETAILS 2025-26</a:t>
          </a:r>
          <a:endParaRPr lang="en-IN" altLang="en-US" sz="2000" b="1"/>
        </a:p>
      </xdr:txBody>
    </xdr:sp>
    <xdr:clientData/>
  </xdr:oneCellAnchor>
  <xdr:twoCellAnchor>
    <xdr:from>
      <xdr:col>11</xdr:col>
      <xdr:colOff>62230</xdr:colOff>
      <xdr:row>34</xdr:row>
      <xdr:rowOff>89535</xdr:rowOff>
    </xdr:from>
    <xdr:to>
      <xdr:col>11</xdr:col>
      <xdr:colOff>158750</xdr:colOff>
      <xdr:row>36</xdr:row>
      <xdr:rowOff>48260</xdr:rowOff>
    </xdr:to>
    <xdr:sp>
      <xdr:nvSpPr>
        <xdr:cNvPr id="4" name="Down Arrow 3"/>
        <xdr:cNvSpPr/>
      </xdr:nvSpPr>
      <xdr:spPr>
        <a:xfrm>
          <a:off x="5847715" y="11443335"/>
          <a:ext cx="96520" cy="339725"/>
        </a:xfrm>
        <a:prstGeom prst="down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11</xdr:col>
      <xdr:colOff>151130</xdr:colOff>
      <xdr:row>40</xdr:row>
      <xdr:rowOff>8255</xdr:rowOff>
    </xdr:from>
    <xdr:to>
      <xdr:col>22</xdr:col>
      <xdr:colOff>156845</xdr:colOff>
      <xdr:row>54</xdr:row>
      <xdr:rowOff>84455</xdr:rowOff>
    </xdr:to>
    <xdr:graphicFrame>
      <xdr:nvGraphicFramePr>
        <xdr:cNvPr id="6" name="Chart 5"/>
        <xdr:cNvGraphicFramePr/>
      </xdr:nvGraphicFramePr>
      <xdr:xfrm>
        <a:off x="5936615" y="12505055"/>
        <a:ext cx="459676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27"/>
  <sheetViews>
    <sheetView zoomScale="85" zoomScaleNormal="85" workbookViewId="0">
      <selection activeCell="C1" sqref="C1:W3"/>
    </sheetView>
  </sheetViews>
  <sheetFormatPr defaultColWidth="9.14285714285714" defaultRowHeight="15"/>
  <cols>
    <col min="3" max="3" width="10.5714285714286" customWidth="1"/>
    <col min="4" max="4" width="12.8571428571429"/>
    <col min="5" max="5" width="9.71428571428571" customWidth="1"/>
    <col min="6" max="6" width="11.4285714285714" customWidth="1"/>
    <col min="8" max="8" width="6.71428571428571" customWidth="1"/>
    <col min="9" max="9" width="6.85714285714286" customWidth="1"/>
    <col min="10" max="10" width="5" customWidth="1"/>
    <col min="11" max="11" width="4.27619047619048" customWidth="1"/>
    <col min="12" max="12" width="4.5047619047619" customWidth="1"/>
    <col min="13" max="13" width="3.71428571428571" customWidth="1"/>
    <col min="14" max="14" width="4.57142857142857" customWidth="1"/>
    <col min="15" max="15" width="3.71428571428571" customWidth="1"/>
    <col min="16" max="16" width="4.57142857142857" customWidth="1"/>
    <col min="17" max="17" width="4.71428571428571" customWidth="1"/>
    <col min="18" max="18" width="5" customWidth="1"/>
    <col min="19" max="19" width="4.42857142857143" customWidth="1"/>
    <col min="20" max="21" width="4.57142857142857" customWidth="1"/>
    <col min="22" max="22" width="4.93333333333333" customWidth="1"/>
    <col min="23" max="23" width="4.42857142857143" customWidth="1"/>
    <col min="24" max="24" width="4.57142857142857" customWidth="1"/>
    <col min="25" max="25" width="4.71428571428571" customWidth="1"/>
    <col min="26" max="26" width="5" customWidth="1"/>
    <col min="27" max="27" width="4" customWidth="1"/>
    <col min="28" max="28" width="4.71428571428571" customWidth="1"/>
    <col min="29" max="29" width="6.25714285714286" customWidth="1"/>
  </cols>
  <sheetData>
    <row r="1" spans="1:29">
      <c r="A1" s="159"/>
      <c r="B1" s="159"/>
      <c r="C1" s="160" t="s">
        <v>0</v>
      </c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  <c r="W1" s="159"/>
      <c r="X1" s="164" t="s">
        <v>1</v>
      </c>
      <c r="Y1" s="164"/>
      <c r="Z1" s="164"/>
      <c r="AA1" s="164" t="s">
        <v>2</v>
      </c>
      <c r="AB1" s="164"/>
      <c r="AC1" s="164"/>
    </row>
    <row r="2" spans="1:29">
      <c r="A2" s="159"/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64" t="s">
        <v>3</v>
      </c>
      <c r="Y2" s="164"/>
      <c r="Z2" s="164"/>
      <c r="AA2" s="166" t="s">
        <v>4</v>
      </c>
      <c r="AB2" s="166"/>
      <c r="AC2" s="166"/>
    </row>
    <row r="3" spans="1:29">
      <c r="A3" s="159"/>
      <c r="B3" s="159"/>
      <c r="C3" s="159"/>
      <c r="D3" s="159"/>
      <c r="E3" s="159"/>
      <c r="F3" s="159"/>
      <c r="G3" s="159"/>
      <c r="H3" s="159"/>
      <c r="I3" s="159"/>
      <c r="J3" s="159"/>
      <c r="K3" s="159"/>
      <c r="L3" s="159"/>
      <c r="M3" s="159"/>
      <c r="N3" s="159"/>
      <c r="O3" s="159"/>
      <c r="P3" s="159"/>
      <c r="Q3" s="159"/>
      <c r="R3" s="159"/>
      <c r="S3" s="159"/>
      <c r="T3" s="159"/>
      <c r="U3" s="159"/>
      <c r="V3" s="159"/>
      <c r="W3" s="159"/>
      <c r="X3" s="164" t="s">
        <v>5</v>
      </c>
      <c r="Y3" s="164"/>
      <c r="Z3" s="164"/>
      <c r="AA3" s="166" t="s">
        <v>6</v>
      </c>
      <c r="AB3" s="166"/>
      <c r="AC3" s="166"/>
    </row>
    <row r="4" ht="15.75" spans="1:29">
      <c r="A4" s="159"/>
      <c r="B4" s="159"/>
      <c r="C4" s="161" t="s">
        <v>7</v>
      </c>
      <c r="D4" s="159"/>
      <c r="E4" s="159"/>
      <c r="F4" s="159"/>
      <c r="G4" s="159"/>
      <c r="H4" s="159"/>
      <c r="I4" s="159"/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59"/>
      <c r="U4" s="159"/>
      <c r="V4" s="159"/>
      <c r="W4" s="159"/>
      <c r="X4" s="153" t="s">
        <v>8</v>
      </c>
      <c r="Y4" s="153"/>
      <c r="Z4" s="153"/>
      <c r="AA4" s="153"/>
      <c r="AB4" s="153"/>
      <c r="AC4" s="153"/>
    </row>
    <row r="5" ht="13" customHeight="1" spans="1:30">
      <c r="A5" s="162"/>
      <c r="B5" s="162"/>
      <c r="C5" s="162"/>
      <c r="D5" s="162"/>
      <c r="E5" s="162"/>
      <c r="F5" s="162"/>
      <c r="G5" s="162"/>
      <c r="H5" s="162"/>
      <c r="I5" s="162"/>
      <c r="J5" s="162"/>
      <c r="K5" s="162"/>
      <c r="L5" s="162"/>
      <c r="M5" s="162"/>
      <c r="N5" s="162"/>
      <c r="O5" s="162"/>
      <c r="P5" s="162"/>
      <c r="Q5" s="162"/>
      <c r="R5" s="162"/>
      <c r="S5" s="162"/>
      <c r="T5" s="162"/>
      <c r="U5" s="162"/>
      <c r="V5" s="162"/>
      <c r="W5" s="162"/>
      <c r="X5" s="162"/>
      <c r="Y5" s="162"/>
      <c r="Z5" s="162"/>
      <c r="AA5" s="162"/>
      <c r="AB5" s="162"/>
      <c r="AC5" s="162"/>
      <c r="AD5" s="17"/>
    </row>
    <row r="6" ht="21" customHeight="1" spans="1:29">
      <c r="A6" s="4" t="s">
        <v>9</v>
      </c>
      <c r="B6" s="152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 spans="1:29">
      <c r="A7" s="63" t="s">
        <v>10</v>
      </c>
      <c r="B7" s="63" t="s">
        <v>11</v>
      </c>
      <c r="C7" s="63" t="s">
        <v>12</v>
      </c>
      <c r="D7" s="63" t="s">
        <v>13</v>
      </c>
      <c r="E7" s="63" t="s">
        <v>14</v>
      </c>
      <c r="F7" s="153" t="s">
        <v>15</v>
      </c>
      <c r="G7" s="153" t="s">
        <v>16</v>
      </c>
      <c r="H7" s="63" t="s">
        <v>17</v>
      </c>
      <c r="I7" s="63" t="s">
        <v>18</v>
      </c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</row>
    <row r="8" spans="1:29">
      <c r="A8" s="63"/>
      <c r="B8" s="63"/>
      <c r="C8" s="63"/>
      <c r="D8" s="63"/>
      <c r="E8" s="63"/>
      <c r="F8" s="153"/>
      <c r="G8" s="153"/>
      <c r="H8" s="63"/>
      <c r="I8" s="63">
        <v>1</v>
      </c>
      <c r="J8" s="63">
        <v>2</v>
      </c>
      <c r="K8" s="63">
        <v>3</v>
      </c>
      <c r="L8" s="63">
        <v>4</v>
      </c>
      <c r="M8" s="63">
        <v>5</v>
      </c>
      <c r="N8" s="63">
        <v>6</v>
      </c>
      <c r="O8" s="63">
        <v>7</v>
      </c>
      <c r="P8" s="63">
        <v>8</v>
      </c>
      <c r="Q8" s="63">
        <v>9</v>
      </c>
      <c r="R8" s="63">
        <v>10</v>
      </c>
      <c r="S8" s="63">
        <v>11</v>
      </c>
      <c r="T8" s="63">
        <v>12</v>
      </c>
      <c r="U8" s="63">
        <v>13</v>
      </c>
      <c r="V8" s="63">
        <v>14</v>
      </c>
      <c r="W8" s="63">
        <v>15</v>
      </c>
      <c r="X8" s="63">
        <v>16</v>
      </c>
      <c r="Y8" s="63">
        <v>17</v>
      </c>
      <c r="Z8" s="63">
        <v>18</v>
      </c>
      <c r="AA8" s="63">
        <v>19</v>
      </c>
      <c r="AB8" s="63">
        <v>20</v>
      </c>
      <c r="AC8" s="63">
        <v>21</v>
      </c>
    </row>
    <row r="9" spans="1:29">
      <c r="A9" s="63"/>
      <c r="B9" s="63"/>
      <c r="C9" s="63"/>
      <c r="D9" s="63"/>
      <c r="E9" s="63"/>
      <c r="F9" s="153"/>
      <c r="G9" s="153"/>
      <c r="H9" s="63"/>
      <c r="I9" s="63" t="s">
        <v>19</v>
      </c>
      <c r="J9" s="63" t="s">
        <v>20</v>
      </c>
      <c r="K9" s="63" t="s">
        <v>21</v>
      </c>
      <c r="L9" s="63" t="s">
        <v>22</v>
      </c>
      <c r="M9" s="63" t="s">
        <v>23</v>
      </c>
      <c r="N9" s="63" t="s">
        <v>24</v>
      </c>
      <c r="O9" s="63" t="s">
        <v>25</v>
      </c>
      <c r="P9" s="63" t="s">
        <v>26</v>
      </c>
      <c r="Q9" s="63" t="s">
        <v>27</v>
      </c>
      <c r="R9" s="63" t="s">
        <v>28</v>
      </c>
      <c r="S9" s="63" t="s">
        <v>29</v>
      </c>
      <c r="T9" s="63" t="s">
        <v>30</v>
      </c>
      <c r="U9" s="63" t="s">
        <v>31</v>
      </c>
      <c r="V9" s="63" t="s">
        <v>32</v>
      </c>
      <c r="W9" s="63" t="s">
        <v>33</v>
      </c>
      <c r="X9" s="63" t="s">
        <v>34</v>
      </c>
      <c r="Y9" s="63" t="s">
        <v>35</v>
      </c>
      <c r="Z9" s="63" t="s">
        <v>36</v>
      </c>
      <c r="AA9" s="63" t="s">
        <v>37</v>
      </c>
      <c r="AB9" s="63" t="s">
        <v>38</v>
      </c>
      <c r="AC9" s="63" t="s">
        <v>39</v>
      </c>
    </row>
    <row r="10" ht="32" customHeight="1" spans="1:29">
      <c r="A10" s="10"/>
      <c r="B10" s="10"/>
      <c r="C10" s="10"/>
      <c r="D10" s="10"/>
      <c r="E10" s="10"/>
      <c r="F10" s="10"/>
      <c r="G10" s="10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</row>
    <row r="11" ht="32" customHeight="1" spans="1:29">
      <c r="A11" s="10"/>
      <c r="B11" s="10"/>
      <c r="C11" s="10"/>
      <c r="D11" s="10"/>
      <c r="E11" s="10"/>
      <c r="F11" s="10"/>
      <c r="G11" s="10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</row>
    <row r="12" ht="32" customHeight="1" spans="1:29">
      <c r="A12" s="10"/>
      <c r="B12" s="10"/>
      <c r="C12" s="10"/>
      <c r="D12" s="10"/>
      <c r="E12" s="10"/>
      <c r="F12" s="10"/>
      <c r="G12" s="10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</row>
    <row r="13" ht="32" customHeight="1" spans="1:29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</row>
    <row r="14" ht="32" customHeight="1" spans="1:29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</row>
    <row r="15" ht="32" customHeight="1" spans="1:29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</row>
    <row r="16" ht="32" customHeight="1" spans="1:29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</row>
    <row r="17" ht="32" customHeight="1" spans="1:29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</row>
    <row r="18" ht="32" customHeight="1" spans="1:29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</row>
    <row r="19" ht="32" customHeight="1" spans="1:29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</row>
    <row r="20" ht="32" customHeight="1" spans="1:29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</row>
    <row r="21" ht="32" customHeight="1" spans="1:29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</row>
    <row r="22" ht="32" customHeight="1" spans="1:29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</row>
    <row r="23" ht="32" customHeight="1" spans="1:29">
      <c r="A23" s="63" t="s">
        <v>40</v>
      </c>
      <c r="B23" s="63"/>
      <c r="C23" s="150"/>
      <c r="D23" s="150"/>
      <c r="E23" s="150"/>
      <c r="F23" s="154"/>
      <c r="G23" s="155"/>
      <c r="H23" s="155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</row>
    <row r="24" ht="32" customHeight="1" spans="1:29">
      <c r="A24" s="156" t="s">
        <v>41</v>
      </c>
      <c r="B24" s="157"/>
      <c r="C24" s="150"/>
      <c r="D24" s="150"/>
      <c r="E24" s="150"/>
      <c r="F24" s="154"/>
      <c r="G24" s="155"/>
      <c r="H24" s="155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</row>
    <row r="25" spans="1:29">
      <c r="A25" s="19" t="s">
        <v>42</v>
      </c>
      <c r="B25" s="19"/>
      <c r="C25" s="19"/>
      <c r="D25" s="19" t="s">
        <v>43</v>
      </c>
      <c r="E25" s="19"/>
      <c r="F25" s="19"/>
      <c r="G25" s="60" t="s">
        <v>44</v>
      </c>
      <c r="H25" s="60"/>
      <c r="I25" s="60"/>
      <c r="J25" s="10" t="s">
        <v>45</v>
      </c>
      <c r="K25" s="10"/>
      <c r="L25" s="10"/>
      <c r="M25" s="41" t="s">
        <v>46</v>
      </c>
      <c r="N25" s="163"/>
      <c r="O25" s="163"/>
      <c r="P25" s="163"/>
      <c r="Q25" s="165"/>
      <c r="R25" s="10" t="s">
        <v>47</v>
      </c>
      <c r="S25" s="10"/>
      <c r="T25" s="10"/>
      <c r="U25" s="10"/>
      <c r="V25" s="10" t="s">
        <v>48</v>
      </c>
      <c r="W25" s="10"/>
      <c r="X25" s="10"/>
      <c r="Y25" s="10"/>
      <c r="Z25" s="10"/>
      <c r="AA25" s="18"/>
      <c r="AB25" s="18"/>
      <c r="AC25" s="18"/>
    </row>
    <row r="26" spans="1:29">
      <c r="A26" s="19" t="s">
        <v>49</v>
      </c>
      <c r="B26" s="19"/>
      <c r="C26" s="19"/>
      <c r="D26" s="19" t="s">
        <v>50</v>
      </c>
      <c r="E26" s="19"/>
      <c r="F26" s="19"/>
      <c r="G26" s="60" t="s">
        <v>51</v>
      </c>
      <c r="H26" s="60"/>
      <c r="I26" s="60"/>
      <c r="J26" s="10" t="s">
        <v>52</v>
      </c>
      <c r="K26" s="10"/>
      <c r="L26" s="10"/>
      <c r="M26" s="10"/>
      <c r="N26" s="10" t="s">
        <v>53</v>
      </c>
      <c r="O26" s="10"/>
      <c r="P26" s="10"/>
      <c r="Q26" s="10"/>
      <c r="R26" s="10" t="s">
        <v>54</v>
      </c>
      <c r="S26" s="10"/>
      <c r="T26" s="10"/>
      <c r="U26" s="10"/>
      <c r="V26" s="10"/>
      <c r="W26" s="10" t="s">
        <v>55</v>
      </c>
      <c r="X26" s="10"/>
      <c r="Y26" s="10"/>
      <c r="Z26" s="10"/>
      <c r="AA26" s="18"/>
      <c r="AB26" s="18"/>
      <c r="AC26" s="18"/>
    </row>
    <row r="27" spans="1:29">
      <c r="A27" s="19" t="s">
        <v>56</v>
      </c>
      <c r="B27" s="19"/>
      <c r="C27" s="19"/>
      <c r="D27" s="19" t="s">
        <v>57</v>
      </c>
      <c r="E27" s="19"/>
      <c r="F27" s="19"/>
      <c r="G27" s="10" t="s">
        <v>58</v>
      </c>
      <c r="H27" s="10"/>
      <c r="I27" s="10"/>
      <c r="J27" s="10" t="s">
        <v>59</v>
      </c>
      <c r="K27" s="10"/>
      <c r="L27" s="10"/>
      <c r="M27" s="10"/>
      <c r="N27" s="41" t="s">
        <v>60</v>
      </c>
      <c r="O27" s="163"/>
      <c r="P27" s="163"/>
      <c r="Q27" s="163"/>
      <c r="R27" s="165"/>
      <c r="S27" s="10" t="s">
        <v>61</v>
      </c>
      <c r="T27" s="10"/>
      <c r="U27" s="10"/>
      <c r="V27" s="10"/>
      <c r="W27" s="10"/>
      <c r="X27" s="10" t="s">
        <v>62</v>
      </c>
      <c r="Y27" s="10"/>
      <c r="Z27" s="10"/>
      <c r="AA27" s="10"/>
      <c r="AB27" s="10"/>
      <c r="AC27" s="18"/>
    </row>
  </sheetData>
  <mergeCells count="43">
    <mergeCell ref="X1:Z1"/>
    <mergeCell ref="AA1:AC1"/>
    <mergeCell ref="X2:Z2"/>
    <mergeCell ref="AA2:AC2"/>
    <mergeCell ref="X3:Z3"/>
    <mergeCell ref="AA3:AC3"/>
    <mergeCell ref="C4:W4"/>
    <mergeCell ref="X4:AC4"/>
    <mergeCell ref="B6:C6"/>
    <mergeCell ref="I7:AC7"/>
    <mergeCell ref="A23:B23"/>
    <mergeCell ref="A24:B24"/>
    <mergeCell ref="A25:C25"/>
    <mergeCell ref="D25:F25"/>
    <mergeCell ref="G25:I25"/>
    <mergeCell ref="J25:L25"/>
    <mergeCell ref="M25:Q25"/>
    <mergeCell ref="R25:U25"/>
    <mergeCell ref="V25:Z25"/>
    <mergeCell ref="A26:C26"/>
    <mergeCell ref="D26:F26"/>
    <mergeCell ref="G26:I26"/>
    <mergeCell ref="J26:M26"/>
    <mergeCell ref="N26:Q26"/>
    <mergeCell ref="R26:V26"/>
    <mergeCell ref="W26:Z26"/>
    <mergeCell ref="A27:C27"/>
    <mergeCell ref="D27:F27"/>
    <mergeCell ref="G27:I27"/>
    <mergeCell ref="J27:M27"/>
    <mergeCell ref="N27:R27"/>
    <mergeCell ref="S27:W27"/>
    <mergeCell ref="X27:AB27"/>
    <mergeCell ref="A7:A9"/>
    <mergeCell ref="B7:B9"/>
    <mergeCell ref="C7:C9"/>
    <mergeCell ref="D7:D9"/>
    <mergeCell ref="E7:E9"/>
    <mergeCell ref="F7:F9"/>
    <mergeCell ref="G7:G9"/>
    <mergeCell ref="H7:H9"/>
    <mergeCell ref="A1:B4"/>
    <mergeCell ref="C1:W3"/>
  </mergeCells>
  <pageMargins left="0.251388888888889" right="0.251388888888889" top="0.251388888888889" bottom="0.251388888888889" header="0.298611111111111" footer="0.298611111111111"/>
  <pageSetup paperSize="9" scale="81" orientation="landscape" horizontalDpi="600"/>
  <headerFooter>
    <oddFooter>&amp;L&amp;12ASSEMBLY SUPERVISOR:&amp;R&amp;12QUALITY MANAGER: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C25"/>
  <sheetViews>
    <sheetView workbookViewId="0">
      <selection activeCell="AH10" sqref="AH10"/>
    </sheetView>
  </sheetViews>
  <sheetFormatPr defaultColWidth="9.14285714285714" defaultRowHeight="15"/>
  <cols>
    <col min="3" max="3" width="10.5714285714286" customWidth="1"/>
    <col min="4" max="4" width="12.8571428571429"/>
    <col min="6" max="6" width="11.4285714285714" customWidth="1"/>
    <col min="8" max="8" width="6.71428571428571" customWidth="1"/>
    <col min="9" max="9" width="6.85714285714286" customWidth="1"/>
    <col min="10" max="10" width="5" customWidth="1"/>
    <col min="11" max="11" width="3.85714285714286" customWidth="1"/>
    <col min="12" max="13" width="3.71428571428571" customWidth="1"/>
    <col min="14" max="14" width="4.57142857142857" customWidth="1"/>
    <col min="15" max="15" width="3.71428571428571" customWidth="1"/>
    <col min="16" max="16" width="4.57142857142857" customWidth="1"/>
    <col min="17" max="17" width="4.71428571428571" customWidth="1"/>
    <col min="18" max="18" width="5" customWidth="1"/>
    <col min="19" max="19" width="4.42857142857143" customWidth="1"/>
    <col min="20" max="20" width="4.57142857142857" customWidth="1"/>
    <col min="21" max="21" width="3.71428571428571" customWidth="1"/>
    <col min="22" max="22" width="3.57142857142857" customWidth="1"/>
    <col min="23" max="23" width="4.42857142857143" customWidth="1"/>
    <col min="24" max="24" width="4.57142857142857" customWidth="1"/>
    <col min="25" max="25" width="4.71428571428571" customWidth="1"/>
    <col min="26" max="26" width="3.57142857142857" customWidth="1"/>
    <col min="27" max="27" width="4" customWidth="1"/>
    <col min="28" max="29" width="4.71428571428571" customWidth="1"/>
  </cols>
  <sheetData>
    <row r="1" spans="1:29">
      <c r="A1" s="151" t="s">
        <v>63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</row>
    <row r="2" spans="1:29">
      <c r="A2" s="151"/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1"/>
      <c r="W2" s="151"/>
      <c r="X2" s="151"/>
      <c r="Y2" s="151"/>
      <c r="Z2" s="151"/>
      <c r="AA2" s="151"/>
      <c r="AB2" s="151"/>
      <c r="AC2" s="151"/>
    </row>
    <row r="3" ht="41" customHeight="1" spans="1:29">
      <c r="A3" s="151"/>
      <c r="B3" s="151"/>
      <c r="C3" s="151"/>
      <c r="D3" s="151"/>
      <c r="E3" s="151"/>
      <c r="F3" s="151"/>
      <c r="G3" s="151"/>
      <c r="H3" s="151"/>
      <c r="I3" s="151"/>
      <c r="J3" s="151"/>
      <c r="K3" s="151"/>
      <c r="L3" s="151"/>
      <c r="M3" s="151"/>
      <c r="N3" s="151"/>
      <c r="O3" s="151"/>
      <c r="P3" s="151"/>
      <c r="Q3" s="151"/>
      <c r="R3" s="151"/>
      <c r="S3" s="151"/>
      <c r="T3" s="151"/>
      <c r="U3" s="151"/>
      <c r="V3" s="151"/>
      <c r="W3" s="151"/>
      <c r="X3" s="151"/>
      <c r="Y3" s="151"/>
      <c r="Z3" s="151"/>
      <c r="AA3" s="151"/>
      <c r="AB3" s="151"/>
      <c r="AC3" s="151"/>
    </row>
    <row r="4" ht="21" customHeight="1" spans="1:29">
      <c r="A4" s="4" t="s">
        <v>9</v>
      </c>
      <c r="B4" s="152">
        <v>45692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spans="1:29">
      <c r="A5" s="63" t="s">
        <v>10</v>
      </c>
      <c r="B5" s="63" t="s">
        <v>11</v>
      </c>
      <c r="C5" s="63" t="s">
        <v>12</v>
      </c>
      <c r="D5" s="63" t="s">
        <v>64</v>
      </c>
      <c r="E5" s="63" t="s">
        <v>65</v>
      </c>
      <c r="F5" s="153" t="s">
        <v>66</v>
      </c>
      <c r="G5" s="153" t="s">
        <v>16</v>
      </c>
      <c r="H5" s="63" t="s">
        <v>17</v>
      </c>
      <c r="I5" s="63" t="s">
        <v>18</v>
      </c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</row>
    <row r="6" spans="1:29">
      <c r="A6" s="63"/>
      <c r="B6" s="63"/>
      <c r="C6" s="63"/>
      <c r="D6" s="63"/>
      <c r="E6" s="63"/>
      <c r="F6" s="153"/>
      <c r="G6" s="153"/>
      <c r="H6" s="63"/>
      <c r="I6" s="63">
        <v>1</v>
      </c>
      <c r="J6" s="63">
        <v>2</v>
      </c>
      <c r="K6" s="63">
        <v>3</v>
      </c>
      <c r="L6" s="63">
        <v>4</v>
      </c>
      <c r="M6" s="63">
        <v>5</v>
      </c>
      <c r="N6" s="63">
        <v>6</v>
      </c>
      <c r="O6" s="63">
        <v>7</v>
      </c>
      <c r="P6" s="63">
        <v>8</v>
      </c>
      <c r="Q6" s="63">
        <v>9</v>
      </c>
      <c r="R6" s="63">
        <v>10</v>
      </c>
      <c r="S6" s="63">
        <v>11</v>
      </c>
      <c r="T6" s="63">
        <v>12</v>
      </c>
      <c r="U6" s="63">
        <v>13</v>
      </c>
      <c r="V6" s="63">
        <v>14</v>
      </c>
      <c r="W6" s="63">
        <v>15</v>
      </c>
      <c r="X6" s="63">
        <v>16</v>
      </c>
      <c r="Y6" s="63">
        <v>17</v>
      </c>
      <c r="Z6" s="63">
        <v>18</v>
      </c>
      <c r="AA6" s="63">
        <v>19</v>
      </c>
      <c r="AB6" s="63">
        <v>20</v>
      </c>
      <c r="AC6" s="63">
        <v>21</v>
      </c>
    </row>
    <row r="7" spans="1:29">
      <c r="A7" s="63"/>
      <c r="B7" s="63"/>
      <c r="C7" s="63"/>
      <c r="D7" s="63"/>
      <c r="E7" s="63"/>
      <c r="F7" s="153"/>
      <c r="G7" s="153"/>
      <c r="H7" s="63"/>
      <c r="I7" s="63" t="s">
        <v>19</v>
      </c>
      <c r="J7" s="63" t="s">
        <v>20</v>
      </c>
      <c r="K7" s="63" t="s">
        <v>21</v>
      </c>
      <c r="L7" s="63" t="s">
        <v>22</v>
      </c>
      <c r="M7" s="63" t="s">
        <v>23</v>
      </c>
      <c r="N7" s="63" t="s">
        <v>24</v>
      </c>
      <c r="O7" s="63" t="s">
        <v>25</v>
      </c>
      <c r="P7" s="63" t="s">
        <v>26</v>
      </c>
      <c r="Q7" s="63" t="s">
        <v>27</v>
      </c>
      <c r="R7" s="63" t="s">
        <v>28</v>
      </c>
      <c r="S7" s="63" t="s">
        <v>29</v>
      </c>
      <c r="T7" s="63" t="s">
        <v>30</v>
      </c>
      <c r="U7" s="63" t="s">
        <v>31</v>
      </c>
      <c r="V7" s="63" t="s">
        <v>32</v>
      </c>
      <c r="W7" s="63" t="s">
        <v>33</v>
      </c>
      <c r="X7" s="63" t="s">
        <v>34</v>
      </c>
      <c r="Y7" s="63" t="s">
        <v>35</v>
      </c>
      <c r="Z7" s="63" t="s">
        <v>36</v>
      </c>
      <c r="AA7" s="63" t="s">
        <v>37</v>
      </c>
      <c r="AB7" s="63" t="s">
        <v>38</v>
      </c>
      <c r="AC7" s="63" t="s">
        <v>39</v>
      </c>
    </row>
    <row r="8" spans="1:29">
      <c r="A8" s="10" t="s">
        <v>67</v>
      </c>
      <c r="B8" s="10" t="s">
        <v>68</v>
      </c>
      <c r="C8" s="10">
        <v>2374</v>
      </c>
      <c r="D8" s="10">
        <v>2173</v>
      </c>
      <c r="E8" s="10">
        <v>140</v>
      </c>
      <c r="F8" s="10"/>
      <c r="G8" s="10">
        <v>61</v>
      </c>
      <c r="H8" s="18">
        <f t="shared" ref="H8:H10" si="0">G8/C8*100</f>
        <v>2.56950294860994</v>
      </c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</row>
    <row r="9" spans="1:29">
      <c r="A9" s="10" t="s">
        <v>69</v>
      </c>
      <c r="B9" s="10" t="s">
        <v>68</v>
      </c>
      <c r="C9" s="10">
        <v>3174</v>
      </c>
      <c r="D9" s="10">
        <v>3094</v>
      </c>
      <c r="E9" s="10">
        <v>44</v>
      </c>
      <c r="F9" s="10"/>
      <c r="G9" s="10">
        <v>36</v>
      </c>
      <c r="H9" s="18">
        <f t="shared" si="0"/>
        <v>1.13421550094518</v>
      </c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</row>
    <row r="10" spans="1:29">
      <c r="A10" s="10" t="s">
        <v>70</v>
      </c>
      <c r="B10" s="10" t="s">
        <v>68</v>
      </c>
      <c r="C10" s="10">
        <v>790</v>
      </c>
      <c r="D10" s="10">
        <v>500</v>
      </c>
      <c r="E10" s="10">
        <v>258</v>
      </c>
      <c r="F10" s="10"/>
      <c r="G10" s="10">
        <v>32</v>
      </c>
      <c r="H10" s="18">
        <f t="shared" si="0"/>
        <v>4.05063291139241</v>
      </c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</row>
    <row r="11" ht="24" customHeight="1" spans="1:29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</row>
    <row r="12" ht="20" customHeight="1" spans="1:29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</row>
    <row r="13" ht="24" customHeight="1" spans="1:29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</row>
    <row r="14" ht="19" customHeight="1" spans="1:29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</row>
    <row r="15" ht="19" customHeight="1" spans="1:29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</row>
    <row r="16" ht="25" customHeight="1" spans="1:29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</row>
    <row r="17" ht="27" customHeight="1" spans="1:29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</row>
    <row r="18" ht="24" customHeight="1" spans="1:29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</row>
    <row r="19" ht="31" customHeight="1" spans="1:29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</row>
    <row r="20" ht="28" customHeight="1" spans="1:29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</row>
    <row r="21" ht="27" customHeight="1" spans="1:29">
      <c r="A21" s="63" t="s">
        <v>40</v>
      </c>
      <c r="B21" s="63"/>
      <c r="C21" s="150">
        <f>SUM(C8:C10)</f>
        <v>6338</v>
      </c>
      <c r="D21" s="150">
        <f>SUM(D8:D10)</f>
        <v>5767</v>
      </c>
      <c r="E21" s="150">
        <f>SUM(E8:E10)</f>
        <v>442</v>
      </c>
      <c r="F21" s="154"/>
      <c r="G21" s="155">
        <f>SUM(G8:G10)</f>
        <v>129</v>
      </c>
      <c r="H21" s="155">
        <f>SUM(H8:H10)</f>
        <v>7.75435136094753</v>
      </c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</row>
    <row r="22" ht="27" customHeight="1" spans="1:29">
      <c r="A22" s="156" t="s">
        <v>41</v>
      </c>
      <c r="B22" s="157"/>
      <c r="C22" s="150"/>
      <c r="D22" s="150">
        <f>D21/C21*100</f>
        <v>90.9908488482171</v>
      </c>
      <c r="E22" s="150"/>
      <c r="F22" s="154"/>
      <c r="G22" s="155"/>
      <c r="H22" s="155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</row>
    <row r="23" spans="1:29">
      <c r="A23" s="19" t="s">
        <v>71</v>
      </c>
      <c r="B23" s="19"/>
      <c r="C23" s="19"/>
      <c r="D23" s="10" t="s">
        <v>43</v>
      </c>
      <c r="E23" s="10"/>
      <c r="F23" s="10"/>
      <c r="G23" s="60" t="s">
        <v>44</v>
      </c>
      <c r="H23" s="60"/>
      <c r="I23" s="60"/>
      <c r="J23" s="10" t="s">
        <v>45</v>
      </c>
      <c r="K23" s="10"/>
      <c r="L23" s="10"/>
      <c r="M23" s="158" t="s">
        <v>46</v>
      </c>
      <c r="N23" s="158"/>
      <c r="O23" s="158"/>
      <c r="P23" s="158"/>
      <c r="Q23" s="158"/>
      <c r="R23" s="10" t="s">
        <v>47</v>
      </c>
      <c r="S23" s="10"/>
      <c r="T23" s="10"/>
      <c r="U23" s="10"/>
      <c r="V23" s="10" t="s">
        <v>48</v>
      </c>
      <c r="W23" s="10"/>
      <c r="X23" s="10"/>
      <c r="Y23" s="10"/>
      <c r="Z23" s="10"/>
      <c r="AA23" s="18"/>
      <c r="AB23" s="18"/>
      <c r="AC23" s="18"/>
    </row>
    <row r="24" spans="1:29">
      <c r="A24" s="19" t="s">
        <v>49</v>
      </c>
      <c r="B24" s="19"/>
      <c r="C24" s="19"/>
      <c r="D24" s="10" t="s">
        <v>50</v>
      </c>
      <c r="E24" s="10"/>
      <c r="F24" s="10"/>
      <c r="G24" s="60" t="s">
        <v>51</v>
      </c>
      <c r="H24" s="60"/>
      <c r="I24" s="60"/>
      <c r="J24" s="10" t="s">
        <v>52</v>
      </c>
      <c r="K24" s="10"/>
      <c r="L24" s="10"/>
      <c r="M24" s="10"/>
      <c r="N24" s="10" t="s">
        <v>53</v>
      </c>
      <c r="O24" s="10"/>
      <c r="P24" s="10"/>
      <c r="Q24" s="10"/>
      <c r="R24" s="10" t="s">
        <v>54</v>
      </c>
      <c r="S24" s="10"/>
      <c r="T24" s="10"/>
      <c r="U24" s="10"/>
      <c r="V24" s="10"/>
      <c r="W24" s="10" t="s">
        <v>55</v>
      </c>
      <c r="X24" s="10"/>
      <c r="Y24" s="10"/>
      <c r="Z24" s="10"/>
      <c r="AA24" s="18"/>
      <c r="AB24" s="18"/>
      <c r="AC24" s="18"/>
    </row>
    <row r="25" spans="1:29">
      <c r="A25" s="19" t="s">
        <v>72</v>
      </c>
      <c r="B25" s="19"/>
      <c r="C25" s="19"/>
      <c r="D25" s="10" t="s">
        <v>73</v>
      </c>
      <c r="E25" s="10"/>
      <c r="F25" s="10"/>
      <c r="G25" s="10" t="s">
        <v>58</v>
      </c>
      <c r="H25" s="10"/>
      <c r="I25" s="10"/>
      <c r="J25" s="10" t="s">
        <v>74</v>
      </c>
      <c r="K25" s="10"/>
      <c r="L25" s="10"/>
      <c r="M25" s="10"/>
      <c r="N25" s="10" t="s">
        <v>60</v>
      </c>
      <c r="O25" s="10"/>
      <c r="P25" s="10"/>
      <c r="Q25" s="10"/>
      <c r="R25" s="158"/>
      <c r="S25" s="10" t="s">
        <v>61</v>
      </c>
      <c r="T25" s="10"/>
      <c r="U25" s="10"/>
      <c r="V25" s="10"/>
      <c r="W25" s="10"/>
      <c r="X25" s="10" t="s">
        <v>62</v>
      </c>
      <c r="Y25" s="10"/>
      <c r="Z25" s="10"/>
      <c r="AA25" s="10"/>
      <c r="AB25" s="10"/>
      <c r="AC25" s="18"/>
    </row>
  </sheetData>
  <mergeCells count="33">
    <mergeCell ref="B4:C4"/>
    <mergeCell ref="I5:AC5"/>
    <mergeCell ref="A21:B21"/>
    <mergeCell ref="A22:B22"/>
    <mergeCell ref="A23:C23"/>
    <mergeCell ref="D23:F23"/>
    <mergeCell ref="G23:I23"/>
    <mergeCell ref="J23:L23"/>
    <mergeCell ref="R23:U23"/>
    <mergeCell ref="V23:Z23"/>
    <mergeCell ref="A24:C24"/>
    <mergeCell ref="D24:F24"/>
    <mergeCell ref="G24:I24"/>
    <mergeCell ref="J24:M24"/>
    <mergeCell ref="N24:Q24"/>
    <mergeCell ref="R24:V24"/>
    <mergeCell ref="W24:Z24"/>
    <mergeCell ref="A25:C25"/>
    <mergeCell ref="D25:F25"/>
    <mergeCell ref="G25:I25"/>
    <mergeCell ref="J25:M25"/>
    <mergeCell ref="N25:Q25"/>
    <mergeCell ref="S25:W25"/>
    <mergeCell ref="X25:AB25"/>
    <mergeCell ref="A5:A7"/>
    <mergeCell ref="B5:B7"/>
    <mergeCell ref="C5:C7"/>
    <mergeCell ref="D5:D7"/>
    <mergeCell ref="E5:E7"/>
    <mergeCell ref="F5:F7"/>
    <mergeCell ref="G5:G7"/>
    <mergeCell ref="H5:H7"/>
    <mergeCell ref="A1:AC3"/>
  </mergeCells>
  <pageMargins left="0.751388888888889" right="0.751388888888889" top="1" bottom="1" header="0.5" footer="0.5"/>
  <pageSetup paperSize="9" scale="73" orientation="landscape" horizontalDpi="600"/>
  <headerFooter>
    <oddHeader>&amp;LQC/01</oddHead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7"/>
  <sheetViews>
    <sheetView view="pageLayout" zoomScale="70" zoomScaleNormal="100" topLeftCell="A10" workbookViewId="0">
      <selection activeCell="E37" sqref="E37"/>
    </sheetView>
  </sheetViews>
  <sheetFormatPr defaultColWidth="9.14285714285714" defaultRowHeight="15"/>
  <cols>
    <col min="1" max="1" width="13.7142857142857" customWidth="1"/>
    <col min="2" max="6" width="10.952380952381" customWidth="1"/>
    <col min="7" max="22" width="6.2952380952381" customWidth="1"/>
    <col min="23" max="27" width="6.48571428571429" customWidth="1"/>
  </cols>
  <sheetData>
    <row r="1" ht="20" customHeight="1" spans="1:27">
      <c r="A1" s="1"/>
      <c r="B1" s="76" t="s">
        <v>75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20" t="s">
        <v>76</v>
      </c>
      <c r="X1" s="20"/>
      <c r="Y1" s="20"/>
      <c r="Z1" s="21" t="s">
        <v>77</v>
      </c>
      <c r="AA1" s="21"/>
    </row>
    <row r="2" ht="15.75" spans="1:27">
      <c r="A2" s="1"/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20" t="s">
        <v>78</v>
      </c>
      <c r="X2" s="20"/>
      <c r="Y2" s="20"/>
      <c r="Z2" s="21" t="s">
        <v>4</v>
      </c>
      <c r="AA2" s="21"/>
    </row>
    <row r="3" ht="22" customHeight="1" spans="1:27">
      <c r="A3" s="1"/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20" t="s">
        <v>79</v>
      </c>
      <c r="X3" s="20"/>
      <c r="Y3" s="20"/>
      <c r="Z3" s="22">
        <v>45692</v>
      </c>
      <c r="AA3" s="21"/>
    </row>
    <row r="4" ht="23.25" spans="1:27">
      <c r="A4" s="1"/>
      <c r="B4" s="78" t="s">
        <v>80</v>
      </c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1" t="s">
        <v>8</v>
      </c>
      <c r="X4" s="1"/>
      <c r="Y4" s="1"/>
      <c r="Z4" s="1"/>
      <c r="AA4" s="1"/>
    </row>
    <row r="5" ht="33" customHeight="1" spans="1:27">
      <c r="A5" s="4"/>
      <c r="B5" s="4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4"/>
      <c r="X5" s="4"/>
      <c r="Y5" s="4"/>
      <c r="Z5" s="4"/>
      <c r="AA5" s="4"/>
    </row>
    <row r="6" spans="1:27">
      <c r="A6" s="146" t="s">
        <v>81</v>
      </c>
      <c r="B6" s="146" t="s">
        <v>12</v>
      </c>
      <c r="C6" s="147" t="s">
        <v>13</v>
      </c>
      <c r="D6" s="147" t="s">
        <v>14</v>
      </c>
      <c r="E6" s="147" t="s">
        <v>16</v>
      </c>
      <c r="F6" s="146" t="s">
        <v>17</v>
      </c>
      <c r="G6" s="146" t="s">
        <v>18</v>
      </c>
      <c r="H6" s="146"/>
      <c r="I6" s="146"/>
      <c r="J6" s="146"/>
      <c r="K6" s="146"/>
      <c r="L6" s="146"/>
      <c r="M6" s="146"/>
      <c r="N6" s="146"/>
      <c r="O6" s="146"/>
      <c r="P6" s="146"/>
      <c r="Q6" s="146"/>
      <c r="R6" s="146"/>
      <c r="S6" s="146"/>
      <c r="T6" s="146"/>
      <c r="U6" s="146"/>
      <c r="V6" s="146"/>
      <c r="W6" s="146"/>
      <c r="X6" s="146"/>
      <c r="Y6" s="146"/>
      <c r="Z6" s="146"/>
      <c r="AA6" s="146"/>
    </row>
    <row r="7" spans="1:27">
      <c r="A7" s="146"/>
      <c r="B7" s="146"/>
      <c r="C7" s="147"/>
      <c r="D7" s="147"/>
      <c r="E7" s="147"/>
      <c r="F7" s="146"/>
      <c r="G7" s="146">
        <v>1</v>
      </c>
      <c r="H7" s="146">
        <v>2</v>
      </c>
      <c r="I7" s="146">
        <v>3</v>
      </c>
      <c r="J7" s="146">
        <v>4</v>
      </c>
      <c r="K7" s="146">
        <v>5</v>
      </c>
      <c r="L7" s="146">
        <v>6</v>
      </c>
      <c r="M7" s="146">
        <v>7</v>
      </c>
      <c r="N7" s="146">
        <v>8</v>
      </c>
      <c r="O7" s="146">
        <v>9</v>
      </c>
      <c r="P7" s="146">
        <v>10</v>
      </c>
      <c r="Q7" s="146">
        <v>11</v>
      </c>
      <c r="R7" s="146">
        <v>12</v>
      </c>
      <c r="S7" s="146">
        <v>13</v>
      </c>
      <c r="T7" s="146">
        <v>14</v>
      </c>
      <c r="U7" s="146">
        <v>15</v>
      </c>
      <c r="V7" s="146">
        <v>16</v>
      </c>
      <c r="W7" s="146">
        <v>17</v>
      </c>
      <c r="X7" s="146">
        <v>18</v>
      </c>
      <c r="Y7" s="146">
        <v>19</v>
      </c>
      <c r="Z7" s="146">
        <v>20</v>
      </c>
      <c r="AA7" s="146">
        <v>21</v>
      </c>
    </row>
    <row r="8" spans="1:27">
      <c r="A8" s="146"/>
      <c r="B8" s="146"/>
      <c r="C8" s="147"/>
      <c r="D8" s="147"/>
      <c r="E8" s="147"/>
      <c r="F8" s="146"/>
      <c r="G8" s="146" t="s">
        <v>19</v>
      </c>
      <c r="H8" s="146" t="s">
        <v>20</v>
      </c>
      <c r="I8" s="146" t="s">
        <v>21</v>
      </c>
      <c r="J8" s="146" t="s">
        <v>22</v>
      </c>
      <c r="K8" s="146" t="s">
        <v>23</v>
      </c>
      <c r="L8" s="146" t="s">
        <v>24</v>
      </c>
      <c r="M8" s="146" t="s">
        <v>25</v>
      </c>
      <c r="N8" s="146" t="s">
        <v>26</v>
      </c>
      <c r="O8" s="146" t="s">
        <v>27</v>
      </c>
      <c r="P8" s="146" t="s">
        <v>28</v>
      </c>
      <c r="Q8" s="146" t="s">
        <v>29</v>
      </c>
      <c r="R8" s="146" t="s">
        <v>30</v>
      </c>
      <c r="S8" s="146" t="s">
        <v>31</v>
      </c>
      <c r="T8" s="146" t="s">
        <v>32</v>
      </c>
      <c r="U8" s="146" t="s">
        <v>33</v>
      </c>
      <c r="V8" s="146" t="s">
        <v>34</v>
      </c>
      <c r="W8" s="146" t="s">
        <v>35</v>
      </c>
      <c r="X8" s="146" t="s">
        <v>36</v>
      </c>
      <c r="Y8" s="146" t="s">
        <v>37</v>
      </c>
      <c r="Z8" s="146" t="s">
        <v>38</v>
      </c>
      <c r="AA8" s="146" t="s">
        <v>39</v>
      </c>
    </row>
    <row r="9" ht="22" customHeight="1" spans="1:27">
      <c r="A9" s="39">
        <v>45748</v>
      </c>
      <c r="B9" s="10">
        <v>10982</v>
      </c>
      <c r="C9" s="10">
        <v>9627</v>
      </c>
      <c r="D9" s="10">
        <v>301</v>
      </c>
      <c r="E9" s="10">
        <f t="shared" ref="E9:E21" si="0">B9-(C9+D9)</f>
        <v>1054</v>
      </c>
      <c r="F9" s="11">
        <f t="shared" ref="F9:F19" si="1">E9/B9*100</f>
        <v>9.59752321981424</v>
      </c>
      <c r="G9" s="10">
        <v>181</v>
      </c>
      <c r="H9" s="10">
        <v>66</v>
      </c>
      <c r="I9" s="10"/>
      <c r="J9" s="10"/>
      <c r="K9" s="10">
        <v>616</v>
      </c>
      <c r="L9" s="10"/>
      <c r="M9" s="10"/>
      <c r="N9" s="10"/>
      <c r="O9" s="10"/>
      <c r="P9" s="10"/>
      <c r="Q9" s="10"/>
      <c r="R9" s="10">
        <v>185</v>
      </c>
      <c r="S9" s="10"/>
      <c r="T9" s="10"/>
      <c r="U9" s="10"/>
      <c r="V9" s="10"/>
      <c r="W9" s="10"/>
      <c r="X9" s="10">
        <v>6</v>
      </c>
      <c r="Y9" s="10"/>
      <c r="Z9" s="10"/>
      <c r="AA9" s="10"/>
    </row>
    <row r="10" ht="22" customHeight="1" spans="1:27">
      <c r="A10" s="39">
        <v>45749</v>
      </c>
      <c r="B10" s="10">
        <v>11054</v>
      </c>
      <c r="C10" s="10">
        <v>9907</v>
      </c>
      <c r="D10" s="10">
        <v>319</v>
      </c>
      <c r="E10" s="10">
        <f t="shared" si="0"/>
        <v>828</v>
      </c>
      <c r="F10" s="11">
        <f t="shared" si="1"/>
        <v>7.49050117604487</v>
      </c>
      <c r="G10" s="10">
        <v>292</v>
      </c>
      <c r="H10" s="10">
        <v>37</v>
      </c>
      <c r="I10" s="10"/>
      <c r="J10" s="10"/>
      <c r="K10" s="10">
        <v>322</v>
      </c>
      <c r="L10" s="10"/>
      <c r="M10" s="10"/>
      <c r="N10" s="10"/>
      <c r="O10" s="10"/>
      <c r="P10" s="10"/>
      <c r="Q10" s="10"/>
      <c r="R10" s="10">
        <v>146</v>
      </c>
      <c r="S10" s="10"/>
      <c r="T10" s="10"/>
      <c r="U10" s="10"/>
      <c r="V10" s="10"/>
      <c r="W10" s="10"/>
      <c r="X10" s="10">
        <v>31</v>
      </c>
      <c r="Y10" s="10"/>
      <c r="Z10" s="10"/>
      <c r="AA10" s="10"/>
    </row>
    <row r="11" ht="22" customHeight="1" spans="1:27">
      <c r="A11" s="39">
        <v>45750</v>
      </c>
      <c r="B11" s="10">
        <v>12039</v>
      </c>
      <c r="C11" s="10">
        <v>10746</v>
      </c>
      <c r="D11" s="10">
        <v>446</v>
      </c>
      <c r="E11" s="10">
        <f t="shared" si="0"/>
        <v>847</v>
      </c>
      <c r="F11" s="11">
        <f t="shared" si="1"/>
        <v>7.03546806213141</v>
      </c>
      <c r="G11" s="10">
        <v>320</v>
      </c>
      <c r="H11" s="10">
        <v>119</v>
      </c>
      <c r="I11" s="10"/>
      <c r="J11" s="10"/>
      <c r="K11" s="10">
        <v>73</v>
      </c>
      <c r="L11" s="10"/>
      <c r="M11" s="10"/>
      <c r="N11" s="10"/>
      <c r="O11" s="10"/>
      <c r="P11" s="10"/>
      <c r="Q11" s="10"/>
      <c r="R11" s="10">
        <v>182</v>
      </c>
      <c r="S11" s="10"/>
      <c r="T11" s="10"/>
      <c r="U11" s="10"/>
      <c r="V11" s="10"/>
      <c r="W11" s="10"/>
      <c r="X11" s="10"/>
      <c r="Y11" s="10">
        <v>153</v>
      </c>
      <c r="Z11" s="10"/>
      <c r="AA11" s="10"/>
    </row>
    <row r="12" ht="22" customHeight="1" spans="1:27">
      <c r="A12" s="39">
        <v>45751</v>
      </c>
      <c r="B12" s="10">
        <v>11041</v>
      </c>
      <c r="C12" s="10">
        <v>9573</v>
      </c>
      <c r="D12" s="10">
        <v>351</v>
      </c>
      <c r="E12" s="10">
        <f t="shared" si="0"/>
        <v>1117</v>
      </c>
      <c r="F12" s="11">
        <f t="shared" si="1"/>
        <v>10.1168372430034</v>
      </c>
      <c r="G12" s="10">
        <v>423</v>
      </c>
      <c r="H12" s="10">
        <v>325</v>
      </c>
      <c r="I12" s="10"/>
      <c r="J12" s="10"/>
      <c r="K12" s="10">
        <v>78</v>
      </c>
      <c r="L12" s="10"/>
      <c r="M12" s="10"/>
      <c r="N12" s="10"/>
      <c r="O12" s="10"/>
      <c r="P12" s="10"/>
      <c r="Q12" s="10"/>
      <c r="R12" s="10">
        <v>261</v>
      </c>
      <c r="S12" s="10"/>
      <c r="T12" s="10"/>
      <c r="U12" s="10"/>
      <c r="V12" s="10"/>
      <c r="W12" s="10">
        <v>21</v>
      </c>
      <c r="X12" s="10"/>
      <c r="Y12" s="10">
        <v>9</v>
      </c>
      <c r="Z12" s="10"/>
      <c r="AA12" s="10"/>
    </row>
    <row r="13" ht="22" customHeight="1" spans="1:27">
      <c r="A13" s="39">
        <v>45752</v>
      </c>
      <c r="B13" s="10">
        <v>8585</v>
      </c>
      <c r="C13" s="10">
        <v>7501</v>
      </c>
      <c r="D13" s="10">
        <v>430</v>
      </c>
      <c r="E13" s="10">
        <f t="shared" si="0"/>
        <v>654</v>
      </c>
      <c r="F13" s="11">
        <f t="shared" si="1"/>
        <v>7.61793826441468</v>
      </c>
      <c r="G13" s="10">
        <v>108</v>
      </c>
      <c r="H13" s="10">
        <v>148</v>
      </c>
      <c r="I13" s="10"/>
      <c r="J13" s="10"/>
      <c r="K13" s="10">
        <v>108</v>
      </c>
      <c r="L13" s="10"/>
      <c r="M13" s="10"/>
      <c r="N13" s="10"/>
      <c r="O13" s="10"/>
      <c r="P13" s="10">
        <v>1</v>
      </c>
      <c r="Q13" s="10"/>
      <c r="R13" s="10">
        <v>248</v>
      </c>
      <c r="S13" s="10"/>
      <c r="T13" s="10"/>
      <c r="U13" s="10"/>
      <c r="V13" s="10"/>
      <c r="W13" s="10">
        <v>39</v>
      </c>
      <c r="X13" s="10">
        <v>5</v>
      </c>
      <c r="Y13" s="10">
        <v>9</v>
      </c>
      <c r="Z13" s="10"/>
      <c r="AA13" s="10"/>
    </row>
    <row r="14" ht="22" customHeight="1" spans="1:27">
      <c r="A14" s="39">
        <v>45754</v>
      </c>
      <c r="B14" s="10">
        <v>5230</v>
      </c>
      <c r="C14" s="10">
        <v>4553</v>
      </c>
      <c r="D14" s="10">
        <v>68</v>
      </c>
      <c r="E14" s="10">
        <f t="shared" si="0"/>
        <v>609</v>
      </c>
      <c r="F14" s="11">
        <f t="shared" si="1"/>
        <v>11.6443594646272</v>
      </c>
      <c r="G14" s="10">
        <v>10</v>
      </c>
      <c r="H14" s="10">
        <v>23</v>
      </c>
      <c r="I14" s="10"/>
      <c r="J14" s="10"/>
      <c r="K14" s="10">
        <v>326</v>
      </c>
      <c r="L14" s="10"/>
      <c r="M14" s="10"/>
      <c r="N14" s="10"/>
      <c r="O14" s="10"/>
      <c r="P14" s="10"/>
      <c r="Q14" s="10"/>
      <c r="R14" s="10">
        <v>233</v>
      </c>
      <c r="S14" s="10"/>
      <c r="T14" s="10"/>
      <c r="U14" s="10"/>
      <c r="V14" s="10"/>
      <c r="W14" s="10"/>
      <c r="X14" s="10">
        <v>9</v>
      </c>
      <c r="Y14" s="10">
        <v>8</v>
      </c>
      <c r="Z14" s="10"/>
      <c r="AA14" s="10"/>
    </row>
    <row r="15" ht="22" customHeight="1" spans="1:27">
      <c r="A15" s="39">
        <v>45755</v>
      </c>
      <c r="B15" s="10">
        <v>10167</v>
      </c>
      <c r="C15" s="10">
        <v>9400</v>
      </c>
      <c r="D15" s="10">
        <v>87</v>
      </c>
      <c r="E15" s="10">
        <f t="shared" si="0"/>
        <v>680</v>
      </c>
      <c r="F15" s="11">
        <f t="shared" si="1"/>
        <v>6.68830530146553</v>
      </c>
      <c r="G15" s="10">
        <v>239</v>
      </c>
      <c r="H15" s="10">
        <v>129</v>
      </c>
      <c r="I15" s="10"/>
      <c r="J15" s="10"/>
      <c r="K15" s="10">
        <v>130</v>
      </c>
      <c r="L15" s="10"/>
      <c r="M15" s="10"/>
      <c r="N15" s="10"/>
      <c r="O15" s="10"/>
      <c r="P15" s="10"/>
      <c r="Q15" s="10"/>
      <c r="R15" s="10">
        <v>145</v>
      </c>
      <c r="S15" s="10"/>
      <c r="T15" s="10"/>
      <c r="U15" s="10"/>
      <c r="V15" s="10"/>
      <c r="W15" s="10">
        <v>33</v>
      </c>
      <c r="X15" s="10"/>
      <c r="Y15" s="10">
        <v>4</v>
      </c>
      <c r="Z15" s="10"/>
      <c r="AA15" s="10"/>
    </row>
    <row r="16" ht="22" customHeight="1" spans="1:27">
      <c r="A16" s="39">
        <v>45756</v>
      </c>
      <c r="B16" s="10">
        <v>9455</v>
      </c>
      <c r="C16" s="10">
        <v>8912</v>
      </c>
      <c r="D16" s="10">
        <v>246</v>
      </c>
      <c r="E16" s="10">
        <f t="shared" si="0"/>
        <v>297</v>
      </c>
      <c r="F16" s="11">
        <f t="shared" si="1"/>
        <v>3.14119513484929</v>
      </c>
      <c r="G16" s="10">
        <v>61</v>
      </c>
      <c r="H16" s="10">
        <v>129</v>
      </c>
      <c r="I16" s="10"/>
      <c r="J16" s="10"/>
      <c r="K16" s="10">
        <v>27</v>
      </c>
      <c r="L16" s="10"/>
      <c r="M16" s="10"/>
      <c r="N16" s="10"/>
      <c r="O16" s="10"/>
      <c r="P16" s="10"/>
      <c r="Q16" s="10"/>
      <c r="R16" s="10">
        <v>76</v>
      </c>
      <c r="S16" s="10"/>
      <c r="T16" s="10"/>
      <c r="U16" s="10"/>
      <c r="V16" s="10"/>
      <c r="W16" s="10"/>
      <c r="X16" s="10">
        <v>3</v>
      </c>
      <c r="Y16" s="10">
        <v>1</v>
      </c>
      <c r="Z16" s="10"/>
      <c r="AA16" s="10"/>
    </row>
    <row r="17" ht="22" customHeight="1" spans="1:27">
      <c r="A17" s="39">
        <v>45757</v>
      </c>
      <c r="B17" s="10">
        <v>10959</v>
      </c>
      <c r="C17" s="10">
        <v>10350</v>
      </c>
      <c r="D17" s="10">
        <v>154</v>
      </c>
      <c r="E17" s="10">
        <f t="shared" si="0"/>
        <v>455</v>
      </c>
      <c r="F17" s="11">
        <f t="shared" si="1"/>
        <v>4.15183867141162</v>
      </c>
      <c r="G17" s="10">
        <v>77</v>
      </c>
      <c r="H17" s="10">
        <v>97</v>
      </c>
      <c r="I17" s="10"/>
      <c r="J17" s="10"/>
      <c r="K17" s="10">
        <v>135</v>
      </c>
      <c r="L17" s="10"/>
      <c r="M17" s="10"/>
      <c r="N17" s="10"/>
      <c r="O17" s="10"/>
      <c r="P17" s="10"/>
      <c r="Q17" s="10"/>
      <c r="R17" s="10">
        <v>131</v>
      </c>
      <c r="S17" s="10"/>
      <c r="T17" s="10"/>
      <c r="U17" s="10"/>
      <c r="V17" s="10"/>
      <c r="W17" s="10"/>
      <c r="X17" s="10">
        <v>14</v>
      </c>
      <c r="Y17" s="10">
        <v>1</v>
      </c>
      <c r="Z17" s="10"/>
      <c r="AA17" s="10"/>
    </row>
    <row r="18" ht="22" customHeight="1" spans="1:27">
      <c r="A18" s="39">
        <v>45758</v>
      </c>
      <c r="B18" s="10">
        <v>12959</v>
      </c>
      <c r="C18" s="10">
        <v>12214</v>
      </c>
      <c r="D18" s="10">
        <v>218</v>
      </c>
      <c r="E18" s="10">
        <f t="shared" si="0"/>
        <v>527</v>
      </c>
      <c r="F18" s="11">
        <f t="shared" si="1"/>
        <v>4.06667181109654</v>
      </c>
      <c r="G18" s="10">
        <v>41</v>
      </c>
      <c r="H18" s="10">
        <v>174</v>
      </c>
      <c r="I18" s="10"/>
      <c r="J18" s="10"/>
      <c r="K18" s="10">
        <v>86</v>
      </c>
      <c r="L18" s="10"/>
      <c r="M18" s="10"/>
      <c r="N18" s="10"/>
      <c r="O18" s="10"/>
      <c r="P18" s="10"/>
      <c r="Q18" s="10"/>
      <c r="R18" s="10">
        <v>192</v>
      </c>
      <c r="S18" s="10"/>
      <c r="T18" s="10"/>
      <c r="U18" s="10"/>
      <c r="V18" s="10"/>
      <c r="W18" s="10"/>
      <c r="X18" s="10">
        <v>32</v>
      </c>
      <c r="Y18" s="10">
        <v>2</v>
      </c>
      <c r="Z18" s="10"/>
      <c r="AA18" s="10"/>
    </row>
    <row r="19" ht="22" customHeight="1" spans="1:27">
      <c r="A19" s="39">
        <v>45759</v>
      </c>
      <c r="B19" s="10">
        <v>7802</v>
      </c>
      <c r="C19" s="10">
        <v>7250</v>
      </c>
      <c r="D19" s="10">
        <v>173</v>
      </c>
      <c r="E19" s="10">
        <f t="shared" si="0"/>
        <v>379</v>
      </c>
      <c r="F19" s="11">
        <f t="shared" si="1"/>
        <v>4.85772878749039</v>
      </c>
      <c r="G19" s="10">
        <v>14</v>
      </c>
      <c r="H19" s="10">
        <v>73</v>
      </c>
      <c r="I19" s="10"/>
      <c r="J19" s="10"/>
      <c r="K19" s="10">
        <v>190</v>
      </c>
      <c r="L19" s="10"/>
      <c r="M19" s="10"/>
      <c r="N19" s="10"/>
      <c r="O19" s="10"/>
      <c r="P19" s="10"/>
      <c r="Q19" s="10"/>
      <c r="R19" s="10">
        <v>93</v>
      </c>
      <c r="S19" s="10"/>
      <c r="T19" s="10"/>
      <c r="U19" s="10"/>
      <c r="V19" s="10"/>
      <c r="W19" s="10"/>
      <c r="X19" s="10">
        <v>5</v>
      </c>
      <c r="Y19" s="10">
        <v>4</v>
      </c>
      <c r="Z19" s="10"/>
      <c r="AA19" s="10"/>
    </row>
    <row r="20" ht="22" customHeight="1" spans="1:27">
      <c r="A20" s="39">
        <v>45761</v>
      </c>
      <c r="B20" s="10">
        <v>7479</v>
      </c>
      <c r="C20" s="10">
        <v>6182</v>
      </c>
      <c r="D20" s="10">
        <v>50</v>
      </c>
      <c r="E20" s="10">
        <f t="shared" si="0"/>
        <v>1247</v>
      </c>
      <c r="F20" s="11">
        <f t="shared" ref="F20:F35" si="2">E20/B20*100</f>
        <v>16.6733520524134</v>
      </c>
      <c r="G20" s="10">
        <v>89</v>
      </c>
      <c r="H20" s="10">
        <v>51</v>
      </c>
      <c r="I20" s="10"/>
      <c r="J20" s="10"/>
      <c r="K20" s="10">
        <v>973</v>
      </c>
      <c r="L20" s="10"/>
      <c r="M20" s="10"/>
      <c r="N20" s="10"/>
      <c r="O20" s="10"/>
      <c r="P20" s="10"/>
      <c r="Q20" s="10"/>
      <c r="R20" s="10">
        <v>104</v>
      </c>
      <c r="S20" s="10"/>
      <c r="T20" s="10"/>
      <c r="U20" s="10"/>
      <c r="V20" s="10"/>
      <c r="W20" s="10"/>
      <c r="X20" s="10">
        <v>24</v>
      </c>
      <c r="Y20" s="10">
        <v>6</v>
      </c>
      <c r="Z20" s="10"/>
      <c r="AA20" s="10"/>
    </row>
    <row r="21" ht="22" customHeight="1" spans="1:27">
      <c r="A21" s="39">
        <v>45762</v>
      </c>
      <c r="B21" s="10">
        <v>12492</v>
      </c>
      <c r="C21" s="10">
        <v>11557</v>
      </c>
      <c r="D21" s="10">
        <v>235</v>
      </c>
      <c r="E21" s="10">
        <f t="shared" si="0"/>
        <v>700</v>
      </c>
      <c r="F21" s="11">
        <f t="shared" si="2"/>
        <v>5.60358629522895</v>
      </c>
      <c r="G21" s="10">
        <v>60</v>
      </c>
      <c r="H21" s="10">
        <v>68</v>
      </c>
      <c r="I21" s="10"/>
      <c r="J21" s="10"/>
      <c r="K21" s="10">
        <v>337</v>
      </c>
      <c r="L21" s="10"/>
      <c r="M21" s="10"/>
      <c r="N21" s="10"/>
      <c r="O21" s="10"/>
      <c r="P21" s="10"/>
      <c r="Q21" s="10"/>
      <c r="R21" s="10">
        <v>226</v>
      </c>
      <c r="S21" s="10"/>
      <c r="T21" s="10"/>
      <c r="U21" s="10"/>
      <c r="V21" s="10"/>
      <c r="W21" s="10"/>
      <c r="X21" s="10">
        <v>8</v>
      </c>
      <c r="Y21" s="10">
        <v>1</v>
      </c>
      <c r="Z21" s="10"/>
      <c r="AA21" s="10"/>
    </row>
    <row r="22" ht="22" customHeight="1" spans="1:27">
      <c r="A22" s="39">
        <v>45763</v>
      </c>
      <c r="B22" s="10">
        <v>10594</v>
      </c>
      <c r="C22" s="10">
        <v>8339</v>
      </c>
      <c r="D22" s="10">
        <v>584</v>
      </c>
      <c r="E22" s="148">
        <v>671</v>
      </c>
      <c r="F22" s="11">
        <f t="shared" si="2"/>
        <v>6.3337738342458</v>
      </c>
      <c r="G22" s="10">
        <v>291</v>
      </c>
      <c r="H22" s="10">
        <v>50</v>
      </c>
      <c r="I22" s="10"/>
      <c r="J22" s="10"/>
      <c r="K22" s="10"/>
      <c r="L22" s="10"/>
      <c r="M22" s="10"/>
      <c r="N22" s="10"/>
      <c r="O22" s="10"/>
      <c r="P22" s="10"/>
      <c r="Q22" s="10"/>
      <c r="R22" s="10">
        <v>81</v>
      </c>
      <c r="S22" s="10"/>
      <c r="T22" s="10"/>
      <c r="U22" s="10"/>
      <c r="V22" s="10"/>
      <c r="W22" s="10"/>
      <c r="X22" s="10"/>
      <c r="Y22" s="10"/>
      <c r="Z22" s="10">
        <v>229</v>
      </c>
      <c r="AA22" s="10"/>
    </row>
    <row r="23" ht="22" customHeight="1" spans="1:27">
      <c r="A23" s="39">
        <v>45764</v>
      </c>
      <c r="B23" s="10">
        <v>11049</v>
      </c>
      <c r="C23" s="10">
        <v>10209</v>
      </c>
      <c r="D23" s="10">
        <v>160</v>
      </c>
      <c r="E23" s="10">
        <f>B23-(C23+D23)</f>
        <v>680</v>
      </c>
      <c r="F23" s="11">
        <f t="shared" si="2"/>
        <v>6.15440311340393</v>
      </c>
      <c r="G23" s="10">
        <v>262</v>
      </c>
      <c r="H23" s="10">
        <v>163</v>
      </c>
      <c r="I23" s="10"/>
      <c r="J23" s="10"/>
      <c r="K23" s="10"/>
      <c r="L23" s="10"/>
      <c r="M23" s="10"/>
      <c r="N23" s="10"/>
      <c r="O23" s="10"/>
      <c r="P23" s="10"/>
      <c r="Q23" s="10"/>
      <c r="R23" s="10">
        <v>94</v>
      </c>
      <c r="S23" s="10"/>
      <c r="T23" s="10"/>
      <c r="U23" s="10"/>
      <c r="V23" s="10"/>
      <c r="W23" s="10"/>
      <c r="X23" s="10"/>
      <c r="Y23" s="10"/>
      <c r="Z23" s="10">
        <v>161</v>
      </c>
      <c r="AA23" s="10"/>
    </row>
    <row r="24" ht="22" customHeight="1" spans="1:27">
      <c r="A24" s="39">
        <v>45765</v>
      </c>
      <c r="B24" s="58">
        <v>9273</v>
      </c>
      <c r="C24" s="58">
        <v>8453</v>
      </c>
      <c r="D24" s="58">
        <v>98</v>
      </c>
      <c r="E24" s="10">
        <f>B24-(C24+D24)</f>
        <v>722</v>
      </c>
      <c r="F24" s="11">
        <f t="shared" si="2"/>
        <v>7.78604550846544</v>
      </c>
      <c r="G24" s="59">
        <v>292</v>
      </c>
      <c r="H24" s="59">
        <v>153</v>
      </c>
      <c r="I24" s="63"/>
      <c r="J24" s="63"/>
      <c r="K24" s="63"/>
      <c r="L24" s="63"/>
      <c r="M24" s="63"/>
      <c r="N24" s="63"/>
      <c r="O24" s="150"/>
      <c r="P24" s="63"/>
      <c r="Q24" s="63"/>
      <c r="R24" s="59">
        <v>99</v>
      </c>
      <c r="S24" s="63"/>
      <c r="T24" s="64"/>
      <c r="U24" s="64"/>
      <c r="V24" s="150"/>
      <c r="W24" s="59"/>
      <c r="X24" s="150"/>
      <c r="Y24" s="59">
        <v>84</v>
      </c>
      <c r="Z24" s="64">
        <v>94</v>
      </c>
      <c r="AA24" s="63"/>
    </row>
    <row r="25" ht="22" customHeight="1" spans="1:27">
      <c r="A25" s="39">
        <v>45766</v>
      </c>
      <c r="B25" s="58">
        <v>10344</v>
      </c>
      <c r="C25" s="58">
        <v>9612</v>
      </c>
      <c r="D25" s="58">
        <v>312</v>
      </c>
      <c r="E25" s="10">
        <f>B25-(C25+D25)</f>
        <v>420</v>
      </c>
      <c r="F25" s="11">
        <f t="shared" si="2"/>
        <v>4.06032482598608</v>
      </c>
      <c r="G25" s="59">
        <v>182</v>
      </c>
      <c r="H25" s="59">
        <v>85</v>
      </c>
      <c r="I25" s="63"/>
      <c r="J25" s="63"/>
      <c r="K25" s="63"/>
      <c r="L25" s="63"/>
      <c r="M25" s="63"/>
      <c r="N25" s="63"/>
      <c r="O25" s="150"/>
      <c r="P25" s="63"/>
      <c r="Q25" s="63"/>
      <c r="R25" s="59">
        <v>146</v>
      </c>
      <c r="S25" s="63"/>
      <c r="T25" s="63"/>
      <c r="U25" s="64"/>
      <c r="V25" s="150"/>
      <c r="W25" s="59"/>
      <c r="X25" s="150"/>
      <c r="Y25" s="59">
        <v>7</v>
      </c>
      <c r="Z25" s="63"/>
      <c r="AA25" s="63"/>
    </row>
    <row r="26" ht="22" customHeight="1" spans="1:27">
      <c r="A26" s="39">
        <v>45768</v>
      </c>
      <c r="B26" s="58">
        <v>9439</v>
      </c>
      <c r="C26" s="58">
        <v>7281</v>
      </c>
      <c r="D26" s="58">
        <v>1867</v>
      </c>
      <c r="E26" s="10">
        <f t="shared" ref="E26:E35" si="3">B26-(C26+D26)</f>
        <v>291</v>
      </c>
      <c r="F26" s="11">
        <f t="shared" si="2"/>
        <v>3.08295370272275</v>
      </c>
      <c r="G26" s="59">
        <v>124</v>
      </c>
      <c r="H26" s="59">
        <v>73</v>
      </c>
      <c r="I26" s="63"/>
      <c r="J26" s="63"/>
      <c r="K26" s="63"/>
      <c r="L26" s="63"/>
      <c r="M26" s="63"/>
      <c r="N26" s="63"/>
      <c r="O26" s="59"/>
      <c r="P26" s="63"/>
      <c r="Q26" s="63"/>
      <c r="R26" s="59">
        <v>84</v>
      </c>
      <c r="S26" s="64"/>
      <c r="T26" s="63"/>
      <c r="U26" s="64"/>
      <c r="V26" s="150"/>
      <c r="W26" s="59"/>
      <c r="X26" s="150"/>
      <c r="Y26" s="59">
        <v>10</v>
      </c>
      <c r="Z26" s="63"/>
      <c r="AA26" s="63"/>
    </row>
    <row r="27" ht="22" customHeight="1" spans="1:27">
      <c r="A27" s="39">
        <v>45769</v>
      </c>
      <c r="B27" s="58"/>
      <c r="C27" s="58"/>
      <c r="D27" s="58"/>
      <c r="E27" s="10">
        <f t="shared" si="3"/>
        <v>0</v>
      </c>
      <c r="F27" s="11" t="e">
        <f t="shared" si="2"/>
        <v>#DIV/0!</v>
      </c>
      <c r="G27" s="59"/>
      <c r="H27" s="59"/>
      <c r="I27" s="63"/>
      <c r="J27" s="63"/>
      <c r="K27" s="63"/>
      <c r="L27" s="63"/>
      <c r="M27" s="63"/>
      <c r="N27" s="63"/>
      <c r="O27" s="59"/>
      <c r="P27" s="63"/>
      <c r="Q27" s="63"/>
      <c r="R27" s="59"/>
      <c r="S27" s="64"/>
      <c r="T27" s="63"/>
      <c r="U27" s="64"/>
      <c r="V27" s="150"/>
      <c r="W27" s="59"/>
      <c r="X27" s="150"/>
      <c r="Y27" s="150"/>
      <c r="Z27" s="63"/>
      <c r="AA27" s="63"/>
    </row>
    <row r="28" ht="22" customHeight="1" spans="1:27">
      <c r="A28" s="39">
        <v>45770</v>
      </c>
      <c r="B28" s="58">
        <v>8884</v>
      </c>
      <c r="C28" s="58">
        <v>7370</v>
      </c>
      <c r="D28" s="58">
        <v>1100</v>
      </c>
      <c r="E28" s="10">
        <f t="shared" si="3"/>
        <v>414</v>
      </c>
      <c r="F28" s="11">
        <f t="shared" si="2"/>
        <v>4.66006303466907</v>
      </c>
      <c r="G28" s="59">
        <v>71</v>
      </c>
      <c r="H28" s="59"/>
      <c r="I28" s="63"/>
      <c r="J28" s="63"/>
      <c r="K28" s="64">
        <v>78</v>
      </c>
      <c r="L28" s="63"/>
      <c r="M28" s="63"/>
      <c r="N28" s="63"/>
      <c r="O28" s="59"/>
      <c r="P28" s="63"/>
      <c r="Q28" s="63"/>
      <c r="R28" s="59">
        <v>90</v>
      </c>
      <c r="S28" s="64"/>
      <c r="T28" s="63"/>
      <c r="U28" s="64"/>
      <c r="V28" s="150"/>
      <c r="W28" s="59"/>
      <c r="X28" s="59">
        <v>1</v>
      </c>
      <c r="Y28" s="59">
        <v>33</v>
      </c>
      <c r="Z28" s="63"/>
      <c r="AA28" s="63"/>
    </row>
    <row r="29" ht="22" customHeight="1" spans="1:27">
      <c r="A29" s="39">
        <v>45771</v>
      </c>
      <c r="B29" s="58">
        <v>9929</v>
      </c>
      <c r="C29" s="58">
        <v>6878</v>
      </c>
      <c r="D29" s="58">
        <v>1898</v>
      </c>
      <c r="E29" s="10">
        <f t="shared" si="3"/>
        <v>1153</v>
      </c>
      <c r="F29" s="11">
        <f t="shared" si="2"/>
        <v>11.612448383523</v>
      </c>
      <c r="G29" s="59">
        <v>77</v>
      </c>
      <c r="H29" s="59">
        <v>73</v>
      </c>
      <c r="I29" s="63"/>
      <c r="J29" s="64"/>
      <c r="K29" s="64">
        <v>868</v>
      </c>
      <c r="L29" s="64"/>
      <c r="M29" s="64"/>
      <c r="N29" s="64"/>
      <c r="O29" s="59"/>
      <c r="P29" s="64"/>
      <c r="Q29" s="64"/>
      <c r="R29" s="59">
        <v>126</v>
      </c>
      <c r="S29" s="64"/>
      <c r="T29" s="64"/>
      <c r="U29" s="64"/>
      <c r="V29" s="59"/>
      <c r="W29" s="59"/>
      <c r="X29" s="59">
        <v>5</v>
      </c>
      <c r="Y29" s="59">
        <v>4</v>
      </c>
      <c r="Z29" s="64"/>
      <c r="AA29" s="63"/>
    </row>
    <row r="30" ht="22" customHeight="1" spans="1:27">
      <c r="A30" s="39">
        <v>45772</v>
      </c>
      <c r="B30" s="58">
        <v>10020</v>
      </c>
      <c r="C30" s="58">
        <v>8614</v>
      </c>
      <c r="D30" s="58">
        <v>441</v>
      </c>
      <c r="E30" s="10">
        <f t="shared" si="3"/>
        <v>965</v>
      </c>
      <c r="F30" s="11">
        <f t="shared" si="2"/>
        <v>9.63073852295409</v>
      </c>
      <c r="G30" s="59">
        <v>32</v>
      </c>
      <c r="H30" s="59">
        <v>29</v>
      </c>
      <c r="I30" s="63"/>
      <c r="J30" s="64">
        <v>768</v>
      </c>
      <c r="K30" s="64"/>
      <c r="L30" s="64"/>
      <c r="M30" s="64"/>
      <c r="N30" s="64"/>
      <c r="O30" s="59"/>
      <c r="P30" s="64"/>
      <c r="Q30" s="64"/>
      <c r="R30" s="59">
        <v>126</v>
      </c>
      <c r="S30" s="64"/>
      <c r="T30" s="64"/>
      <c r="U30" s="64"/>
      <c r="V30" s="59"/>
      <c r="W30" s="59"/>
      <c r="X30" s="59">
        <v>10</v>
      </c>
      <c r="Y30" s="59"/>
      <c r="Z30" s="64"/>
      <c r="AA30" s="63"/>
    </row>
    <row r="31" ht="22" customHeight="1" spans="1:27">
      <c r="A31" s="39">
        <v>45773</v>
      </c>
      <c r="B31" s="58">
        <v>8544</v>
      </c>
      <c r="C31" s="58">
        <v>5986</v>
      </c>
      <c r="D31" s="58">
        <v>985</v>
      </c>
      <c r="E31" s="10">
        <f t="shared" si="3"/>
        <v>1573</v>
      </c>
      <c r="F31" s="11">
        <f t="shared" si="2"/>
        <v>18.4105805243446</v>
      </c>
      <c r="G31" s="59">
        <v>12</v>
      </c>
      <c r="H31" s="59">
        <v>48</v>
      </c>
      <c r="I31" s="63"/>
      <c r="J31" s="64"/>
      <c r="K31" s="64">
        <v>1251</v>
      </c>
      <c r="L31" s="64"/>
      <c r="M31" s="64"/>
      <c r="N31" s="64"/>
      <c r="O31" s="59"/>
      <c r="P31" s="64"/>
      <c r="Q31" s="64"/>
      <c r="R31" s="59">
        <v>124</v>
      </c>
      <c r="S31" s="64"/>
      <c r="T31" s="64"/>
      <c r="U31" s="64"/>
      <c r="V31" s="59"/>
      <c r="W31" s="59"/>
      <c r="X31" s="59">
        <v>42</v>
      </c>
      <c r="Y31" s="59">
        <v>96</v>
      </c>
      <c r="Z31" s="64"/>
      <c r="AA31" s="63"/>
    </row>
    <row r="32" ht="22" customHeight="1" spans="1:27">
      <c r="A32" s="39">
        <v>45775</v>
      </c>
      <c r="B32" s="58">
        <v>9730</v>
      </c>
      <c r="C32" s="58">
        <v>8183</v>
      </c>
      <c r="D32" s="58">
        <v>621</v>
      </c>
      <c r="E32" s="10">
        <f t="shared" si="3"/>
        <v>926</v>
      </c>
      <c r="F32" s="11">
        <f t="shared" si="2"/>
        <v>9.5169578622816</v>
      </c>
      <c r="G32" s="59">
        <v>44</v>
      </c>
      <c r="H32" s="59">
        <v>120</v>
      </c>
      <c r="I32" s="64">
        <v>486</v>
      </c>
      <c r="J32" s="64"/>
      <c r="K32" s="64"/>
      <c r="L32" s="64"/>
      <c r="M32" s="64"/>
      <c r="N32" s="64"/>
      <c r="O32" s="59"/>
      <c r="P32" s="64"/>
      <c r="Q32" s="64"/>
      <c r="R32" s="59">
        <v>254</v>
      </c>
      <c r="S32" s="64"/>
      <c r="T32" s="64"/>
      <c r="U32" s="64"/>
      <c r="V32" s="59"/>
      <c r="W32" s="59"/>
      <c r="X32" s="59">
        <v>14</v>
      </c>
      <c r="Y32" s="59">
        <v>8</v>
      </c>
      <c r="Z32" s="64"/>
      <c r="AA32" s="63"/>
    </row>
    <row r="33" ht="22" customHeight="1" spans="1:27">
      <c r="A33" s="39">
        <v>45776</v>
      </c>
      <c r="B33" s="58">
        <v>9468</v>
      </c>
      <c r="C33" s="58">
        <v>8788</v>
      </c>
      <c r="D33" s="58">
        <v>326</v>
      </c>
      <c r="E33" s="10">
        <f t="shared" si="3"/>
        <v>354</v>
      </c>
      <c r="F33" s="11">
        <f t="shared" si="2"/>
        <v>3.73891001267427</v>
      </c>
      <c r="G33" s="59">
        <v>28</v>
      </c>
      <c r="H33" s="59">
        <v>109</v>
      </c>
      <c r="I33" s="64"/>
      <c r="J33" s="64"/>
      <c r="K33" s="64">
        <v>66</v>
      </c>
      <c r="L33" s="64"/>
      <c r="M33" s="64"/>
      <c r="N33" s="64"/>
      <c r="O33" s="59"/>
      <c r="P33" s="64"/>
      <c r="Q33" s="64"/>
      <c r="R33" s="59">
        <v>136</v>
      </c>
      <c r="S33" s="64"/>
      <c r="T33" s="64"/>
      <c r="U33" s="64"/>
      <c r="V33" s="59"/>
      <c r="W33" s="59">
        <v>5</v>
      </c>
      <c r="X33" s="59">
        <v>2</v>
      </c>
      <c r="Y33" s="59">
        <v>8</v>
      </c>
      <c r="Z33" s="64"/>
      <c r="AA33" s="63"/>
    </row>
    <row r="34" ht="22" customHeight="1" spans="1:27">
      <c r="A34" s="39">
        <v>45777</v>
      </c>
      <c r="B34" s="58">
        <v>10249</v>
      </c>
      <c r="C34" s="58">
        <v>7811</v>
      </c>
      <c r="D34" s="58">
        <v>730</v>
      </c>
      <c r="E34" s="10">
        <f t="shared" si="3"/>
        <v>1708</v>
      </c>
      <c r="F34" s="11">
        <f t="shared" si="2"/>
        <v>16.6650404917553</v>
      </c>
      <c r="G34" s="59">
        <v>91</v>
      </c>
      <c r="H34" s="59">
        <v>70</v>
      </c>
      <c r="I34" s="63"/>
      <c r="J34" s="64"/>
      <c r="K34" s="64">
        <v>1145</v>
      </c>
      <c r="L34" s="64"/>
      <c r="M34" s="64"/>
      <c r="N34" s="64"/>
      <c r="O34" s="59"/>
      <c r="P34" s="64"/>
      <c r="Q34" s="64"/>
      <c r="R34" s="59">
        <v>225</v>
      </c>
      <c r="S34" s="64"/>
      <c r="T34" s="64"/>
      <c r="U34" s="64"/>
      <c r="V34" s="59"/>
      <c r="W34" s="59"/>
      <c r="X34" s="59">
        <v>9</v>
      </c>
      <c r="Y34" s="59">
        <v>4</v>
      </c>
      <c r="Z34" s="64"/>
      <c r="AA34" s="63"/>
    </row>
    <row r="35" ht="22" customHeight="1" spans="1:27">
      <c r="A35" s="12" t="s">
        <v>40</v>
      </c>
      <c r="B35" s="13">
        <f>SUM(B9:B34)</f>
        <v>247767</v>
      </c>
      <c r="C35" s="13">
        <f>SUM(C9:C34)</f>
        <v>215296</v>
      </c>
      <c r="D35" s="13">
        <f>SUM(D9:D34)</f>
        <v>12200</v>
      </c>
      <c r="E35" s="13">
        <f>SUM(E9:E34)</f>
        <v>19271</v>
      </c>
      <c r="F35" s="14">
        <f t="shared" si="2"/>
        <v>7.77787195227774</v>
      </c>
      <c r="G35" s="13">
        <f>SUM(G9:G34)</f>
        <v>3421</v>
      </c>
      <c r="H35" s="13">
        <f>SUM(H9:H34)</f>
        <v>2412</v>
      </c>
      <c r="I35" s="13">
        <f>SUM(I9:I34)</f>
        <v>486</v>
      </c>
      <c r="J35" s="13">
        <f t="shared" ref="E35:AA35" si="4">SUM(J9:J34)</f>
        <v>768</v>
      </c>
      <c r="K35" s="13">
        <f t="shared" si="4"/>
        <v>6809</v>
      </c>
      <c r="L35" s="13">
        <f t="shared" si="4"/>
        <v>0</v>
      </c>
      <c r="M35" s="13">
        <f t="shared" si="4"/>
        <v>0</v>
      </c>
      <c r="N35" s="13">
        <f t="shared" si="4"/>
        <v>0</v>
      </c>
      <c r="O35" s="13">
        <f t="shared" si="4"/>
        <v>0</v>
      </c>
      <c r="P35" s="13">
        <f t="shared" si="4"/>
        <v>1</v>
      </c>
      <c r="Q35" s="13">
        <f t="shared" si="4"/>
        <v>0</v>
      </c>
      <c r="R35" s="13">
        <f t="shared" si="4"/>
        <v>3807</v>
      </c>
      <c r="S35" s="13">
        <f t="shared" si="4"/>
        <v>0</v>
      </c>
      <c r="T35" s="13">
        <f t="shared" si="4"/>
        <v>0</v>
      </c>
      <c r="U35" s="13">
        <f t="shared" si="4"/>
        <v>0</v>
      </c>
      <c r="V35" s="13">
        <f t="shared" si="4"/>
        <v>0</v>
      </c>
      <c r="W35" s="13">
        <f t="shared" si="4"/>
        <v>98</v>
      </c>
      <c r="X35" s="13">
        <f t="shared" si="4"/>
        <v>220</v>
      </c>
      <c r="Y35" s="13">
        <f t="shared" si="4"/>
        <v>452</v>
      </c>
      <c r="Z35" s="13">
        <f t="shared" si="4"/>
        <v>484</v>
      </c>
      <c r="AA35" s="13">
        <f t="shared" si="4"/>
        <v>0</v>
      </c>
    </row>
    <row r="36" ht="22" customHeight="1" spans="1:27">
      <c r="A36" s="17"/>
      <c r="B36" s="17"/>
      <c r="C36" s="149">
        <f>C35/B35*100</f>
        <v>86.8945420495869</v>
      </c>
      <c r="D36" s="149">
        <f>D35/B35*100</f>
        <v>4.92398099827661</v>
      </c>
      <c r="E36" s="149">
        <f>E35/B35*100</f>
        <v>7.77787195227774</v>
      </c>
      <c r="F36" s="93"/>
      <c r="G36" s="149">
        <f>G35/B35*100</f>
        <v>1.38073270451674</v>
      </c>
      <c r="H36" s="149">
        <f>H35/B35*100</f>
        <v>0.973495259659277</v>
      </c>
      <c r="I36" s="149">
        <f>I35/B35*100</f>
        <v>0.196152029931347</v>
      </c>
      <c r="J36" s="149"/>
      <c r="K36" s="149">
        <f>K35/B35*100</f>
        <v>2.74814644403815</v>
      </c>
      <c r="L36" s="149">
        <f>L35/B35*100</f>
        <v>0</v>
      </c>
      <c r="M36" s="149"/>
      <c r="N36" s="149"/>
      <c r="O36" s="149">
        <f>O35/B35*100</f>
        <v>0</v>
      </c>
      <c r="P36" s="149">
        <f>P35/B35*100</f>
        <v>0.000403604999858738</v>
      </c>
      <c r="Q36" s="149"/>
      <c r="R36" s="149">
        <f>R35/B35*100</f>
        <v>1.53652423446222</v>
      </c>
      <c r="S36" s="149">
        <f>S35/B35*100</f>
        <v>0</v>
      </c>
      <c r="T36" s="149">
        <f>T35/B35*100</f>
        <v>0</v>
      </c>
      <c r="U36" s="149">
        <f>U35/B35*100</f>
        <v>0</v>
      </c>
      <c r="V36" s="149">
        <f>V35/B35*100</f>
        <v>0</v>
      </c>
      <c r="W36" s="149">
        <f>W35/B35*100</f>
        <v>0.0395532899861563</v>
      </c>
      <c r="X36" s="149">
        <f>X35/B35*100</f>
        <v>0.0887930999689224</v>
      </c>
      <c r="Y36" s="149">
        <f>Y35/B35*100</f>
        <v>0.18242945993615</v>
      </c>
      <c r="Z36" s="149"/>
      <c r="AA36" s="149"/>
    </row>
    <row r="37" ht="22" customHeight="1" spans="7:27">
      <c r="G37">
        <v>0.5</v>
      </c>
      <c r="H37">
        <v>0.5</v>
      </c>
      <c r="I37">
        <v>0.1</v>
      </c>
      <c r="J37">
        <v>0.2</v>
      </c>
      <c r="K37">
        <v>0.2</v>
      </c>
      <c r="L37">
        <v>0.1</v>
      </c>
      <c r="M37">
        <v>0.1</v>
      </c>
      <c r="N37">
        <v>0.1</v>
      </c>
      <c r="O37">
        <v>0.1</v>
      </c>
      <c r="P37">
        <v>0.4</v>
      </c>
      <c r="Q37">
        <v>0.4</v>
      </c>
      <c r="R37">
        <v>1</v>
      </c>
      <c r="S37">
        <v>0.1</v>
      </c>
      <c r="T37">
        <v>0.1</v>
      </c>
      <c r="U37">
        <v>0.1</v>
      </c>
      <c r="V37">
        <v>0.1</v>
      </c>
      <c r="W37">
        <v>0.2</v>
      </c>
      <c r="X37">
        <v>0.3</v>
      </c>
      <c r="Y37">
        <v>0.1</v>
      </c>
      <c r="Z37">
        <v>0.1</v>
      </c>
      <c r="AA37">
        <v>0.2</v>
      </c>
    </row>
  </sheetData>
  <mergeCells count="17">
    <mergeCell ref="W1:Y1"/>
    <mergeCell ref="Z1:AA1"/>
    <mergeCell ref="W2:Y2"/>
    <mergeCell ref="Z2:AA2"/>
    <mergeCell ref="W3:Y3"/>
    <mergeCell ref="Z3:AA3"/>
    <mergeCell ref="B4:V4"/>
    <mergeCell ref="W4:AA4"/>
    <mergeCell ref="G6:AA6"/>
    <mergeCell ref="A1:A4"/>
    <mergeCell ref="A6:A8"/>
    <mergeCell ref="B6:B8"/>
    <mergeCell ref="C6:C8"/>
    <mergeCell ref="D6:D8"/>
    <mergeCell ref="E6:E8"/>
    <mergeCell ref="F6:F8"/>
    <mergeCell ref="B1:V3"/>
  </mergeCells>
  <pageMargins left="0.251388888888889" right="0.251388888888889" top="0.251388888888889" bottom="0.251388888888889" header="0.298611111111111" footer="0.298611111111111"/>
  <pageSetup paperSize="9" scale="70" fitToHeight="0" orientation="landscape" horizontalDpi="600"/>
  <headerFooter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B54"/>
  <sheetViews>
    <sheetView zoomScale="126" zoomScaleNormal="126" zoomScalePageLayoutView="85" topLeftCell="A5" workbookViewId="0">
      <pane xSplit="1" ySplit="4" topLeftCell="B36" activePane="bottomRight" state="frozen"/>
      <selection/>
      <selection pane="topRight"/>
      <selection pane="bottomLeft"/>
      <selection pane="bottomRight" activeCell="F51" sqref="F51"/>
    </sheetView>
  </sheetViews>
  <sheetFormatPr defaultColWidth="9.14285714285714" defaultRowHeight="15"/>
  <cols>
    <col min="1" max="1" width="13.7142857142857" customWidth="1"/>
    <col min="2" max="6" width="10.952380952381" customWidth="1"/>
    <col min="7" max="10" width="6.2952380952381" customWidth="1"/>
    <col min="11" max="11" width="7.57142857142857" customWidth="1"/>
    <col min="12" max="17" width="6.2952380952381" customWidth="1"/>
    <col min="18" max="18" width="7.57142857142857" customWidth="1"/>
    <col min="19" max="22" width="6.2952380952381" customWidth="1"/>
    <col min="23" max="27" width="6.48571428571429" customWidth="1"/>
  </cols>
  <sheetData>
    <row r="1" ht="20" customHeight="1" spans="1:27">
      <c r="A1" s="1"/>
      <c r="B1" s="76" t="s">
        <v>82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20" t="s">
        <v>83</v>
      </c>
      <c r="X1" s="20"/>
      <c r="Y1" s="20"/>
      <c r="Z1" s="21" t="s">
        <v>77</v>
      </c>
      <c r="AA1" s="21"/>
    </row>
    <row r="2" ht="15.75" spans="1:27">
      <c r="A2" s="1"/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20" t="s">
        <v>78</v>
      </c>
      <c r="X2" s="20"/>
      <c r="Y2" s="20"/>
      <c r="Z2" s="21" t="s">
        <v>4</v>
      </c>
      <c r="AA2" s="21"/>
    </row>
    <row r="3" ht="22" customHeight="1" spans="1:27">
      <c r="A3" s="1"/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20" t="s">
        <v>79</v>
      </c>
      <c r="X3" s="20"/>
      <c r="Y3" s="20"/>
      <c r="Z3" s="22">
        <v>45692</v>
      </c>
      <c r="AA3" s="21"/>
    </row>
    <row r="4" ht="23.25" spans="1:27">
      <c r="A4" s="1"/>
      <c r="B4" s="78" t="s">
        <v>80</v>
      </c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1" t="s">
        <v>8</v>
      </c>
      <c r="X4" s="1"/>
      <c r="Y4" s="1"/>
      <c r="Z4" s="1"/>
      <c r="AA4" s="1"/>
    </row>
    <row r="5" ht="20" customHeight="1" spans="1:27">
      <c r="A5" s="4"/>
      <c r="B5" s="4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4"/>
      <c r="X5" s="4"/>
      <c r="Y5" s="4"/>
      <c r="Z5" s="4"/>
      <c r="AA5" s="4"/>
    </row>
    <row r="6" spans="1:27">
      <c r="A6" s="34" t="s">
        <v>81</v>
      </c>
      <c r="B6" s="34" t="s">
        <v>12</v>
      </c>
      <c r="C6" s="35" t="s">
        <v>13</v>
      </c>
      <c r="D6" s="35" t="s">
        <v>14</v>
      </c>
      <c r="E6" s="35" t="s">
        <v>16</v>
      </c>
      <c r="F6" s="34" t="s">
        <v>17</v>
      </c>
      <c r="G6" s="34" t="s">
        <v>18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</row>
    <row r="7" spans="1:27">
      <c r="A7" s="34"/>
      <c r="B7" s="34"/>
      <c r="C7" s="35"/>
      <c r="D7" s="35"/>
      <c r="E7" s="35"/>
      <c r="F7" s="34"/>
      <c r="G7" s="34">
        <v>1</v>
      </c>
      <c r="H7" s="34">
        <v>2</v>
      </c>
      <c r="I7" s="34">
        <v>3</v>
      </c>
      <c r="J7" s="34">
        <v>4</v>
      </c>
      <c r="K7" s="34">
        <v>5</v>
      </c>
      <c r="L7" s="34">
        <v>6</v>
      </c>
      <c r="M7" s="34">
        <v>7</v>
      </c>
      <c r="N7" s="34">
        <v>8</v>
      </c>
      <c r="O7" s="34">
        <v>9</v>
      </c>
      <c r="P7" s="34">
        <v>10</v>
      </c>
      <c r="Q7" s="34">
        <v>11</v>
      </c>
      <c r="R7" s="34">
        <v>12</v>
      </c>
      <c r="S7" s="34">
        <v>13</v>
      </c>
      <c r="T7" s="34">
        <v>14</v>
      </c>
      <c r="U7" s="34">
        <v>15</v>
      </c>
      <c r="V7" s="34">
        <v>16</v>
      </c>
      <c r="W7" s="34">
        <v>17</v>
      </c>
      <c r="X7" s="34">
        <v>18</v>
      </c>
      <c r="Y7" s="34">
        <v>19</v>
      </c>
      <c r="Z7" s="34">
        <v>20</v>
      </c>
      <c r="AA7" s="34">
        <v>21</v>
      </c>
    </row>
    <row r="8" spans="1:27">
      <c r="A8" s="34"/>
      <c r="B8" s="34"/>
      <c r="C8" s="35"/>
      <c r="D8" s="35"/>
      <c r="E8" s="35"/>
      <c r="F8" s="34"/>
      <c r="G8" s="34" t="s">
        <v>19</v>
      </c>
      <c r="H8" s="34" t="s">
        <v>20</v>
      </c>
      <c r="I8" s="34" t="s">
        <v>21</v>
      </c>
      <c r="J8" s="34" t="s">
        <v>22</v>
      </c>
      <c r="K8" s="34" t="s">
        <v>23</v>
      </c>
      <c r="L8" s="34" t="s">
        <v>24</v>
      </c>
      <c r="M8" s="34" t="s">
        <v>25</v>
      </c>
      <c r="N8" s="34" t="s">
        <v>26</v>
      </c>
      <c r="O8" s="34" t="s">
        <v>27</v>
      </c>
      <c r="P8" s="34" t="s">
        <v>28</v>
      </c>
      <c r="Q8" s="34" t="s">
        <v>29</v>
      </c>
      <c r="R8" s="34" t="s">
        <v>30</v>
      </c>
      <c r="S8" s="34" t="s">
        <v>31</v>
      </c>
      <c r="T8" s="34" t="s">
        <v>32</v>
      </c>
      <c r="U8" s="34" t="s">
        <v>33</v>
      </c>
      <c r="V8" s="34" t="s">
        <v>34</v>
      </c>
      <c r="W8" s="34" t="s">
        <v>35</v>
      </c>
      <c r="X8" s="34" t="s">
        <v>36</v>
      </c>
      <c r="Y8" s="34" t="s">
        <v>37</v>
      </c>
      <c r="Z8" s="34" t="s">
        <v>38</v>
      </c>
      <c r="AA8" s="34" t="s">
        <v>39</v>
      </c>
    </row>
    <row r="9" ht="20" customHeight="1" spans="1:27">
      <c r="A9" s="39">
        <v>45778</v>
      </c>
      <c r="B9" s="10">
        <v>8346</v>
      </c>
      <c r="C9" s="10">
        <v>6229</v>
      </c>
      <c r="D9" s="10">
        <v>1666</v>
      </c>
      <c r="E9" s="10">
        <f>B9-(C9+D9)</f>
        <v>451</v>
      </c>
      <c r="F9" s="11">
        <f t="shared" ref="F9:F12" si="0">E9/B9*100</f>
        <v>5.40378624490774</v>
      </c>
      <c r="G9" s="10">
        <v>67</v>
      </c>
      <c r="H9" s="10">
        <v>88</v>
      </c>
      <c r="I9" s="10"/>
      <c r="J9" s="10"/>
      <c r="K9" s="10">
        <v>139</v>
      </c>
      <c r="L9" s="10"/>
      <c r="M9" s="10">
        <v>11</v>
      </c>
      <c r="N9" s="10"/>
      <c r="O9" s="10"/>
      <c r="P9" s="10"/>
      <c r="Q9" s="10"/>
      <c r="R9" s="10">
        <v>140</v>
      </c>
      <c r="S9" s="10"/>
      <c r="T9" s="10"/>
      <c r="U9" s="10"/>
      <c r="V9" s="10"/>
      <c r="W9" s="10"/>
      <c r="X9" s="10">
        <v>7</v>
      </c>
      <c r="Y9" s="10">
        <v>4</v>
      </c>
      <c r="Z9" s="10"/>
      <c r="AA9" s="10"/>
    </row>
    <row r="10" ht="20" customHeight="1" spans="1:27">
      <c r="A10" s="39">
        <v>45779</v>
      </c>
      <c r="B10" s="10">
        <v>4590</v>
      </c>
      <c r="C10" s="10">
        <v>4208</v>
      </c>
      <c r="D10" s="10">
        <v>189</v>
      </c>
      <c r="E10" s="10">
        <f>B10-(C10+D10)</f>
        <v>193</v>
      </c>
      <c r="F10" s="11">
        <f t="shared" si="0"/>
        <v>4.20479302832244</v>
      </c>
      <c r="G10" s="10">
        <v>33</v>
      </c>
      <c r="H10" s="10">
        <v>10</v>
      </c>
      <c r="I10" s="10"/>
      <c r="J10" s="10"/>
      <c r="K10" s="10">
        <v>39</v>
      </c>
      <c r="L10" s="10"/>
      <c r="M10" s="10"/>
      <c r="N10" s="10"/>
      <c r="O10" s="10"/>
      <c r="P10" s="10"/>
      <c r="Q10" s="10"/>
      <c r="R10" s="10">
        <v>103</v>
      </c>
      <c r="S10" s="10"/>
      <c r="T10" s="10"/>
      <c r="U10" s="10"/>
      <c r="V10" s="10"/>
      <c r="W10" s="10"/>
      <c r="X10" s="10">
        <v>7</v>
      </c>
      <c r="Y10" s="10">
        <v>1</v>
      </c>
      <c r="Z10" s="10"/>
      <c r="AA10" s="10"/>
    </row>
    <row r="11" ht="20" customHeight="1" spans="1:27">
      <c r="A11" s="39">
        <v>45780</v>
      </c>
      <c r="B11" s="10">
        <v>3624</v>
      </c>
      <c r="C11" s="10">
        <v>2280</v>
      </c>
      <c r="D11" s="10">
        <v>988</v>
      </c>
      <c r="E11" s="10">
        <f>B11-(C11+D11)</f>
        <v>356</v>
      </c>
      <c r="F11" s="11">
        <f t="shared" si="0"/>
        <v>9.8233995584989</v>
      </c>
      <c r="G11" s="10">
        <v>8</v>
      </c>
      <c r="H11" s="10">
        <v>20</v>
      </c>
      <c r="I11" s="10"/>
      <c r="J11" s="10"/>
      <c r="K11" s="10">
        <v>270</v>
      </c>
      <c r="L11" s="10"/>
      <c r="M11" s="10"/>
      <c r="N11" s="10"/>
      <c r="O11" s="10"/>
      <c r="P11" s="10"/>
      <c r="Q11" s="10"/>
      <c r="R11" s="10">
        <v>42</v>
      </c>
      <c r="S11" s="10"/>
      <c r="T11" s="10"/>
      <c r="U11" s="10"/>
      <c r="V11" s="10"/>
      <c r="W11" s="10"/>
      <c r="X11" s="10">
        <v>15</v>
      </c>
      <c r="Y11" s="10">
        <v>1</v>
      </c>
      <c r="Z11" s="10"/>
      <c r="AA11" s="10"/>
    </row>
    <row r="12" ht="20" customHeight="1" spans="1:27">
      <c r="A12" s="42" t="s">
        <v>40</v>
      </c>
      <c r="B12" s="43">
        <f t="shared" ref="B12:H12" si="1">SUM(B9:B11)</f>
        <v>16560</v>
      </c>
      <c r="C12" s="43">
        <f t="shared" si="1"/>
        <v>12717</v>
      </c>
      <c r="D12" s="43">
        <f t="shared" si="1"/>
        <v>2843</v>
      </c>
      <c r="E12" s="43">
        <f t="shared" si="1"/>
        <v>1000</v>
      </c>
      <c r="F12" s="44">
        <f t="shared" si="1"/>
        <v>19.4319788317291</v>
      </c>
      <c r="G12" s="43">
        <f t="shared" si="1"/>
        <v>108</v>
      </c>
      <c r="H12" s="43">
        <f t="shared" si="1"/>
        <v>118</v>
      </c>
      <c r="I12" s="43"/>
      <c r="J12" s="43"/>
      <c r="K12" s="43">
        <f>SUM(K9:K11)</f>
        <v>448</v>
      </c>
      <c r="L12" s="43"/>
      <c r="M12" s="43">
        <f>SUM(M9:M11)</f>
        <v>11</v>
      </c>
      <c r="N12" s="43"/>
      <c r="O12" s="43"/>
      <c r="P12" s="43"/>
      <c r="Q12" s="43"/>
      <c r="R12" s="43">
        <f>SUM(R9:R11)</f>
        <v>285</v>
      </c>
      <c r="S12" s="43"/>
      <c r="T12" s="43"/>
      <c r="U12" s="43"/>
      <c r="V12" s="43"/>
      <c r="W12" s="43"/>
      <c r="X12" s="43">
        <f>SUM(X9:X11)</f>
        <v>29</v>
      </c>
      <c r="Y12" s="43">
        <f>SUM(Y9:Y11)</f>
        <v>6</v>
      </c>
      <c r="Z12" s="43"/>
      <c r="AA12" s="43"/>
    </row>
    <row r="13" ht="20" customHeight="1" spans="1:27">
      <c r="A13" s="45" t="s">
        <v>84</v>
      </c>
      <c r="B13" s="46"/>
      <c r="C13" s="47">
        <f>C12/$B$12*100</f>
        <v>76.7934782608696</v>
      </c>
      <c r="D13" s="47">
        <f>D12/$B$12*100</f>
        <v>17.1678743961353</v>
      </c>
      <c r="E13" s="47">
        <f>E12/$B$12*100</f>
        <v>6.03864734299517</v>
      </c>
      <c r="F13" s="47">
        <f>F12/$B$12*100</f>
        <v>0.117342867341359</v>
      </c>
      <c r="G13" s="47">
        <f>G12/$B$12*100</f>
        <v>0.652173913043478</v>
      </c>
      <c r="H13" s="47">
        <f>H12/$B$12*100</f>
        <v>0.71256038647343</v>
      </c>
      <c r="I13" s="47"/>
      <c r="J13" s="47"/>
      <c r="K13" s="47">
        <f>K12/$B$12*100</f>
        <v>2.70531400966184</v>
      </c>
      <c r="L13" s="47"/>
      <c r="M13" s="47">
        <f>M12/$B$12*100</f>
        <v>0.0664251207729469</v>
      </c>
      <c r="N13" s="47"/>
      <c r="O13" s="47"/>
      <c r="P13" s="47"/>
      <c r="Q13" s="47"/>
      <c r="R13" s="47">
        <f>R12/$B$12*100</f>
        <v>1.72101449275362</v>
      </c>
      <c r="S13" s="47"/>
      <c r="T13" s="47"/>
      <c r="U13" s="47"/>
      <c r="V13" s="47"/>
      <c r="W13" s="47"/>
      <c r="X13" s="47">
        <f>X12/$B$12*100</f>
        <v>0.17512077294686</v>
      </c>
      <c r="Y13" s="47">
        <f>Y12/$B$12*100</f>
        <v>0.036231884057971</v>
      </c>
      <c r="Z13" s="47"/>
      <c r="AA13" s="47"/>
    </row>
    <row r="14" ht="20" customHeight="1" spans="1:27">
      <c r="A14" s="140">
        <v>45781</v>
      </c>
      <c r="B14" s="102" t="s">
        <v>85</v>
      </c>
      <c r="C14" s="103"/>
      <c r="D14" s="103"/>
      <c r="E14" s="103"/>
      <c r="F14" s="103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36"/>
    </row>
    <row r="15" ht="20" customHeight="1" spans="1:27">
      <c r="A15" s="39">
        <v>45782</v>
      </c>
      <c r="B15" s="10">
        <v>6924</v>
      </c>
      <c r="C15" s="10">
        <v>5847</v>
      </c>
      <c r="D15" s="10">
        <v>191</v>
      </c>
      <c r="E15" s="10">
        <f t="shared" ref="E14:E25" si="2">B15-(C15+D15)</f>
        <v>886</v>
      </c>
      <c r="F15" s="11">
        <f>E15/B15*100</f>
        <v>12.7960716348931</v>
      </c>
      <c r="G15" s="10">
        <v>11</v>
      </c>
      <c r="H15" s="10">
        <v>233</v>
      </c>
      <c r="I15" s="10"/>
      <c r="J15" s="10"/>
      <c r="K15" s="10">
        <v>219</v>
      </c>
      <c r="L15" s="10"/>
      <c r="M15" s="10"/>
      <c r="N15" s="10"/>
      <c r="O15" s="10"/>
      <c r="P15" s="10"/>
      <c r="Q15" s="10"/>
      <c r="R15" s="10">
        <v>363</v>
      </c>
      <c r="S15" s="10"/>
      <c r="T15" s="10"/>
      <c r="U15" s="10"/>
      <c r="V15" s="10"/>
      <c r="W15" s="10"/>
      <c r="X15" s="10">
        <v>53</v>
      </c>
      <c r="Y15" s="10">
        <v>7</v>
      </c>
      <c r="Z15" s="10"/>
      <c r="AA15" s="10"/>
    </row>
    <row r="16" ht="20" customHeight="1" spans="1:27">
      <c r="A16" s="39">
        <v>45783</v>
      </c>
      <c r="B16" s="10">
        <v>7528</v>
      </c>
      <c r="C16" s="10">
        <v>6490</v>
      </c>
      <c r="D16" s="10">
        <v>215</v>
      </c>
      <c r="E16" s="10">
        <f t="shared" si="2"/>
        <v>823</v>
      </c>
      <c r="F16" s="11">
        <f t="shared" ref="F16:F21" si="3">E16/B16*100</f>
        <v>10.932518597237</v>
      </c>
      <c r="G16" s="10">
        <v>3</v>
      </c>
      <c r="H16" s="10">
        <v>77</v>
      </c>
      <c r="I16" s="10"/>
      <c r="J16" s="10"/>
      <c r="K16" s="10">
        <v>451</v>
      </c>
      <c r="L16" s="10"/>
      <c r="M16" s="10"/>
      <c r="N16" s="10"/>
      <c r="O16" s="10"/>
      <c r="P16" s="10"/>
      <c r="Q16" s="10"/>
      <c r="R16" s="10">
        <v>247</v>
      </c>
      <c r="S16" s="10"/>
      <c r="T16" s="10"/>
      <c r="U16" s="10"/>
      <c r="V16" s="10"/>
      <c r="W16" s="10"/>
      <c r="X16" s="10">
        <v>40</v>
      </c>
      <c r="Y16" s="10">
        <v>10</v>
      </c>
      <c r="Z16" s="10"/>
      <c r="AA16" s="10"/>
    </row>
    <row r="17" ht="20" customHeight="1" spans="1:27">
      <c r="A17" s="39">
        <v>45784</v>
      </c>
      <c r="B17" s="10">
        <v>8703</v>
      </c>
      <c r="C17" s="10">
        <v>7627</v>
      </c>
      <c r="D17" s="10">
        <v>243</v>
      </c>
      <c r="E17" s="10">
        <f t="shared" si="2"/>
        <v>833</v>
      </c>
      <c r="F17" s="11">
        <f t="shared" si="3"/>
        <v>9.57141215672756</v>
      </c>
      <c r="G17" s="10">
        <v>70</v>
      </c>
      <c r="H17" s="10">
        <v>114</v>
      </c>
      <c r="I17" s="10"/>
      <c r="J17" s="10"/>
      <c r="K17" s="10">
        <v>422</v>
      </c>
      <c r="L17" s="10"/>
      <c r="M17" s="10"/>
      <c r="N17" s="10"/>
      <c r="O17" s="10">
        <v>10</v>
      </c>
      <c r="P17" s="10"/>
      <c r="Q17" s="10"/>
      <c r="R17" s="10">
        <v>220</v>
      </c>
      <c r="S17" s="10"/>
      <c r="T17" s="10"/>
      <c r="U17" s="10"/>
      <c r="V17" s="10"/>
      <c r="W17" s="10"/>
      <c r="X17" s="10">
        <v>44</v>
      </c>
      <c r="Y17" s="10">
        <v>3</v>
      </c>
      <c r="Z17" s="10"/>
      <c r="AA17" s="10"/>
    </row>
    <row r="18" ht="20" customHeight="1" spans="1:27">
      <c r="A18" s="39">
        <v>45785</v>
      </c>
      <c r="B18" s="10">
        <v>9138</v>
      </c>
      <c r="C18" s="10">
        <v>7898</v>
      </c>
      <c r="D18" s="10">
        <v>558</v>
      </c>
      <c r="E18" s="10">
        <f t="shared" si="2"/>
        <v>682</v>
      </c>
      <c r="F18" s="11">
        <f t="shared" si="3"/>
        <v>7.46333989932151</v>
      </c>
      <c r="G18" s="10">
        <v>34</v>
      </c>
      <c r="H18" s="10">
        <v>174</v>
      </c>
      <c r="I18" s="10"/>
      <c r="J18" s="10"/>
      <c r="K18" s="10">
        <v>120</v>
      </c>
      <c r="L18" s="10"/>
      <c r="M18" s="10"/>
      <c r="N18" s="10"/>
      <c r="O18" s="10">
        <v>41</v>
      </c>
      <c r="P18" s="10"/>
      <c r="Q18" s="10"/>
      <c r="R18" s="10">
        <v>219</v>
      </c>
      <c r="S18" s="10"/>
      <c r="T18" s="10"/>
      <c r="U18" s="10"/>
      <c r="V18" s="10"/>
      <c r="W18" s="10"/>
      <c r="X18" s="10">
        <v>159</v>
      </c>
      <c r="Y18" s="10">
        <v>4</v>
      </c>
      <c r="Z18" s="10"/>
      <c r="AA18" s="10"/>
    </row>
    <row r="19" ht="20" customHeight="1" spans="1:27">
      <c r="A19" s="39">
        <v>45786</v>
      </c>
      <c r="B19" s="10">
        <v>10611</v>
      </c>
      <c r="C19" s="10">
        <v>8845</v>
      </c>
      <c r="D19" s="10">
        <v>1121</v>
      </c>
      <c r="E19" s="10">
        <f t="shared" si="2"/>
        <v>645</v>
      </c>
      <c r="F19" s="11">
        <f t="shared" si="3"/>
        <v>6.07859768165112</v>
      </c>
      <c r="G19" s="10">
        <v>29</v>
      </c>
      <c r="H19" s="10">
        <v>85</v>
      </c>
      <c r="I19" s="10"/>
      <c r="J19" s="10"/>
      <c r="K19" s="10">
        <v>160</v>
      </c>
      <c r="L19" s="10"/>
      <c r="M19" s="10"/>
      <c r="N19" s="10"/>
      <c r="O19" s="10">
        <v>16</v>
      </c>
      <c r="P19" s="10"/>
      <c r="Q19" s="10"/>
      <c r="R19" s="10">
        <v>326</v>
      </c>
      <c r="S19" s="10"/>
      <c r="T19" s="10"/>
      <c r="U19" s="10"/>
      <c r="V19" s="10"/>
      <c r="W19" s="10"/>
      <c r="X19" s="10">
        <v>28</v>
      </c>
      <c r="Y19" s="10">
        <v>1</v>
      </c>
      <c r="Z19" s="10"/>
      <c r="AA19" s="10"/>
    </row>
    <row r="20" ht="20" customHeight="1" spans="1:27">
      <c r="A20" s="39">
        <v>45787</v>
      </c>
      <c r="B20" s="10">
        <v>4375</v>
      </c>
      <c r="C20" s="10">
        <v>4110</v>
      </c>
      <c r="D20" s="10">
        <v>72</v>
      </c>
      <c r="E20" s="10">
        <f t="shared" si="2"/>
        <v>193</v>
      </c>
      <c r="F20" s="11">
        <f t="shared" si="3"/>
        <v>4.41142857142857</v>
      </c>
      <c r="G20" s="10">
        <v>30</v>
      </c>
      <c r="H20" s="10">
        <v>37</v>
      </c>
      <c r="I20" s="10"/>
      <c r="J20" s="10"/>
      <c r="K20" s="10"/>
      <c r="L20" s="10"/>
      <c r="M20" s="10"/>
      <c r="N20" s="10"/>
      <c r="O20" s="10"/>
      <c r="P20" s="10"/>
      <c r="Q20" s="10"/>
      <c r="R20" s="10">
        <v>93</v>
      </c>
      <c r="S20" s="10"/>
      <c r="T20" s="10"/>
      <c r="U20" s="10"/>
      <c r="V20" s="10"/>
      <c r="W20" s="10"/>
      <c r="X20" s="10">
        <v>33</v>
      </c>
      <c r="Y20" s="10"/>
      <c r="Z20" s="10"/>
      <c r="AA20" s="10"/>
    </row>
    <row r="21" ht="20" customHeight="1" spans="1:27">
      <c r="A21" s="42" t="s">
        <v>40</v>
      </c>
      <c r="B21" s="43">
        <f>SUM(B15:B20)</f>
        <v>47279</v>
      </c>
      <c r="C21" s="43">
        <f>SUM(C15:C20)</f>
        <v>40817</v>
      </c>
      <c r="D21" s="43">
        <f>SUM(D15:D20)</f>
        <v>2400</v>
      </c>
      <c r="E21" s="43">
        <f>SUM(E15:E20)</f>
        <v>4062</v>
      </c>
      <c r="F21" s="141">
        <f t="shared" si="3"/>
        <v>8.59155227479431</v>
      </c>
      <c r="G21" s="43">
        <f>SUM(G15:G20)</f>
        <v>177</v>
      </c>
      <c r="H21" s="43">
        <f>SUM(H15:H20)</f>
        <v>720</v>
      </c>
      <c r="I21" s="43"/>
      <c r="J21" s="43"/>
      <c r="K21" s="43">
        <f>SUM(K15:K20)</f>
        <v>1372</v>
      </c>
      <c r="L21" s="43"/>
      <c r="M21" s="43"/>
      <c r="N21" s="43"/>
      <c r="O21" s="43">
        <f>SUM(O15:O20)</f>
        <v>67</v>
      </c>
      <c r="P21" s="43"/>
      <c r="Q21" s="43"/>
      <c r="R21" s="43">
        <f>SUM(R15:R20)</f>
        <v>1468</v>
      </c>
      <c r="S21" s="43"/>
      <c r="T21" s="43"/>
      <c r="U21" s="43"/>
      <c r="V21" s="43"/>
      <c r="W21" s="43"/>
      <c r="X21" s="43">
        <f>SUM(X15:X20)</f>
        <v>357</v>
      </c>
      <c r="Y21" s="43">
        <f>SUM(Y15:Y20)</f>
        <v>25</v>
      </c>
      <c r="Z21" s="43"/>
      <c r="AA21" s="56"/>
    </row>
    <row r="22" ht="20" customHeight="1" spans="1:27">
      <c r="A22" s="45" t="s">
        <v>84</v>
      </c>
      <c r="B22" s="46"/>
      <c r="C22" s="47">
        <f>C21/$B$21*100</f>
        <v>86.3321982275429</v>
      </c>
      <c r="D22" s="47">
        <f>D21/$B$21*100</f>
        <v>5.07624949766281</v>
      </c>
      <c r="E22" s="47">
        <f>E21/$B$21*100</f>
        <v>8.59155227479431</v>
      </c>
      <c r="F22" s="47">
        <f>F21/$B$21*100</f>
        <v>0.0181720262162785</v>
      </c>
      <c r="G22" s="47">
        <f>G21/$B$21*100</f>
        <v>0.374373400452632</v>
      </c>
      <c r="H22" s="47">
        <f>H21/$B$21*100</f>
        <v>1.52287484929884</v>
      </c>
      <c r="I22" s="47"/>
      <c r="J22" s="47"/>
      <c r="K22" s="47">
        <f>K21/$B$21*100</f>
        <v>2.90192262949724</v>
      </c>
      <c r="L22" s="47"/>
      <c r="M22" s="47"/>
      <c r="N22" s="47"/>
      <c r="O22" s="47">
        <f>O21/$B$21*100</f>
        <v>0.141711965143087</v>
      </c>
      <c r="P22" s="47"/>
      <c r="Q22" s="47"/>
      <c r="R22" s="47">
        <f>R21/$B$21*100</f>
        <v>3.10497260940375</v>
      </c>
      <c r="S22" s="47"/>
      <c r="T22" s="47"/>
      <c r="U22" s="47"/>
      <c r="V22" s="47"/>
      <c r="W22" s="47"/>
      <c r="X22" s="47">
        <f>X21/$B$21*100</f>
        <v>0.755092112777343</v>
      </c>
      <c r="Y22" s="47">
        <f>Y21/$B$21*100</f>
        <v>0.0528775989339876</v>
      </c>
      <c r="Z22" s="47"/>
      <c r="AA22" s="47"/>
    </row>
    <row r="23" ht="20" customHeight="1" spans="1:27">
      <c r="A23" s="140">
        <v>45788</v>
      </c>
      <c r="B23" s="102" t="s">
        <v>85</v>
      </c>
      <c r="C23" s="103"/>
      <c r="D23" s="103"/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  <c r="AA23" s="136"/>
    </row>
    <row r="24" ht="20" customHeight="1" spans="1:27">
      <c r="A24" s="39">
        <v>45789</v>
      </c>
      <c r="B24" s="10">
        <v>11451</v>
      </c>
      <c r="C24" s="10">
        <v>9915</v>
      </c>
      <c r="D24" s="10">
        <v>297</v>
      </c>
      <c r="E24" s="10">
        <f t="shared" ref="E24:E29" si="4">B24-(C24+D24)</f>
        <v>1239</v>
      </c>
      <c r="F24" s="11">
        <f t="shared" ref="F23:F39" si="5">E24/B24*100</f>
        <v>10.8200157191512</v>
      </c>
      <c r="G24" s="10">
        <v>56</v>
      </c>
      <c r="H24" s="10">
        <v>100</v>
      </c>
      <c r="I24" s="10"/>
      <c r="J24" s="10"/>
      <c r="K24" s="10">
        <v>505</v>
      </c>
      <c r="L24" s="10"/>
      <c r="M24" s="10"/>
      <c r="N24" s="10"/>
      <c r="O24" s="10">
        <v>105</v>
      </c>
      <c r="P24" s="10"/>
      <c r="Q24" s="10"/>
      <c r="R24" s="10">
        <v>419</v>
      </c>
      <c r="S24" s="10"/>
      <c r="T24" s="10"/>
      <c r="U24" s="10"/>
      <c r="V24" s="10"/>
      <c r="W24" s="10"/>
      <c r="X24" s="10">
        <v>53</v>
      </c>
      <c r="Y24" s="10">
        <v>1</v>
      </c>
      <c r="Z24" s="10"/>
      <c r="AA24" s="10"/>
    </row>
    <row r="25" ht="20" customHeight="1" spans="1:27">
      <c r="A25" s="39">
        <v>45790</v>
      </c>
      <c r="B25" s="10">
        <v>10602</v>
      </c>
      <c r="C25" s="10">
        <v>9560</v>
      </c>
      <c r="D25" s="10">
        <v>181</v>
      </c>
      <c r="E25" s="10">
        <f t="shared" si="4"/>
        <v>861</v>
      </c>
      <c r="F25" s="11">
        <f t="shared" si="5"/>
        <v>8.12110922467459</v>
      </c>
      <c r="G25" s="10">
        <v>11</v>
      </c>
      <c r="H25" s="10">
        <v>107</v>
      </c>
      <c r="I25" s="10"/>
      <c r="J25" s="10"/>
      <c r="K25" s="10">
        <v>238</v>
      </c>
      <c r="L25" s="10"/>
      <c r="M25" s="10"/>
      <c r="N25" s="10"/>
      <c r="O25" s="10">
        <v>104</v>
      </c>
      <c r="P25" s="10"/>
      <c r="Q25" s="10"/>
      <c r="R25" s="10">
        <v>379</v>
      </c>
      <c r="S25" s="10"/>
      <c r="T25" s="10"/>
      <c r="U25" s="10"/>
      <c r="V25" s="10"/>
      <c r="W25" s="10"/>
      <c r="X25" s="10">
        <v>19</v>
      </c>
      <c r="Y25" s="10">
        <v>3</v>
      </c>
      <c r="Z25" s="10"/>
      <c r="AA25" s="10"/>
    </row>
    <row r="26" ht="20" customHeight="1" spans="1:27">
      <c r="A26" s="39">
        <v>45791</v>
      </c>
      <c r="B26" s="10">
        <v>9696</v>
      </c>
      <c r="C26" s="10">
        <v>8825</v>
      </c>
      <c r="D26" s="10">
        <v>196</v>
      </c>
      <c r="E26" s="10">
        <f t="shared" si="4"/>
        <v>675</v>
      </c>
      <c r="F26" s="11">
        <f t="shared" si="5"/>
        <v>6.96163366336634</v>
      </c>
      <c r="G26" s="10">
        <v>22</v>
      </c>
      <c r="H26" s="10">
        <v>142</v>
      </c>
      <c r="I26" s="10"/>
      <c r="J26" s="10"/>
      <c r="K26" s="10">
        <v>173</v>
      </c>
      <c r="L26" s="10"/>
      <c r="M26" s="10"/>
      <c r="N26" s="10"/>
      <c r="O26" s="10">
        <v>69</v>
      </c>
      <c r="P26" s="10"/>
      <c r="Q26" s="10"/>
      <c r="R26" s="10">
        <v>239</v>
      </c>
      <c r="S26" s="10"/>
      <c r="T26" s="10"/>
      <c r="U26" s="10"/>
      <c r="V26" s="10"/>
      <c r="W26" s="10">
        <v>8</v>
      </c>
      <c r="X26" s="10">
        <v>17</v>
      </c>
      <c r="Y26" s="10">
        <v>5</v>
      </c>
      <c r="Z26" s="10"/>
      <c r="AA26" s="10"/>
    </row>
    <row r="27" ht="20" customHeight="1" spans="1:27">
      <c r="A27" s="39">
        <v>45792</v>
      </c>
      <c r="B27" s="10">
        <v>9893</v>
      </c>
      <c r="C27" s="10">
        <v>8931</v>
      </c>
      <c r="D27" s="10">
        <v>273</v>
      </c>
      <c r="E27" s="10">
        <f t="shared" si="4"/>
        <v>689</v>
      </c>
      <c r="F27" s="11">
        <f t="shared" si="5"/>
        <v>6.96452036793692</v>
      </c>
      <c r="G27" s="10">
        <v>28</v>
      </c>
      <c r="H27" s="10">
        <v>69</v>
      </c>
      <c r="I27" s="10"/>
      <c r="J27" s="10"/>
      <c r="K27" s="10">
        <v>41</v>
      </c>
      <c r="L27" s="10"/>
      <c r="M27" s="10"/>
      <c r="N27" s="10"/>
      <c r="O27" s="10">
        <v>146</v>
      </c>
      <c r="P27" s="10"/>
      <c r="Q27" s="10"/>
      <c r="R27" s="10">
        <v>389</v>
      </c>
      <c r="S27" s="10"/>
      <c r="T27" s="10"/>
      <c r="U27" s="10"/>
      <c r="V27" s="10"/>
      <c r="W27" s="10"/>
      <c r="X27" s="10">
        <v>14</v>
      </c>
      <c r="Y27" s="10">
        <v>2</v>
      </c>
      <c r="Z27" s="10"/>
      <c r="AA27" s="10"/>
    </row>
    <row r="28" ht="20" customHeight="1" spans="1:27">
      <c r="A28" s="39">
        <v>45793</v>
      </c>
      <c r="B28" s="58">
        <v>11688</v>
      </c>
      <c r="C28" s="58">
        <v>10757</v>
      </c>
      <c r="D28" s="58">
        <v>212</v>
      </c>
      <c r="E28" s="10">
        <f t="shared" si="4"/>
        <v>719</v>
      </c>
      <c r="F28" s="11">
        <f t="shared" si="5"/>
        <v>6.15160848733744</v>
      </c>
      <c r="G28" s="59">
        <v>48</v>
      </c>
      <c r="H28" s="59">
        <v>105</v>
      </c>
      <c r="I28" s="63"/>
      <c r="J28" s="63"/>
      <c r="K28" s="64">
        <v>49</v>
      </c>
      <c r="L28" s="64"/>
      <c r="M28" s="64"/>
      <c r="N28" s="64"/>
      <c r="O28" s="59">
        <v>189</v>
      </c>
      <c r="P28" s="64"/>
      <c r="Q28" s="64"/>
      <c r="R28" s="59">
        <v>315</v>
      </c>
      <c r="S28" s="64"/>
      <c r="T28" s="64"/>
      <c r="U28" s="64"/>
      <c r="V28" s="59"/>
      <c r="W28" s="59"/>
      <c r="X28" s="59">
        <v>11</v>
      </c>
      <c r="Y28" s="59">
        <v>2</v>
      </c>
      <c r="Z28" s="64"/>
      <c r="AA28" s="63"/>
    </row>
    <row r="29" ht="20" customHeight="1" spans="1:27">
      <c r="A29" s="39">
        <v>45794</v>
      </c>
      <c r="B29" s="58">
        <v>12454</v>
      </c>
      <c r="C29" s="58">
        <v>11708</v>
      </c>
      <c r="D29" s="58">
        <v>192</v>
      </c>
      <c r="E29" s="10">
        <f t="shared" si="4"/>
        <v>554</v>
      </c>
      <c r="F29" s="11">
        <f t="shared" si="5"/>
        <v>4.44837000160591</v>
      </c>
      <c r="G29" s="59">
        <v>36</v>
      </c>
      <c r="H29" s="59">
        <v>112</v>
      </c>
      <c r="I29" s="63"/>
      <c r="J29" s="64"/>
      <c r="K29" s="64">
        <v>120</v>
      </c>
      <c r="L29" s="64"/>
      <c r="M29" s="64"/>
      <c r="N29" s="64"/>
      <c r="O29" s="59">
        <v>16</v>
      </c>
      <c r="P29" s="64"/>
      <c r="Q29" s="64"/>
      <c r="R29" s="59">
        <v>259</v>
      </c>
      <c r="S29" s="64"/>
      <c r="T29" s="64"/>
      <c r="U29" s="64"/>
      <c r="V29" s="59"/>
      <c r="W29" s="59"/>
      <c r="X29" s="59"/>
      <c r="Y29" s="59">
        <v>6</v>
      </c>
      <c r="Z29" s="64">
        <v>5</v>
      </c>
      <c r="AA29" s="63"/>
    </row>
    <row r="30" ht="20" customHeight="1" spans="1:28">
      <c r="A30" s="42" t="s">
        <v>40</v>
      </c>
      <c r="B30" s="43">
        <f>SUM(B24:B29)</f>
        <v>65784</v>
      </c>
      <c r="C30" s="43">
        <f t="shared" ref="C30:AA30" si="6">SUM(C24:C29)</f>
        <v>59696</v>
      </c>
      <c r="D30" s="43">
        <f t="shared" si="6"/>
        <v>1351</v>
      </c>
      <c r="E30" s="43">
        <f t="shared" si="6"/>
        <v>4737</v>
      </c>
      <c r="F30" s="57">
        <f t="shared" si="5"/>
        <v>7.20083910981394</v>
      </c>
      <c r="G30" s="43">
        <f t="shared" si="6"/>
        <v>201</v>
      </c>
      <c r="H30" s="43">
        <f t="shared" si="6"/>
        <v>635</v>
      </c>
      <c r="I30" s="43">
        <f t="shared" si="6"/>
        <v>0</v>
      </c>
      <c r="J30" s="43">
        <f t="shared" si="6"/>
        <v>0</v>
      </c>
      <c r="K30" s="43">
        <f t="shared" si="6"/>
        <v>1126</v>
      </c>
      <c r="L30" s="43">
        <f t="shared" si="6"/>
        <v>0</v>
      </c>
      <c r="M30" s="43">
        <f t="shared" si="6"/>
        <v>0</v>
      </c>
      <c r="N30" s="43">
        <f t="shared" si="6"/>
        <v>0</v>
      </c>
      <c r="O30" s="43">
        <f t="shared" si="6"/>
        <v>629</v>
      </c>
      <c r="P30" s="43">
        <f t="shared" si="6"/>
        <v>0</v>
      </c>
      <c r="Q30" s="43">
        <f t="shared" si="6"/>
        <v>0</v>
      </c>
      <c r="R30" s="43">
        <f t="shared" si="6"/>
        <v>2000</v>
      </c>
      <c r="S30" s="43">
        <f t="shared" si="6"/>
        <v>0</v>
      </c>
      <c r="T30" s="43">
        <f t="shared" si="6"/>
        <v>0</v>
      </c>
      <c r="U30" s="43">
        <f t="shared" si="6"/>
        <v>0</v>
      </c>
      <c r="V30" s="43">
        <f t="shared" si="6"/>
        <v>0</v>
      </c>
      <c r="W30" s="43">
        <f t="shared" si="6"/>
        <v>8</v>
      </c>
      <c r="X30" s="43">
        <f t="shared" si="6"/>
        <v>114</v>
      </c>
      <c r="Y30" s="43">
        <f t="shared" si="6"/>
        <v>19</v>
      </c>
      <c r="Z30" s="43">
        <f t="shared" si="6"/>
        <v>5</v>
      </c>
      <c r="AA30" s="56">
        <f t="shared" si="6"/>
        <v>0</v>
      </c>
      <c r="AB30" s="23"/>
    </row>
    <row r="31" ht="20" customHeight="1" spans="1:28">
      <c r="A31" s="45" t="s">
        <v>84</v>
      </c>
      <c r="B31" s="46"/>
      <c r="C31" s="47">
        <f>C30/B30*100</f>
        <v>90.7454700231059</v>
      </c>
      <c r="D31" s="47">
        <f>D30/B30*100</f>
        <v>2.05369086708014</v>
      </c>
      <c r="E31" s="47">
        <f>E30/B30*100</f>
        <v>7.20083910981394</v>
      </c>
      <c r="F31" s="47"/>
      <c r="G31" s="47">
        <f>G30/B30*100</f>
        <v>0.305545421379059</v>
      </c>
      <c r="H31" s="47">
        <f>H30/$B$30*100</f>
        <v>0.965280311321902</v>
      </c>
      <c r="I31" s="47"/>
      <c r="J31" s="47"/>
      <c r="K31" s="47">
        <f>K30/$B$30*100</f>
        <v>1.71166241031254</v>
      </c>
      <c r="L31" s="47"/>
      <c r="M31" s="145"/>
      <c r="N31" s="47"/>
      <c r="O31" s="47">
        <f>O30/$B$30*100</f>
        <v>0.956159552474766</v>
      </c>
      <c r="P31" s="47"/>
      <c r="Q31" s="47"/>
      <c r="R31" s="47">
        <f>R30/$B$30*100</f>
        <v>3.04025294904536</v>
      </c>
      <c r="S31" s="47"/>
      <c r="T31" s="47"/>
      <c r="U31" s="47"/>
      <c r="V31" s="47"/>
      <c r="W31" s="47">
        <f>W30/$B$30*100</f>
        <v>0.0121610117961814</v>
      </c>
      <c r="X31" s="47">
        <f>X30/$B$30*100</f>
        <v>0.173294418095586</v>
      </c>
      <c r="Y31" s="47">
        <f>Y30/$B$30*100</f>
        <v>0.0288824030159309</v>
      </c>
      <c r="Z31" s="47">
        <f>Z30/$B$30*100</f>
        <v>0.0076006323726134</v>
      </c>
      <c r="AA31" s="47"/>
      <c r="AB31" s="23"/>
    </row>
    <row r="32" ht="20" customHeight="1" spans="1:27">
      <c r="A32" s="140">
        <v>45795</v>
      </c>
      <c r="B32" s="142" t="s">
        <v>85</v>
      </c>
      <c r="C32" s="142"/>
      <c r="D32" s="142"/>
      <c r="E32" s="142"/>
      <c r="F32" s="142"/>
      <c r="G32" s="142"/>
      <c r="H32" s="142"/>
      <c r="I32" s="142"/>
      <c r="J32" s="142"/>
      <c r="K32" s="142"/>
      <c r="L32" s="142"/>
      <c r="M32" s="142"/>
      <c r="N32" s="142"/>
      <c r="O32" s="142"/>
      <c r="P32" s="142"/>
      <c r="Q32" s="142"/>
      <c r="R32" s="142"/>
      <c r="S32" s="142"/>
      <c r="T32" s="142"/>
      <c r="U32" s="142"/>
      <c r="V32" s="142"/>
      <c r="W32" s="142"/>
      <c r="X32" s="142"/>
      <c r="Y32" s="142"/>
      <c r="Z32" s="142"/>
      <c r="AA32" s="142"/>
    </row>
    <row r="33" ht="20" customHeight="1" spans="1:27">
      <c r="A33" s="39">
        <v>45796</v>
      </c>
      <c r="B33" s="58">
        <v>12215</v>
      </c>
      <c r="C33" s="58">
        <v>11004</v>
      </c>
      <c r="D33" s="58">
        <v>316</v>
      </c>
      <c r="E33" s="10">
        <f>B33-(C33+D33)</f>
        <v>895</v>
      </c>
      <c r="F33" s="11">
        <f>E33/B33*100</f>
        <v>7.32705689725747</v>
      </c>
      <c r="G33" s="59">
        <v>19</v>
      </c>
      <c r="H33" s="59">
        <v>41</v>
      </c>
      <c r="I33" s="63"/>
      <c r="J33" s="63"/>
      <c r="K33" s="64">
        <v>630</v>
      </c>
      <c r="L33" s="64"/>
      <c r="M33" s="64"/>
      <c r="N33" s="64"/>
      <c r="O33" s="59">
        <v>14</v>
      </c>
      <c r="P33" s="64"/>
      <c r="Q33" s="64"/>
      <c r="R33" s="59">
        <v>184</v>
      </c>
      <c r="S33" s="64"/>
      <c r="T33" s="64"/>
      <c r="U33" s="64"/>
      <c r="V33" s="59"/>
      <c r="W33" s="59"/>
      <c r="X33" s="59">
        <v>6</v>
      </c>
      <c r="Y33" s="59">
        <v>1</v>
      </c>
      <c r="Z33" s="64"/>
      <c r="AA33" s="63"/>
    </row>
    <row r="34" ht="20" customHeight="1" spans="1:27">
      <c r="A34" s="39">
        <v>45797</v>
      </c>
      <c r="B34" s="58">
        <v>11397</v>
      </c>
      <c r="C34" s="58">
        <v>10292</v>
      </c>
      <c r="D34" s="58">
        <v>223</v>
      </c>
      <c r="E34" s="10">
        <f>B34-(C34+D34)</f>
        <v>882</v>
      </c>
      <c r="F34" s="11">
        <f t="shared" ref="F34:F39" si="7">E34/B34*100</f>
        <v>7.73887865227691</v>
      </c>
      <c r="G34" s="59">
        <v>16</v>
      </c>
      <c r="H34" s="59">
        <v>52</v>
      </c>
      <c r="I34" s="63"/>
      <c r="J34" s="63"/>
      <c r="K34" s="64">
        <v>678</v>
      </c>
      <c r="L34" s="64"/>
      <c r="M34" s="64"/>
      <c r="N34" s="64"/>
      <c r="O34" s="59">
        <v>17</v>
      </c>
      <c r="P34" s="64"/>
      <c r="Q34" s="64"/>
      <c r="R34" s="59">
        <v>109</v>
      </c>
      <c r="S34" s="64"/>
      <c r="T34" s="64"/>
      <c r="U34" s="64"/>
      <c r="V34" s="59"/>
      <c r="W34" s="59"/>
      <c r="X34" s="59">
        <v>9</v>
      </c>
      <c r="Y34" s="59">
        <v>11</v>
      </c>
      <c r="Z34" s="64"/>
      <c r="AA34" s="63"/>
    </row>
    <row r="35" ht="20" customHeight="1" spans="1:27">
      <c r="A35" s="39">
        <v>45798</v>
      </c>
      <c r="B35" s="58">
        <v>10437</v>
      </c>
      <c r="C35" s="58">
        <v>9557</v>
      </c>
      <c r="D35" s="58">
        <v>274</v>
      </c>
      <c r="E35" s="10">
        <v>572</v>
      </c>
      <c r="F35" s="11">
        <f t="shared" si="7"/>
        <v>5.48050205997892</v>
      </c>
      <c r="G35" s="59">
        <v>39</v>
      </c>
      <c r="H35" s="59">
        <v>49</v>
      </c>
      <c r="I35" s="63"/>
      <c r="J35" s="64"/>
      <c r="K35" s="64">
        <v>338</v>
      </c>
      <c r="L35" s="64"/>
      <c r="M35" s="64"/>
      <c r="N35" s="64"/>
      <c r="O35" s="59">
        <v>15</v>
      </c>
      <c r="P35" s="64"/>
      <c r="Q35" s="64"/>
      <c r="R35" s="59">
        <v>14</v>
      </c>
      <c r="S35" s="64"/>
      <c r="T35" s="64"/>
      <c r="U35" s="64"/>
      <c r="V35" s="59"/>
      <c r="W35" s="59"/>
      <c r="X35" s="59">
        <v>4</v>
      </c>
      <c r="Y35" s="59">
        <v>8</v>
      </c>
      <c r="Z35" s="64"/>
      <c r="AA35" s="63"/>
    </row>
    <row r="36" ht="20" customHeight="1" spans="1:27">
      <c r="A36" s="39">
        <v>45799</v>
      </c>
      <c r="B36" s="58">
        <v>12008</v>
      </c>
      <c r="C36" s="58">
        <v>10736</v>
      </c>
      <c r="D36" s="58">
        <v>198</v>
      </c>
      <c r="E36" s="10">
        <f>B36-(C36+D36)</f>
        <v>1074</v>
      </c>
      <c r="F36" s="11">
        <f t="shared" si="7"/>
        <v>8.94403730846103</v>
      </c>
      <c r="G36" s="59">
        <v>17</v>
      </c>
      <c r="H36" s="59">
        <v>48</v>
      </c>
      <c r="I36" s="63"/>
      <c r="J36" s="64"/>
      <c r="K36" s="64">
        <v>831</v>
      </c>
      <c r="L36" s="64"/>
      <c r="M36" s="64"/>
      <c r="N36" s="64"/>
      <c r="O36" s="59">
        <v>25</v>
      </c>
      <c r="P36" s="64">
        <v>10</v>
      </c>
      <c r="Q36" s="64"/>
      <c r="R36" s="59">
        <v>135</v>
      </c>
      <c r="S36" s="64"/>
      <c r="T36" s="64"/>
      <c r="U36" s="64"/>
      <c r="V36" s="59"/>
      <c r="W36" s="59"/>
      <c r="X36" s="59">
        <v>5</v>
      </c>
      <c r="Y36" s="59">
        <v>3</v>
      </c>
      <c r="Z36" s="64"/>
      <c r="AA36" s="63"/>
    </row>
    <row r="37" ht="20" customHeight="1" spans="1:27">
      <c r="A37" s="39">
        <v>45800</v>
      </c>
      <c r="B37" s="58">
        <v>12477</v>
      </c>
      <c r="C37" s="58">
        <v>11464</v>
      </c>
      <c r="D37" s="58">
        <v>186</v>
      </c>
      <c r="E37" s="10">
        <f>B37-(C37+D37)</f>
        <v>827</v>
      </c>
      <c r="F37" s="11">
        <f t="shared" si="7"/>
        <v>6.62819588041997</v>
      </c>
      <c r="G37" s="59">
        <v>14</v>
      </c>
      <c r="H37" s="59">
        <v>71</v>
      </c>
      <c r="I37" s="63"/>
      <c r="J37" s="64"/>
      <c r="K37" s="64">
        <v>522</v>
      </c>
      <c r="L37" s="64"/>
      <c r="M37" s="64"/>
      <c r="N37" s="64"/>
      <c r="O37" s="59">
        <v>15</v>
      </c>
      <c r="P37" s="64">
        <v>65</v>
      </c>
      <c r="Q37" s="64"/>
      <c r="R37" s="59">
        <v>121</v>
      </c>
      <c r="S37" s="64"/>
      <c r="T37" s="64"/>
      <c r="U37" s="64"/>
      <c r="V37" s="59"/>
      <c r="W37" s="59"/>
      <c r="X37" s="59">
        <v>7</v>
      </c>
      <c r="Y37" s="59">
        <v>12</v>
      </c>
      <c r="Z37" s="64"/>
      <c r="AA37" s="63"/>
    </row>
    <row r="38" ht="20" customHeight="1" spans="1:28">
      <c r="A38" s="143">
        <v>45801</v>
      </c>
      <c r="B38" s="87">
        <v>13316</v>
      </c>
      <c r="C38" s="87">
        <v>11691</v>
      </c>
      <c r="D38" s="87">
        <v>280</v>
      </c>
      <c r="E38" s="88">
        <f>B38-(C38+D38)</f>
        <v>1345</v>
      </c>
      <c r="F38" s="89">
        <f t="shared" si="7"/>
        <v>10.1006308200661</v>
      </c>
      <c r="G38" s="90">
        <v>51</v>
      </c>
      <c r="H38" s="90">
        <v>60</v>
      </c>
      <c r="I38" s="91"/>
      <c r="J38" s="91"/>
      <c r="K38" s="91">
        <v>1022</v>
      </c>
      <c r="L38" s="91"/>
      <c r="M38" s="91"/>
      <c r="N38" s="91"/>
      <c r="O38" s="90">
        <v>24</v>
      </c>
      <c r="P38" s="91">
        <v>14</v>
      </c>
      <c r="Q38" s="91"/>
      <c r="R38" s="90">
        <v>148</v>
      </c>
      <c r="S38" s="91"/>
      <c r="T38" s="91"/>
      <c r="U38" s="91"/>
      <c r="V38" s="90"/>
      <c r="W38" s="90"/>
      <c r="X38" s="90"/>
      <c r="Y38" s="90">
        <v>9</v>
      </c>
      <c r="Z38" s="91"/>
      <c r="AA38" s="63"/>
      <c r="AB38" s="17"/>
    </row>
    <row r="39" ht="20" customHeight="1" spans="1:27">
      <c r="A39" s="42" t="s">
        <v>40</v>
      </c>
      <c r="B39" s="56">
        <f>SUM(B33:B38)</f>
        <v>71850</v>
      </c>
      <c r="C39" s="56">
        <f>SUM(C33:C38)</f>
        <v>64744</v>
      </c>
      <c r="D39" s="56">
        <f>SUM(D33:D38)</f>
        <v>1477</v>
      </c>
      <c r="E39" s="56">
        <f>SUM(E33:E38)</f>
        <v>5595</v>
      </c>
      <c r="F39" s="141">
        <f t="shared" si="7"/>
        <v>7.78705636743215</v>
      </c>
      <c r="G39" s="56">
        <f>SUM(G33:G38)</f>
        <v>156</v>
      </c>
      <c r="H39" s="56">
        <f>SUM(H33:H38)</f>
        <v>321</v>
      </c>
      <c r="I39" s="56"/>
      <c r="J39" s="56"/>
      <c r="K39" s="56">
        <f>SUM(K33:K38)</f>
        <v>4021</v>
      </c>
      <c r="L39" s="56"/>
      <c r="M39" s="56"/>
      <c r="N39" s="56"/>
      <c r="O39" s="56">
        <f>SUM(O33:O38)</f>
        <v>110</v>
      </c>
      <c r="P39" s="56"/>
      <c r="Q39" s="56"/>
      <c r="R39" s="56">
        <f>SUM(R33:R38)</f>
        <v>711</v>
      </c>
      <c r="S39" s="56"/>
      <c r="T39" s="56"/>
      <c r="U39" s="56"/>
      <c r="V39" s="56"/>
      <c r="W39" s="56"/>
      <c r="X39" s="56">
        <f>SUM(X33:X38)</f>
        <v>31</v>
      </c>
      <c r="Y39" s="56">
        <f>SUM(Y33:Y38)</f>
        <v>44</v>
      </c>
      <c r="Z39" s="56"/>
      <c r="AA39" s="56"/>
    </row>
    <row r="40" ht="20" customHeight="1" spans="1:27">
      <c r="A40" s="45" t="s">
        <v>84</v>
      </c>
      <c r="B40" s="46"/>
      <c r="C40" s="47">
        <f>C39/$B$39*100</f>
        <v>90.1099512874043</v>
      </c>
      <c r="D40" s="47">
        <f>D39/$B$39*100</f>
        <v>2.05567153792623</v>
      </c>
      <c r="E40" s="47">
        <f>E39/$B$39*100</f>
        <v>7.78705636743215</v>
      </c>
      <c r="F40" s="47">
        <f>F39/$B$39*100</f>
        <v>0.0108379350973308</v>
      </c>
      <c r="G40" s="47">
        <f>G39/$B$39*100</f>
        <v>0.217118997912317</v>
      </c>
      <c r="H40" s="47">
        <f>H39/$B$39*100</f>
        <v>0.446764091858038</v>
      </c>
      <c r="I40" s="47"/>
      <c r="J40" s="47"/>
      <c r="K40" s="47">
        <f>K39/$B$39*100</f>
        <v>5.59638135003479</v>
      </c>
      <c r="L40" s="47"/>
      <c r="M40" s="47"/>
      <c r="N40" s="47"/>
      <c r="O40" s="47">
        <f>O39/$B$39*100</f>
        <v>0.153096729297147</v>
      </c>
      <c r="P40" s="47"/>
      <c r="Q40" s="47"/>
      <c r="R40" s="47">
        <f>R39/$B$39*100</f>
        <v>0.989561586638831</v>
      </c>
      <c r="S40" s="47"/>
      <c r="T40" s="47"/>
      <c r="U40" s="47"/>
      <c r="V40" s="47"/>
      <c r="W40" s="47"/>
      <c r="X40" s="47">
        <f>X39/$B$39*100</f>
        <v>0.0431454418928323</v>
      </c>
      <c r="Y40" s="47">
        <f>Y39/$B$39*100</f>
        <v>0.0612386917188587</v>
      </c>
      <c r="Z40" s="47"/>
      <c r="AA40" s="47"/>
    </row>
    <row r="41" ht="20" customHeight="1" spans="1:27">
      <c r="A41" s="144">
        <v>45802</v>
      </c>
      <c r="B41" s="123" t="s">
        <v>85</v>
      </c>
      <c r="C41" s="124"/>
      <c r="D41" s="124"/>
      <c r="E41" s="124"/>
      <c r="F41" s="124"/>
      <c r="G41" s="124"/>
      <c r="H41" s="124"/>
      <c r="I41" s="124"/>
      <c r="J41" s="124"/>
      <c r="K41" s="124"/>
      <c r="L41" s="124"/>
      <c r="M41" s="124"/>
      <c r="N41" s="124"/>
      <c r="O41" s="124"/>
      <c r="P41" s="124"/>
      <c r="Q41" s="124"/>
      <c r="R41" s="124"/>
      <c r="S41" s="124"/>
      <c r="T41" s="124"/>
      <c r="U41" s="124"/>
      <c r="V41" s="124"/>
      <c r="W41" s="124"/>
      <c r="X41" s="124"/>
      <c r="Y41" s="124"/>
      <c r="Z41" s="124"/>
      <c r="AA41" s="138"/>
    </row>
    <row r="42" ht="20" customHeight="1" spans="1:27">
      <c r="A42" s="51">
        <v>45803</v>
      </c>
      <c r="B42" s="58">
        <v>9199</v>
      </c>
      <c r="C42" s="58">
        <v>8559</v>
      </c>
      <c r="D42" s="58">
        <v>225</v>
      </c>
      <c r="E42" s="10">
        <f t="shared" ref="E42:E49" si="8">B42-(C42+D42)</f>
        <v>415</v>
      </c>
      <c r="F42" s="11">
        <f t="shared" ref="F42:F49" si="9">E42/B42*100</f>
        <v>4.51135993042722</v>
      </c>
      <c r="G42" s="59">
        <v>29</v>
      </c>
      <c r="H42" s="59">
        <v>38</v>
      </c>
      <c r="I42" s="64"/>
      <c r="J42" s="64"/>
      <c r="K42" s="64">
        <v>205</v>
      </c>
      <c r="L42" s="64"/>
      <c r="M42" s="64"/>
      <c r="N42" s="64"/>
      <c r="O42" s="59">
        <v>29</v>
      </c>
      <c r="P42" s="64"/>
      <c r="Q42" s="64"/>
      <c r="R42" s="59">
        <v>100</v>
      </c>
      <c r="S42" s="64"/>
      <c r="T42" s="64"/>
      <c r="U42" s="64"/>
      <c r="V42" s="59"/>
      <c r="W42" s="59"/>
      <c r="X42" s="59"/>
      <c r="Y42" s="59">
        <v>14</v>
      </c>
      <c r="Z42" s="64"/>
      <c r="AA42" s="63"/>
    </row>
    <row r="43" ht="20" customHeight="1" spans="1:27">
      <c r="A43" s="39">
        <v>45804</v>
      </c>
      <c r="B43" s="58">
        <v>10687</v>
      </c>
      <c r="C43" s="58">
        <v>9796</v>
      </c>
      <c r="D43" s="58">
        <v>281</v>
      </c>
      <c r="E43" s="10">
        <f t="shared" si="8"/>
        <v>610</v>
      </c>
      <c r="F43" s="11">
        <f t="shared" si="9"/>
        <v>5.7078693740058</v>
      </c>
      <c r="G43" s="59">
        <v>44</v>
      </c>
      <c r="H43" s="59">
        <v>106</v>
      </c>
      <c r="I43" s="64"/>
      <c r="J43" s="64"/>
      <c r="K43" s="64">
        <v>280</v>
      </c>
      <c r="L43" s="64"/>
      <c r="M43" s="64"/>
      <c r="N43" s="64"/>
      <c r="O43" s="59">
        <v>18</v>
      </c>
      <c r="P43" s="64">
        <v>15</v>
      </c>
      <c r="Q43" s="64"/>
      <c r="R43" s="59">
        <v>142</v>
      </c>
      <c r="S43" s="64"/>
      <c r="T43" s="64"/>
      <c r="U43" s="64"/>
      <c r="V43" s="59"/>
      <c r="W43" s="59"/>
      <c r="X43" s="59">
        <v>1</v>
      </c>
      <c r="Y43" s="59">
        <v>4</v>
      </c>
      <c r="Z43" s="64"/>
      <c r="AA43" s="63"/>
    </row>
    <row r="44" ht="20" customHeight="1" spans="1:27">
      <c r="A44" s="39">
        <v>45805</v>
      </c>
      <c r="B44" s="58">
        <v>10449</v>
      </c>
      <c r="C44" s="58">
        <v>9854</v>
      </c>
      <c r="D44" s="58">
        <v>254</v>
      </c>
      <c r="E44" s="10">
        <f t="shared" si="8"/>
        <v>341</v>
      </c>
      <c r="F44" s="11">
        <f t="shared" si="9"/>
        <v>3.26347018853479</v>
      </c>
      <c r="G44" s="59">
        <v>36</v>
      </c>
      <c r="H44" s="59">
        <v>31</v>
      </c>
      <c r="I44" s="64"/>
      <c r="J44" s="64"/>
      <c r="K44" s="64">
        <v>178</v>
      </c>
      <c r="L44" s="64"/>
      <c r="M44" s="64"/>
      <c r="N44" s="64"/>
      <c r="O44" s="59">
        <v>4</v>
      </c>
      <c r="P44" s="64"/>
      <c r="Q44" s="64"/>
      <c r="R44" s="59">
        <v>84</v>
      </c>
      <c r="S44" s="64"/>
      <c r="T44" s="64"/>
      <c r="U44" s="64"/>
      <c r="V44" s="59"/>
      <c r="W44" s="59"/>
      <c r="X44" s="59">
        <v>4</v>
      </c>
      <c r="Y44" s="59">
        <v>4</v>
      </c>
      <c r="Z44" s="64"/>
      <c r="AA44" s="63"/>
    </row>
    <row r="45" ht="20" customHeight="1" spans="1:27">
      <c r="A45" s="39">
        <v>45806</v>
      </c>
      <c r="B45" s="58">
        <v>10095</v>
      </c>
      <c r="C45" s="58">
        <v>9067</v>
      </c>
      <c r="D45" s="58">
        <v>377</v>
      </c>
      <c r="E45" s="10">
        <f t="shared" si="8"/>
        <v>651</v>
      </c>
      <c r="F45" s="11">
        <f t="shared" si="9"/>
        <v>6.44873699851412</v>
      </c>
      <c r="G45" s="59">
        <v>47</v>
      </c>
      <c r="H45" s="59">
        <v>88</v>
      </c>
      <c r="I45" s="64"/>
      <c r="J45" s="64"/>
      <c r="K45" s="64">
        <v>322</v>
      </c>
      <c r="L45" s="64"/>
      <c r="M45" s="64"/>
      <c r="N45" s="64"/>
      <c r="O45" s="59">
        <v>20</v>
      </c>
      <c r="P45" s="64">
        <v>60</v>
      </c>
      <c r="Q45" s="64"/>
      <c r="R45" s="59">
        <v>107</v>
      </c>
      <c r="S45" s="64"/>
      <c r="T45" s="64"/>
      <c r="U45" s="64"/>
      <c r="V45" s="59"/>
      <c r="W45" s="59"/>
      <c r="X45" s="59"/>
      <c r="Y45" s="59">
        <v>7</v>
      </c>
      <c r="Z45" s="64"/>
      <c r="AA45" s="63"/>
    </row>
    <row r="46" ht="20" customHeight="1" spans="1:27">
      <c r="A46" s="39">
        <v>45807</v>
      </c>
      <c r="B46" s="58">
        <v>8512</v>
      </c>
      <c r="C46" s="58">
        <v>7543</v>
      </c>
      <c r="D46" s="58">
        <v>225</v>
      </c>
      <c r="E46" s="10">
        <f t="shared" si="8"/>
        <v>744</v>
      </c>
      <c r="F46" s="11">
        <f t="shared" si="9"/>
        <v>8.7406015037594</v>
      </c>
      <c r="G46" s="59">
        <v>40</v>
      </c>
      <c r="H46" s="59">
        <v>145</v>
      </c>
      <c r="I46" s="64"/>
      <c r="J46" s="64"/>
      <c r="K46" s="64">
        <v>70</v>
      </c>
      <c r="L46" s="64"/>
      <c r="M46" s="64"/>
      <c r="N46" s="64"/>
      <c r="O46" s="59">
        <v>7</v>
      </c>
      <c r="P46" s="64">
        <v>295</v>
      </c>
      <c r="Q46" s="64"/>
      <c r="R46" s="59">
        <v>180</v>
      </c>
      <c r="S46" s="64"/>
      <c r="T46" s="64"/>
      <c r="U46" s="64"/>
      <c r="V46" s="59"/>
      <c r="W46" s="59"/>
      <c r="X46" s="59"/>
      <c r="Y46" s="59">
        <v>7</v>
      </c>
      <c r="Z46" s="64"/>
      <c r="AA46" s="63"/>
    </row>
    <row r="47" ht="20" customHeight="1" spans="1:27">
      <c r="A47" s="39">
        <v>45808</v>
      </c>
      <c r="B47" s="58">
        <v>10534</v>
      </c>
      <c r="C47" s="58">
        <v>9462</v>
      </c>
      <c r="D47" s="58">
        <v>439</v>
      </c>
      <c r="E47" s="10">
        <f t="shared" si="8"/>
        <v>633</v>
      </c>
      <c r="F47" s="11">
        <f t="shared" si="9"/>
        <v>6.0091133472565</v>
      </c>
      <c r="G47" s="59">
        <v>95</v>
      </c>
      <c r="H47" s="59">
        <v>102</v>
      </c>
      <c r="I47" s="64"/>
      <c r="J47" s="64"/>
      <c r="K47" s="64">
        <v>105</v>
      </c>
      <c r="L47" s="64"/>
      <c r="M47" s="64"/>
      <c r="N47" s="64"/>
      <c r="O47" s="59">
        <v>73</v>
      </c>
      <c r="P47" s="64">
        <v>140</v>
      </c>
      <c r="Q47" s="64"/>
      <c r="R47" s="59">
        <v>113</v>
      </c>
      <c r="S47" s="64"/>
      <c r="T47" s="64"/>
      <c r="U47" s="64"/>
      <c r="V47" s="59"/>
      <c r="W47" s="59"/>
      <c r="X47" s="59">
        <v>5</v>
      </c>
      <c r="Y47" s="59"/>
      <c r="Z47" s="64"/>
      <c r="AA47" s="63"/>
    </row>
    <row r="48" ht="22" customHeight="1" spans="1:27">
      <c r="A48" s="42" t="s">
        <v>40</v>
      </c>
      <c r="B48" s="56">
        <f>SUM(B42:B47)</f>
        <v>59476</v>
      </c>
      <c r="C48" s="56">
        <f t="shared" ref="B48:H48" si="10">SUM(C42:C47)</f>
        <v>54281</v>
      </c>
      <c r="D48" s="56">
        <f t="shared" si="10"/>
        <v>1801</v>
      </c>
      <c r="E48" s="56">
        <f t="shared" si="10"/>
        <v>3394</v>
      </c>
      <c r="F48" s="141">
        <f t="shared" si="9"/>
        <v>5.70650346358195</v>
      </c>
      <c r="G48" s="56">
        <f t="shared" si="10"/>
        <v>291</v>
      </c>
      <c r="H48" s="56">
        <f t="shared" si="10"/>
        <v>510</v>
      </c>
      <c r="I48" s="56"/>
      <c r="J48" s="56"/>
      <c r="K48" s="56">
        <f>SUM(K42:K47)</f>
        <v>1160</v>
      </c>
      <c r="L48" s="56"/>
      <c r="M48" s="56"/>
      <c r="N48" s="56"/>
      <c r="O48" s="56">
        <f>SUM(O42:O47)</f>
        <v>151</v>
      </c>
      <c r="P48" s="56"/>
      <c r="Q48" s="56"/>
      <c r="R48" s="56">
        <f>SUM(R42:R47)</f>
        <v>726</v>
      </c>
      <c r="S48" s="56"/>
      <c r="T48" s="56"/>
      <c r="U48" s="56"/>
      <c r="V48" s="56"/>
      <c r="W48" s="56"/>
      <c r="X48" s="56">
        <f>SUM(X42:X47)</f>
        <v>10</v>
      </c>
      <c r="Y48" s="56">
        <f>SUM(Y42:Y47)</f>
        <v>36</v>
      </c>
      <c r="Z48" s="56"/>
      <c r="AA48" s="56"/>
    </row>
    <row r="49" ht="22" customHeight="1" spans="1:27">
      <c r="A49" s="45" t="s">
        <v>84</v>
      </c>
      <c r="B49" s="46"/>
      <c r="C49" s="47">
        <f>C48/$B$48*100</f>
        <v>91.2653843567153</v>
      </c>
      <c r="D49" s="47">
        <f>D48/$B$48*100</f>
        <v>3.02811217970274</v>
      </c>
      <c r="E49" s="47">
        <f>E48/$B$48*100</f>
        <v>5.70650346358195</v>
      </c>
      <c r="F49" s="47">
        <f>F48/$B$48*100</f>
        <v>0.00959463222742274</v>
      </c>
      <c r="G49" s="47">
        <f>G48/$B$48*100</f>
        <v>0.489272984060798</v>
      </c>
      <c r="H49" s="47">
        <f>H48/$B$48*100</f>
        <v>0.857488734951913</v>
      </c>
      <c r="I49" s="47"/>
      <c r="J49" s="47"/>
      <c r="K49" s="47">
        <f>K48/$B$48*100</f>
        <v>1.95036653440043</v>
      </c>
      <c r="L49" s="47"/>
      <c r="M49" s="47"/>
      <c r="N49" s="47"/>
      <c r="O49" s="47">
        <f>O48/$B$48*100</f>
        <v>0.253883919564194</v>
      </c>
      <c r="P49" s="47"/>
      <c r="Q49" s="47"/>
      <c r="R49" s="47">
        <f>R48/$B$48*100</f>
        <v>1.22066043446096</v>
      </c>
      <c r="S49" s="47"/>
      <c r="T49" s="47"/>
      <c r="U49" s="47"/>
      <c r="V49" s="47"/>
      <c r="W49" s="47">
        <f>W48/$B$48*100</f>
        <v>0</v>
      </c>
      <c r="X49" s="47">
        <f>X48/$B$48*100</f>
        <v>0.0168135046069003</v>
      </c>
      <c r="Y49" s="47">
        <f>Y48/$B$48*100</f>
        <v>0.0605286165848409</v>
      </c>
      <c r="Z49" s="47">
        <f>Z48/$B$48*100</f>
        <v>0</v>
      </c>
      <c r="AA49" s="47"/>
    </row>
    <row r="50" ht="36" customHeight="1" spans="1:27">
      <c r="A50" s="12" t="s">
        <v>40</v>
      </c>
      <c r="B50" s="13">
        <f>B48+B39+B30+B21+B12</f>
        <v>260949</v>
      </c>
      <c r="C50" s="13">
        <f t="shared" ref="C50:AA50" si="11">C48+C39+C30+C21+C12</f>
        <v>232255</v>
      </c>
      <c r="D50" s="13">
        <f t="shared" si="11"/>
        <v>9872</v>
      </c>
      <c r="E50" s="13">
        <f t="shared" si="11"/>
        <v>18788</v>
      </c>
      <c r="F50" s="14">
        <f>E50/B50*100</f>
        <v>7.19987430494081</v>
      </c>
      <c r="G50" s="13">
        <f t="shared" si="11"/>
        <v>933</v>
      </c>
      <c r="H50" s="13">
        <f t="shared" si="11"/>
        <v>2304</v>
      </c>
      <c r="I50" s="13">
        <f t="shared" si="11"/>
        <v>0</v>
      </c>
      <c r="J50" s="13">
        <f t="shared" si="11"/>
        <v>0</v>
      </c>
      <c r="K50" s="13">
        <f t="shared" si="11"/>
        <v>8127</v>
      </c>
      <c r="L50" s="13">
        <f t="shared" si="11"/>
        <v>0</v>
      </c>
      <c r="M50" s="13">
        <f t="shared" si="11"/>
        <v>11</v>
      </c>
      <c r="N50" s="13">
        <f t="shared" si="11"/>
        <v>0</v>
      </c>
      <c r="O50" s="13">
        <f t="shared" si="11"/>
        <v>957</v>
      </c>
      <c r="P50" s="13">
        <f t="shared" si="11"/>
        <v>0</v>
      </c>
      <c r="Q50" s="13">
        <f t="shared" si="11"/>
        <v>0</v>
      </c>
      <c r="R50" s="13">
        <f t="shared" si="11"/>
        <v>5190</v>
      </c>
      <c r="S50" s="13">
        <f t="shared" si="11"/>
        <v>0</v>
      </c>
      <c r="T50" s="13">
        <f t="shared" si="11"/>
        <v>0</v>
      </c>
      <c r="U50" s="13">
        <f t="shared" si="11"/>
        <v>0</v>
      </c>
      <c r="V50" s="13">
        <f t="shared" si="11"/>
        <v>0</v>
      </c>
      <c r="W50" s="13">
        <f t="shared" si="11"/>
        <v>8</v>
      </c>
      <c r="X50" s="13">
        <f t="shared" si="11"/>
        <v>541</v>
      </c>
      <c r="Y50" s="13">
        <f t="shared" si="11"/>
        <v>130</v>
      </c>
      <c r="Z50" s="13">
        <f t="shared" si="11"/>
        <v>5</v>
      </c>
      <c r="AA50" s="13">
        <f t="shared" si="11"/>
        <v>0</v>
      </c>
    </row>
    <row r="51" ht="45" customHeight="1" spans="1:27">
      <c r="A51" s="17"/>
      <c r="B51" s="17"/>
      <c r="C51" s="11">
        <f>C50/B50*100</f>
        <v>89.0039816209298</v>
      </c>
      <c r="D51" s="11">
        <f>D50/B50*100</f>
        <v>3.78311470823801</v>
      </c>
      <c r="E51" s="11">
        <f>E50/B50*100</f>
        <v>7.19987430494081</v>
      </c>
      <c r="F51" s="60" t="s">
        <v>86</v>
      </c>
      <c r="G51" s="11">
        <f>G50/B50*100</f>
        <v>0.357541128726303</v>
      </c>
      <c r="H51" s="11">
        <f>H50/B50*100</f>
        <v>0.882931147465597</v>
      </c>
      <c r="I51" s="11"/>
      <c r="J51" s="11"/>
      <c r="K51" s="11">
        <f>K50/B50*100</f>
        <v>3.1144016646931</v>
      </c>
      <c r="L51" s="11"/>
      <c r="M51" s="11"/>
      <c r="N51" s="11"/>
      <c r="O51" s="11">
        <f>O50/B50*100</f>
        <v>0.366738328179069</v>
      </c>
      <c r="P51" s="11"/>
      <c r="Q51" s="11"/>
      <c r="R51" s="11">
        <f>R50/B50*100</f>
        <v>1.98889438166078</v>
      </c>
      <c r="S51" s="11"/>
      <c r="T51" s="11"/>
      <c r="U51" s="11"/>
      <c r="V51" s="11"/>
      <c r="W51" s="11"/>
      <c r="X51" s="11">
        <f>X50/B50*100</f>
        <v>0.207320204331115</v>
      </c>
      <c r="Y51" s="11">
        <f>Y50/B50*100</f>
        <v>0.0498181637024859</v>
      </c>
      <c r="Z51" s="11"/>
      <c r="AA51" s="11"/>
    </row>
    <row r="52" ht="22" customHeight="1" spans="6:28">
      <c r="F52" s="61" t="s">
        <v>87</v>
      </c>
      <c r="G52" s="62">
        <v>0.5</v>
      </c>
      <c r="H52" s="62">
        <v>0.7</v>
      </c>
      <c r="I52" s="62">
        <v>0.1</v>
      </c>
      <c r="J52" s="62">
        <v>0.1</v>
      </c>
      <c r="K52" s="62">
        <v>0.7</v>
      </c>
      <c r="L52" s="62">
        <v>0.1</v>
      </c>
      <c r="M52" s="62">
        <v>0.1</v>
      </c>
      <c r="N52" s="62">
        <v>0.1</v>
      </c>
      <c r="O52" s="62">
        <v>0.3</v>
      </c>
      <c r="P52" s="62">
        <v>0.1</v>
      </c>
      <c r="Q52" s="62">
        <v>0.1</v>
      </c>
      <c r="R52" s="62">
        <v>1</v>
      </c>
      <c r="S52" s="62">
        <v>0.1</v>
      </c>
      <c r="T52" s="62">
        <v>0.1</v>
      </c>
      <c r="U52" s="62">
        <v>0.1</v>
      </c>
      <c r="V52" s="62">
        <v>0.1</v>
      </c>
      <c r="W52" s="62">
        <v>0.1</v>
      </c>
      <c r="X52" s="62">
        <v>0.3</v>
      </c>
      <c r="Y52" s="62">
        <v>0.1</v>
      </c>
      <c r="Z52" s="62">
        <v>0.1</v>
      </c>
      <c r="AA52" s="62">
        <v>0.1</v>
      </c>
      <c r="AB52" s="74">
        <f>SUM(G52:AA52)</f>
        <v>5</v>
      </c>
    </row>
    <row r="53" ht="21" customHeight="1" spans="6:27">
      <c r="F53" s="18" t="s">
        <v>88</v>
      </c>
      <c r="G53" s="11">
        <f>G52-G51</f>
        <v>0.142458871273697</v>
      </c>
      <c r="H53" s="11">
        <f t="shared" ref="H53:AA53" si="12">H52-H51</f>
        <v>-0.182931147465597</v>
      </c>
      <c r="I53" s="11">
        <f t="shared" si="12"/>
        <v>0.1</v>
      </c>
      <c r="J53" s="11">
        <f t="shared" si="12"/>
        <v>0.1</v>
      </c>
      <c r="K53" s="11">
        <f t="shared" si="12"/>
        <v>-2.4144016646931</v>
      </c>
      <c r="L53" s="11">
        <f t="shared" si="12"/>
        <v>0.1</v>
      </c>
      <c r="M53" s="11">
        <f t="shared" si="12"/>
        <v>0.1</v>
      </c>
      <c r="N53" s="11">
        <f t="shared" si="12"/>
        <v>0.1</v>
      </c>
      <c r="O53" s="11">
        <f t="shared" si="12"/>
        <v>-0.0667383281790695</v>
      </c>
      <c r="P53" s="11">
        <f t="shared" si="12"/>
        <v>0.1</v>
      </c>
      <c r="Q53" s="11">
        <f t="shared" si="12"/>
        <v>0.1</v>
      </c>
      <c r="R53" s="11">
        <f t="shared" si="12"/>
        <v>-0.988894381660784</v>
      </c>
      <c r="S53" s="11">
        <f t="shared" si="12"/>
        <v>0.1</v>
      </c>
      <c r="T53" s="11">
        <f t="shared" si="12"/>
        <v>0.1</v>
      </c>
      <c r="U53" s="11">
        <f t="shared" si="12"/>
        <v>0.1</v>
      </c>
      <c r="V53" s="11">
        <f t="shared" si="12"/>
        <v>0.1</v>
      </c>
      <c r="W53" s="11">
        <f t="shared" si="12"/>
        <v>0.1</v>
      </c>
      <c r="X53" s="11">
        <f t="shared" si="12"/>
        <v>0.0926797956688855</v>
      </c>
      <c r="Y53" s="11">
        <f t="shared" si="12"/>
        <v>0.0501818362975141</v>
      </c>
      <c r="Z53" s="11">
        <f t="shared" si="12"/>
        <v>0.1</v>
      </c>
      <c r="AA53" s="11">
        <f t="shared" si="12"/>
        <v>0.1</v>
      </c>
    </row>
    <row r="54" spans="7:27"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</row>
  </sheetData>
  <mergeCells count="21">
    <mergeCell ref="W1:Y1"/>
    <mergeCell ref="Z1:AA1"/>
    <mergeCell ref="W2:Y2"/>
    <mergeCell ref="Z2:AA2"/>
    <mergeCell ref="W3:Y3"/>
    <mergeCell ref="Z3:AA3"/>
    <mergeCell ref="B4:V4"/>
    <mergeCell ref="W4:AA4"/>
    <mergeCell ref="G6:AA6"/>
    <mergeCell ref="B14:AA14"/>
    <mergeCell ref="B23:AA23"/>
    <mergeCell ref="B32:AA32"/>
    <mergeCell ref="B41:AA41"/>
    <mergeCell ref="A1:A4"/>
    <mergeCell ref="A6:A8"/>
    <mergeCell ref="B6:B8"/>
    <mergeCell ref="C6:C8"/>
    <mergeCell ref="D6:D8"/>
    <mergeCell ref="E6:E8"/>
    <mergeCell ref="F6:F8"/>
    <mergeCell ref="B1:V3"/>
  </mergeCells>
  <conditionalFormatting sqref="G51">
    <cfRule type="cellIs" dxfId="0" priority="18" operator="lessThan">
      <formula>$G$52</formula>
    </cfRule>
    <cfRule type="cellIs" dxfId="1" priority="19" operator="greaterThan">
      <formula>$G$52</formula>
    </cfRule>
  </conditionalFormatting>
  <conditionalFormatting sqref="H51">
    <cfRule type="cellIs" dxfId="0" priority="16" operator="lessThan">
      <formula>$H$52</formula>
    </cfRule>
    <cfRule type="cellIs" dxfId="1" priority="17" operator="greaterThan">
      <formula>$H$52</formula>
    </cfRule>
  </conditionalFormatting>
  <conditionalFormatting sqref="K51">
    <cfRule type="cellIs" dxfId="0" priority="14" operator="lessThan">
      <formula>$K$52</formula>
    </cfRule>
    <cfRule type="cellIs" dxfId="1" priority="15" operator="greaterThan">
      <formula>$K$52</formula>
    </cfRule>
  </conditionalFormatting>
  <conditionalFormatting sqref="O51">
    <cfRule type="cellIs" dxfId="0" priority="12" operator="lessThan">
      <formula>$O$52</formula>
    </cfRule>
    <cfRule type="cellIs" dxfId="1" priority="13" operator="greaterThan">
      <formula>$O$52</formula>
    </cfRule>
  </conditionalFormatting>
  <conditionalFormatting sqref="R51">
    <cfRule type="cellIs" dxfId="0" priority="10" operator="lessThan">
      <formula>$R$52</formula>
    </cfRule>
    <cfRule type="cellIs" dxfId="1" priority="11" operator="greaterThan">
      <formula>$R$52</formula>
    </cfRule>
  </conditionalFormatting>
  <conditionalFormatting sqref="X51">
    <cfRule type="cellIs" dxfId="0" priority="8" operator="lessThan">
      <formula>$X$52</formula>
    </cfRule>
    <cfRule type="cellIs" dxfId="1" priority="9" operator="greaterThan">
      <formula>$X$52</formula>
    </cfRule>
  </conditionalFormatting>
  <conditionalFormatting sqref="Y51">
    <cfRule type="cellIs" dxfId="0" priority="6" operator="lessThan">
      <formula>$Y$52</formula>
    </cfRule>
    <cfRule type="cellIs" dxfId="1" priority="7" operator="greaterThan">
      <formula>$Y$52</formula>
    </cfRule>
  </conditionalFormatting>
  <conditionalFormatting sqref="G53">
    <cfRule type="cellIs" dxfId="1" priority="5" operator="lessThan">
      <formula>0</formula>
    </cfRule>
  </conditionalFormatting>
  <conditionalFormatting sqref="G53:AA53">
    <cfRule type="cellIs" dxfId="2" priority="2" operator="lessThan">
      <formula>0</formula>
    </cfRule>
    <cfRule type="cellIs" dxfId="3" priority="1" operator="greaterThan">
      <formula>0</formula>
    </cfRule>
  </conditionalFormatting>
  <pageMargins left="0.251388888888889" right="0.251388888888889" top="0.197222222222222" bottom="0.251388888888889" header="0.298611111111111" footer="0.298611111111111"/>
  <pageSetup paperSize="9" scale="53" orientation="landscape" horizontalDpi="600"/>
  <headerFooter/>
  <ignoredErrors>
    <ignoredError sqref="F30" formula="1"/>
  </ignoredError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C53"/>
  <sheetViews>
    <sheetView zoomScale="85" zoomScaleNormal="85" zoomScalePageLayoutView="85" topLeftCell="A25" workbookViewId="0">
      <selection activeCell="G49" sqref="G49"/>
    </sheetView>
  </sheetViews>
  <sheetFormatPr defaultColWidth="9.14285714285714" defaultRowHeight="15"/>
  <cols>
    <col min="1" max="1" width="18.1428571428571" customWidth="1"/>
    <col min="2" max="7" width="13.7142857142857" customWidth="1"/>
    <col min="8" max="28" width="8.71428571428571" customWidth="1"/>
  </cols>
  <sheetData>
    <row r="1" ht="20" customHeight="1" spans="1:28">
      <c r="A1" s="1"/>
      <c r="B1" s="76" t="s">
        <v>82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20" t="s">
        <v>83</v>
      </c>
      <c r="Y1" s="20"/>
      <c r="Z1" s="20"/>
      <c r="AA1" s="21" t="s">
        <v>77</v>
      </c>
      <c r="AB1" s="21"/>
    </row>
    <row r="2" ht="15.75" spans="1:28">
      <c r="A2" s="1"/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20" t="s">
        <v>78</v>
      </c>
      <c r="Y2" s="20"/>
      <c r="Z2" s="20"/>
      <c r="AA2" s="167" t="s">
        <v>89</v>
      </c>
      <c r="AB2" s="21"/>
    </row>
    <row r="3" ht="22" customHeight="1" spans="1:28">
      <c r="A3" s="1"/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20" t="s">
        <v>79</v>
      </c>
      <c r="Y3" s="20"/>
      <c r="Z3" s="20"/>
      <c r="AA3" s="22">
        <v>45607</v>
      </c>
      <c r="AB3" s="21"/>
    </row>
    <row r="4" ht="23.25" spans="1:28">
      <c r="A4" s="1"/>
      <c r="B4" s="78" t="s">
        <v>80</v>
      </c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1" t="s">
        <v>8</v>
      </c>
      <c r="Y4" s="1"/>
      <c r="Z4" s="1"/>
      <c r="AA4" s="1"/>
      <c r="AB4" s="1"/>
    </row>
    <row r="5" ht="18.75" spans="1:29">
      <c r="A5" s="96" t="s">
        <v>81</v>
      </c>
      <c r="B5" s="96" t="s">
        <v>12</v>
      </c>
      <c r="C5" s="97" t="s">
        <v>13</v>
      </c>
      <c r="D5" s="97" t="s">
        <v>14</v>
      </c>
      <c r="E5" s="98" t="s">
        <v>90</v>
      </c>
      <c r="F5" s="97" t="s">
        <v>16</v>
      </c>
      <c r="G5" s="96" t="s">
        <v>17</v>
      </c>
      <c r="H5" s="96" t="s">
        <v>18</v>
      </c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  <c r="AC5" s="130"/>
    </row>
    <row r="6" ht="18.75" spans="1:29">
      <c r="A6" s="96"/>
      <c r="B6" s="96"/>
      <c r="C6" s="97"/>
      <c r="D6" s="97"/>
      <c r="E6" s="99"/>
      <c r="F6" s="97"/>
      <c r="G6" s="96"/>
      <c r="H6" s="96">
        <v>1</v>
      </c>
      <c r="I6" s="96">
        <v>2</v>
      </c>
      <c r="J6" s="96">
        <v>3</v>
      </c>
      <c r="K6" s="96">
        <v>4</v>
      </c>
      <c r="L6" s="96">
        <v>5</v>
      </c>
      <c r="M6" s="96">
        <v>6</v>
      </c>
      <c r="N6" s="96">
        <v>7</v>
      </c>
      <c r="O6" s="96">
        <v>8</v>
      </c>
      <c r="P6" s="96">
        <v>9</v>
      </c>
      <c r="Q6" s="96">
        <v>10</v>
      </c>
      <c r="R6" s="96">
        <v>11</v>
      </c>
      <c r="S6" s="96">
        <v>12</v>
      </c>
      <c r="T6" s="96">
        <v>13</v>
      </c>
      <c r="U6" s="96">
        <v>14</v>
      </c>
      <c r="V6" s="96">
        <v>15</v>
      </c>
      <c r="W6" s="96">
        <v>16</v>
      </c>
      <c r="X6" s="96">
        <v>17</v>
      </c>
      <c r="Y6" s="96">
        <v>18</v>
      </c>
      <c r="Z6" s="96">
        <v>19</v>
      </c>
      <c r="AA6" s="96">
        <v>20</v>
      </c>
      <c r="AB6" s="96">
        <v>21</v>
      </c>
      <c r="AC6" s="130"/>
    </row>
    <row r="7" ht="18.75" spans="1:29">
      <c r="A7" s="96"/>
      <c r="B7" s="96"/>
      <c r="C7" s="97"/>
      <c r="D7" s="97"/>
      <c r="E7" s="100"/>
      <c r="F7" s="97"/>
      <c r="G7" s="96"/>
      <c r="H7" s="96" t="s">
        <v>19</v>
      </c>
      <c r="I7" s="96" t="s">
        <v>20</v>
      </c>
      <c r="J7" s="96" t="s">
        <v>21</v>
      </c>
      <c r="K7" s="96" t="s">
        <v>22</v>
      </c>
      <c r="L7" s="96" t="s">
        <v>23</v>
      </c>
      <c r="M7" s="96" t="s">
        <v>24</v>
      </c>
      <c r="N7" s="96" t="s">
        <v>25</v>
      </c>
      <c r="O7" s="96" t="s">
        <v>26</v>
      </c>
      <c r="P7" s="96" t="s">
        <v>27</v>
      </c>
      <c r="Q7" s="96" t="s">
        <v>28</v>
      </c>
      <c r="R7" s="96" t="s">
        <v>29</v>
      </c>
      <c r="S7" s="96" t="s">
        <v>30</v>
      </c>
      <c r="T7" s="96" t="s">
        <v>31</v>
      </c>
      <c r="U7" s="96" t="s">
        <v>32</v>
      </c>
      <c r="V7" s="96" t="s">
        <v>33</v>
      </c>
      <c r="W7" s="96" t="s">
        <v>34</v>
      </c>
      <c r="X7" s="96" t="s">
        <v>35</v>
      </c>
      <c r="Y7" s="96" t="s">
        <v>36</v>
      </c>
      <c r="Z7" s="96" t="s">
        <v>37</v>
      </c>
      <c r="AA7" s="96" t="s">
        <v>38</v>
      </c>
      <c r="AB7" s="96" t="s">
        <v>39</v>
      </c>
      <c r="AC7" s="130"/>
    </row>
    <row r="8" ht="20" customHeight="1" spans="1:29">
      <c r="A8" s="101">
        <v>45809</v>
      </c>
      <c r="B8" s="102" t="s">
        <v>85</v>
      </c>
      <c r="C8" s="103"/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36"/>
      <c r="AC8" s="130"/>
    </row>
    <row r="9" ht="20" customHeight="1" spans="1:29">
      <c r="A9" s="104">
        <v>45810</v>
      </c>
      <c r="B9" s="105">
        <v>10616</v>
      </c>
      <c r="C9" s="105">
        <v>8689</v>
      </c>
      <c r="D9" s="105">
        <v>1582</v>
      </c>
      <c r="E9" s="106">
        <f>D9/B9*100</f>
        <v>14.9020346646571</v>
      </c>
      <c r="F9" s="105">
        <f t="shared" ref="F9:F14" si="0">B9-(C9+D9)</f>
        <v>345</v>
      </c>
      <c r="G9" s="106">
        <f t="shared" ref="G9:G14" si="1">F9/B9*100</f>
        <v>3.24981160512434</v>
      </c>
      <c r="H9" s="105">
        <v>46</v>
      </c>
      <c r="I9" s="105">
        <v>66</v>
      </c>
      <c r="J9" s="105"/>
      <c r="K9" s="105"/>
      <c r="L9" s="105">
        <v>10</v>
      </c>
      <c r="M9" s="105"/>
      <c r="N9" s="105"/>
      <c r="O9" s="105"/>
      <c r="P9" s="105">
        <v>41</v>
      </c>
      <c r="Q9" s="105">
        <v>45</v>
      </c>
      <c r="R9" s="105"/>
      <c r="S9" s="105">
        <v>126</v>
      </c>
      <c r="T9" s="105"/>
      <c r="U9" s="105"/>
      <c r="V9" s="105"/>
      <c r="W9" s="105"/>
      <c r="X9" s="105"/>
      <c r="Y9" s="105">
        <v>7</v>
      </c>
      <c r="Z9" s="105">
        <v>4</v>
      </c>
      <c r="AA9" s="105"/>
      <c r="AB9" s="105"/>
      <c r="AC9" s="130"/>
    </row>
    <row r="10" ht="20" customHeight="1" spans="1:29">
      <c r="A10" s="104">
        <v>45811</v>
      </c>
      <c r="B10" s="105">
        <v>7134</v>
      </c>
      <c r="C10" s="105">
        <v>6284</v>
      </c>
      <c r="D10" s="105">
        <v>305</v>
      </c>
      <c r="E10" s="106">
        <f>D10/B10*100</f>
        <v>4.27530137370339</v>
      </c>
      <c r="F10" s="105">
        <f t="shared" si="0"/>
        <v>545</v>
      </c>
      <c r="G10" s="106">
        <f t="shared" si="1"/>
        <v>7.6394729464536</v>
      </c>
      <c r="H10" s="105">
        <v>42</v>
      </c>
      <c r="I10" s="105">
        <v>87</v>
      </c>
      <c r="J10" s="105"/>
      <c r="K10" s="105"/>
      <c r="L10" s="105"/>
      <c r="M10" s="105"/>
      <c r="N10" s="105"/>
      <c r="O10" s="105"/>
      <c r="P10" s="105">
        <v>41</v>
      </c>
      <c r="Q10" s="105">
        <v>210</v>
      </c>
      <c r="R10" s="105"/>
      <c r="S10" s="105">
        <v>150</v>
      </c>
      <c r="T10" s="105"/>
      <c r="U10" s="105"/>
      <c r="V10" s="105"/>
      <c r="W10" s="105"/>
      <c r="X10" s="105"/>
      <c r="Y10" s="105">
        <v>11</v>
      </c>
      <c r="Z10" s="105">
        <v>4</v>
      </c>
      <c r="AA10" s="105"/>
      <c r="AB10" s="105"/>
      <c r="AC10" s="130"/>
    </row>
    <row r="11" ht="20" customHeight="1" spans="1:29">
      <c r="A11" s="104">
        <v>45812</v>
      </c>
      <c r="B11" s="105">
        <v>8882</v>
      </c>
      <c r="C11" s="105">
        <v>7866</v>
      </c>
      <c r="D11" s="105">
        <v>299</v>
      </c>
      <c r="E11" s="106">
        <f>D11/B11*100</f>
        <v>3.36635892816933</v>
      </c>
      <c r="F11" s="105">
        <f t="shared" si="0"/>
        <v>717</v>
      </c>
      <c r="G11" s="106">
        <f t="shared" si="1"/>
        <v>8.07250619229903</v>
      </c>
      <c r="H11" s="105">
        <v>68</v>
      </c>
      <c r="I11" s="105">
        <v>101</v>
      </c>
      <c r="J11" s="105"/>
      <c r="K11" s="105"/>
      <c r="L11" s="105">
        <v>155</v>
      </c>
      <c r="M11" s="105"/>
      <c r="N11" s="105"/>
      <c r="O11" s="105"/>
      <c r="P11" s="105">
        <v>79</v>
      </c>
      <c r="Q11" s="105">
        <v>121</v>
      </c>
      <c r="R11" s="105"/>
      <c r="S11" s="105">
        <v>185</v>
      </c>
      <c r="T11" s="105"/>
      <c r="U11" s="105"/>
      <c r="V11" s="105"/>
      <c r="W11" s="105"/>
      <c r="X11" s="105"/>
      <c r="Y11" s="105">
        <v>3</v>
      </c>
      <c r="Z11" s="105">
        <v>5</v>
      </c>
      <c r="AA11" s="105"/>
      <c r="AB11" s="105"/>
      <c r="AC11" s="130"/>
    </row>
    <row r="12" ht="20" customHeight="1" spans="1:29">
      <c r="A12" s="104">
        <v>45813</v>
      </c>
      <c r="B12" s="105">
        <v>10963</v>
      </c>
      <c r="C12" s="105">
        <v>9942</v>
      </c>
      <c r="D12" s="105">
        <v>330</v>
      </c>
      <c r="E12" s="106">
        <f>D12/B12*100</f>
        <v>3.01012496579403</v>
      </c>
      <c r="F12" s="105">
        <f t="shared" si="0"/>
        <v>691</v>
      </c>
      <c r="G12" s="106">
        <f t="shared" si="1"/>
        <v>6.3030192465566</v>
      </c>
      <c r="H12" s="105">
        <v>98</v>
      </c>
      <c r="I12" s="105">
        <v>94</v>
      </c>
      <c r="J12" s="105"/>
      <c r="K12" s="105"/>
      <c r="L12" s="105">
        <v>50</v>
      </c>
      <c r="M12" s="105"/>
      <c r="N12" s="105"/>
      <c r="O12" s="105"/>
      <c r="P12" s="105">
        <v>111</v>
      </c>
      <c r="Q12" s="105">
        <v>102</v>
      </c>
      <c r="R12" s="105"/>
      <c r="S12" s="105">
        <v>218</v>
      </c>
      <c r="T12" s="105"/>
      <c r="U12" s="105"/>
      <c r="V12" s="105"/>
      <c r="W12" s="105"/>
      <c r="X12" s="105"/>
      <c r="Y12" s="105">
        <v>12</v>
      </c>
      <c r="Z12" s="105">
        <v>6</v>
      </c>
      <c r="AA12" s="105"/>
      <c r="AB12" s="105"/>
      <c r="AC12" s="130"/>
    </row>
    <row r="13" ht="20" customHeight="1" spans="1:29">
      <c r="A13" s="104">
        <v>45814</v>
      </c>
      <c r="B13" s="105">
        <v>9576</v>
      </c>
      <c r="C13" s="105">
        <v>8635</v>
      </c>
      <c r="D13" s="105">
        <v>382</v>
      </c>
      <c r="E13" s="106">
        <f t="shared" ref="E13:E23" si="2">D13/B13*100</f>
        <v>3.9891395154553</v>
      </c>
      <c r="F13" s="105">
        <f t="shared" si="0"/>
        <v>559</v>
      </c>
      <c r="G13" s="106">
        <f t="shared" si="1"/>
        <v>5.8375104427736</v>
      </c>
      <c r="H13" s="105">
        <v>48</v>
      </c>
      <c r="I13" s="105">
        <v>82</v>
      </c>
      <c r="J13" s="105"/>
      <c r="K13" s="105"/>
      <c r="L13" s="105">
        <v>129</v>
      </c>
      <c r="M13" s="105"/>
      <c r="N13" s="105"/>
      <c r="O13" s="105"/>
      <c r="P13" s="105">
        <v>27</v>
      </c>
      <c r="Q13" s="105">
        <v>45</v>
      </c>
      <c r="R13" s="105"/>
      <c r="S13" s="105">
        <v>214</v>
      </c>
      <c r="T13" s="105"/>
      <c r="U13" s="105"/>
      <c r="V13" s="105"/>
      <c r="W13" s="105"/>
      <c r="X13" s="105"/>
      <c r="Y13" s="105">
        <v>6</v>
      </c>
      <c r="Z13" s="105">
        <v>8</v>
      </c>
      <c r="AA13" s="105"/>
      <c r="AB13" s="105"/>
      <c r="AC13" s="130"/>
    </row>
    <row r="14" ht="20" customHeight="1" spans="1:29">
      <c r="A14" s="104">
        <v>45815</v>
      </c>
      <c r="B14" s="105">
        <v>11760</v>
      </c>
      <c r="C14" s="105">
        <v>10625</v>
      </c>
      <c r="D14" s="105">
        <v>285</v>
      </c>
      <c r="E14" s="106">
        <f t="shared" si="2"/>
        <v>2.4234693877551</v>
      </c>
      <c r="F14" s="105">
        <f t="shared" si="0"/>
        <v>850</v>
      </c>
      <c r="G14" s="106">
        <f t="shared" si="1"/>
        <v>7.22789115646258</v>
      </c>
      <c r="H14" s="105">
        <v>54</v>
      </c>
      <c r="I14" s="105">
        <v>59</v>
      </c>
      <c r="J14" s="105"/>
      <c r="K14" s="105"/>
      <c r="L14" s="105">
        <v>106</v>
      </c>
      <c r="M14" s="105"/>
      <c r="N14" s="105"/>
      <c r="O14" s="105"/>
      <c r="P14" s="105">
        <v>233</v>
      </c>
      <c r="Q14" s="105">
        <v>59</v>
      </c>
      <c r="R14" s="105"/>
      <c r="S14" s="105">
        <v>303</v>
      </c>
      <c r="T14" s="105"/>
      <c r="U14" s="105"/>
      <c r="V14" s="105"/>
      <c r="W14" s="105"/>
      <c r="X14" s="105"/>
      <c r="Y14" s="105">
        <v>33</v>
      </c>
      <c r="Z14" s="105">
        <v>3</v>
      </c>
      <c r="AA14" s="105"/>
      <c r="AB14" s="105"/>
      <c r="AC14" s="130"/>
    </row>
    <row r="15" ht="20" customHeight="1" spans="1:29">
      <c r="A15" s="107" t="s">
        <v>40</v>
      </c>
      <c r="B15" s="108">
        <f>SUM(B8:B14)</f>
        <v>58931</v>
      </c>
      <c r="C15" s="108">
        <f>SUM(C8:C14)</f>
        <v>52041</v>
      </c>
      <c r="D15" s="108">
        <f>SUM(D8:D14)</f>
        <v>3183</v>
      </c>
      <c r="E15" s="108"/>
      <c r="F15" s="108">
        <f>SUM(F8:F14)</f>
        <v>3707</v>
      </c>
      <c r="G15" s="109">
        <f>SUM(G8:G14)</f>
        <v>38.3302115896698</v>
      </c>
      <c r="H15" s="108">
        <f>SUM(H8:H14)</f>
        <v>356</v>
      </c>
      <c r="I15" s="108">
        <f>SUM(I8:I14)</f>
        <v>489</v>
      </c>
      <c r="J15" s="108"/>
      <c r="K15" s="108"/>
      <c r="L15" s="108">
        <f>SUM(L8:L14)</f>
        <v>450</v>
      </c>
      <c r="M15" s="108"/>
      <c r="N15" s="108">
        <f>SUM(N8:N14)</f>
        <v>0</v>
      </c>
      <c r="O15" s="108"/>
      <c r="P15" s="108"/>
      <c r="Q15" s="108"/>
      <c r="R15" s="108"/>
      <c r="S15" s="108">
        <f>SUM(S8:S14)</f>
        <v>1196</v>
      </c>
      <c r="T15" s="108"/>
      <c r="U15" s="108"/>
      <c r="V15" s="108"/>
      <c r="W15" s="108"/>
      <c r="X15" s="108"/>
      <c r="Y15" s="108">
        <f>SUM(Y8:Y14)</f>
        <v>72</v>
      </c>
      <c r="Z15" s="108">
        <f>SUM(Z8:Z14)</f>
        <v>30</v>
      </c>
      <c r="AA15" s="108"/>
      <c r="AB15" s="108"/>
      <c r="AC15" s="130"/>
    </row>
    <row r="16" ht="20" customHeight="1" spans="1:29">
      <c r="A16" s="110" t="s">
        <v>84</v>
      </c>
      <c r="B16" s="46"/>
      <c r="C16" s="111">
        <f>C15/$B$15*100</f>
        <v>88.3083606251379</v>
      </c>
      <c r="D16" s="111">
        <f>D15/$B$15*100</f>
        <v>5.40123194922876</v>
      </c>
      <c r="E16" s="111"/>
      <c r="F16" s="111">
        <f>F15/$B$15*100</f>
        <v>6.29040742563337</v>
      </c>
      <c r="G16" s="111">
        <f>G15/$B$15*100</f>
        <v>0.0650425270055994</v>
      </c>
      <c r="H16" s="111">
        <f>H15/$B$15*100</f>
        <v>0.604096316030612</v>
      </c>
      <c r="I16" s="111">
        <f>I15/$B$15*100</f>
        <v>0.829783984660026</v>
      </c>
      <c r="J16" s="111"/>
      <c r="K16" s="111"/>
      <c r="L16" s="111">
        <f>L15/$B$15*100</f>
        <v>0.76360489385892</v>
      </c>
      <c r="M16" s="111"/>
      <c r="N16" s="111">
        <f>N15/$B$15*100</f>
        <v>0</v>
      </c>
      <c r="O16" s="111"/>
      <c r="P16" s="111"/>
      <c r="Q16" s="111"/>
      <c r="R16" s="111"/>
      <c r="S16" s="111">
        <f>S15/$B$15*100</f>
        <v>2.0294921179006</v>
      </c>
      <c r="T16" s="111"/>
      <c r="U16" s="111"/>
      <c r="V16" s="111"/>
      <c r="W16" s="111"/>
      <c r="X16" s="111"/>
      <c r="Y16" s="111">
        <f>Y15/$B$15*100</f>
        <v>0.122176783017427</v>
      </c>
      <c r="Z16" s="111">
        <f>Z15/$B$15*100</f>
        <v>0.050906992923928</v>
      </c>
      <c r="AA16" s="111"/>
      <c r="AB16" s="111"/>
      <c r="AC16" s="130"/>
    </row>
    <row r="17" ht="20" customHeight="1" spans="1:29">
      <c r="A17" s="101">
        <v>45816</v>
      </c>
      <c r="B17" s="102" t="s">
        <v>85</v>
      </c>
      <c r="C17" s="103"/>
      <c r="D17" s="103"/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36"/>
      <c r="AC17" s="130"/>
    </row>
    <row r="18" ht="20" customHeight="1" spans="1:29">
      <c r="A18" s="104">
        <v>45817</v>
      </c>
      <c r="B18" s="105">
        <v>11133</v>
      </c>
      <c r="C18" s="105">
        <v>10220</v>
      </c>
      <c r="D18" s="105">
        <v>335</v>
      </c>
      <c r="E18" s="106">
        <f t="shared" si="2"/>
        <v>3.00907212790802</v>
      </c>
      <c r="F18" s="105">
        <f t="shared" ref="F18:F23" si="3">B18-(C18+D18)</f>
        <v>578</v>
      </c>
      <c r="G18" s="106">
        <f>F18/B18*100</f>
        <v>5.19177220874877</v>
      </c>
      <c r="H18" s="105">
        <v>94</v>
      </c>
      <c r="I18" s="105">
        <v>59</v>
      </c>
      <c r="J18" s="105"/>
      <c r="K18" s="105"/>
      <c r="L18" s="105">
        <v>53</v>
      </c>
      <c r="M18" s="105"/>
      <c r="N18" s="105"/>
      <c r="O18" s="105"/>
      <c r="P18" s="105">
        <v>78</v>
      </c>
      <c r="Q18" s="105">
        <v>24</v>
      </c>
      <c r="R18" s="105"/>
      <c r="S18" s="105">
        <v>266</v>
      </c>
      <c r="T18" s="105"/>
      <c r="U18" s="105"/>
      <c r="V18" s="105"/>
      <c r="W18" s="105"/>
      <c r="X18" s="105"/>
      <c r="Y18" s="105">
        <v>1</v>
      </c>
      <c r="Z18" s="105">
        <v>3</v>
      </c>
      <c r="AA18" s="105"/>
      <c r="AB18" s="105"/>
      <c r="AC18" s="130"/>
    </row>
    <row r="19" ht="20" customHeight="1" spans="1:29">
      <c r="A19" s="104">
        <v>45818</v>
      </c>
      <c r="B19" s="105">
        <v>10733</v>
      </c>
      <c r="C19" s="105">
        <v>9642</v>
      </c>
      <c r="D19" s="105">
        <v>544</v>
      </c>
      <c r="E19" s="106">
        <f t="shared" si="2"/>
        <v>5.06848038758968</v>
      </c>
      <c r="F19" s="105">
        <f t="shared" si="3"/>
        <v>547</v>
      </c>
      <c r="G19" s="106">
        <f>F19/B19*100</f>
        <v>5.09643156619771</v>
      </c>
      <c r="H19" s="105">
        <v>92</v>
      </c>
      <c r="I19" s="105">
        <v>84</v>
      </c>
      <c r="J19" s="105"/>
      <c r="K19" s="105"/>
      <c r="L19" s="105">
        <v>96</v>
      </c>
      <c r="M19" s="105"/>
      <c r="N19" s="105"/>
      <c r="O19" s="105"/>
      <c r="P19" s="105">
        <v>63</v>
      </c>
      <c r="Q19" s="105">
        <v>31</v>
      </c>
      <c r="R19" s="105"/>
      <c r="S19" s="105">
        <v>175</v>
      </c>
      <c r="T19" s="105"/>
      <c r="U19" s="105"/>
      <c r="V19" s="105"/>
      <c r="W19" s="105"/>
      <c r="X19" s="105"/>
      <c r="Y19" s="105">
        <v>3</v>
      </c>
      <c r="Z19" s="105">
        <v>3</v>
      </c>
      <c r="AA19" s="105"/>
      <c r="AB19" s="105"/>
      <c r="AC19" s="130"/>
    </row>
    <row r="20" ht="20" customHeight="1" spans="1:29">
      <c r="A20" s="104">
        <v>45819</v>
      </c>
      <c r="B20" s="105">
        <v>11697</v>
      </c>
      <c r="C20" s="105">
        <v>10146</v>
      </c>
      <c r="D20" s="105">
        <v>387</v>
      </c>
      <c r="E20" s="106">
        <f t="shared" si="2"/>
        <v>3.30854065144909</v>
      </c>
      <c r="F20" s="105">
        <f t="shared" si="3"/>
        <v>1164</v>
      </c>
      <c r="G20" s="106">
        <f>F20/B20*100</f>
        <v>9.95126955629649</v>
      </c>
      <c r="H20" s="105">
        <v>103</v>
      </c>
      <c r="I20" s="105">
        <v>100</v>
      </c>
      <c r="J20" s="105"/>
      <c r="K20" s="105"/>
      <c r="L20" s="105">
        <v>111</v>
      </c>
      <c r="M20" s="105"/>
      <c r="N20" s="105"/>
      <c r="O20" s="105"/>
      <c r="P20" s="105">
        <v>23</v>
      </c>
      <c r="Q20" s="105">
        <v>70</v>
      </c>
      <c r="R20" s="105"/>
      <c r="S20" s="105">
        <v>448</v>
      </c>
      <c r="T20" s="105"/>
      <c r="U20" s="105"/>
      <c r="V20" s="105"/>
      <c r="W20" s="105"/>
      <c r="X20" s="105"/>
      <c r="Y20" s="105"/>
      <c r="Z20" s="105">
        <v>9</v>
      </c>
      <c r="AA20" s="105"/>
      <c r="AB20" s="105"/>
      <c r="AC20" s="130"/>
    </row>
    <row r="21" ht="20" customHeight="1" spans="1:29">
      <c r="A21" s="104">
        <v>45820</v>
      </c>
      <c r="B21" s="105">
        <v>10553</v>
      </c>
      <c r="C21" s="105">
        <v>10112</v>
      </c>
      <c r="D21" s="105">
        <v>26</v>
      </c>
      <c r="E21" s="106">
        <f t="shared" si="2"/>
        <v>0.246375438264001</v>
      </c>
      <c r="F21" s="105">
        <f t="shared" si="3"/>
        <v>415</v>
      </c>
      <c r="G21" s="106">
        <f>F21/B21*100</f>
        <v>3.93253103382924</v>
      </c>
      <c r="H21" s="105">
        <v>140</v>
      </c>
      <c r="I21" s="105">
        <v>98</v>
      </c>
      <c r="J21" s="105"/>
      <c r="K21" s="105"/>
      <c r="L21" s="105">
        <v>12</v>
      </c>
      <c r="M21" s="105"/>
      <c r="N21" s="105"/>
      <c r="O21" s="105"/>
      <c r="P21" s="105"/>
      <c r="Q21" s="105"/>
      <c r="R21" s="105"/>
      <c r="S21" s="105">
        <v>109</v>
      </c>
      <c r="T21" s="105"/>
      <c r="U21" s="105"/>
      <c r="V21" s="105"/>
      <c r="W21" s="105"/>
      <c r="X21" s="105"/>
      <c r="Y21" s="105">
        <v>4</v>
      </c>
      <c r="Z21" s="105">
        <v>52</v>
      </c>
      <c r="AA21" s="105"/>
      <c r="AB21" s="105"/>
      <c r="AC21" s="130"/>
    </row>
    <row r="22" ht="20" customHeight="1" spans="1:29">
      <c r="A22" s="104">
        <v>45821</v>
      </c>
      <c r="B22" s="105">
        <v>9505</v>
      </c>
      <c r="C22" s="105">
        <v>8630</v>
      </c>
      <c r="D22" s="105">
        <v>206</v>
      </c>
      <c r="E22" s="106">
        <f t="shared" si="2"/>
        <v>2.16728037874803</v>
      </c>
      <c r="F22" s="105">
        <f t="shared" si="3"/>
        <v>669</v>
      </c>
      <c r="G22" s="106">
        <f t="shared" ref="G22:G33" si="4">F22/B22*100</f>
        <v>7.03840084166228</v>
      </c>
      <c r="H22" s="105">
        <v>70</v>
      </c>
      <c r="I22" s="105">
        <v>101</v>
      </c>
      <c r="J22" s="105"/>
      <c r="K22" s="105"/>
      <c r="L22" s="105">
        <v>78</v>
      </c>
      <c r="M22" s="105"/>
      <c r="N22" s="105"/>
      <c r="O22" s="105"/>
      <c r="P22" s="105">
        <v>32</v>
      </c>
      <c r="Q22" s="105">
        <v>49</v>
      </c>
      <c r="R22" s="105"/>
      <c r="S22" s="105">
        <v>324</v>
      </c>
      <c r="T22" s="105"/>
      <c r="U22" s="105"/>
      <c r="V22" s="105"/>
      <c r="W22" s="105"/>
      <c r="X22" s="105"/>
      <c r="Y22" s="105"/>
      <c r="Z22" s="105">
        <v>15</v>
      </c>
      <c r="AA22" s="105"/>
      <c r="AB22" s="105"/>
      <c r="AC22" s="130"/>
    </row>
    <row r="23" ht="20" customHeight="1" spans="1:29">
      <c r="A23" s="104">
        <v>45822</v>
      </c>
      <c r="B23" s="105">
        <v>9867</v>
      </c>
      <c r="C23" s="105">
        <v>9066</v>
      </c>
      <c r="D23" s="105">
        <v>253</v>
      </c>
      <c r="E23" s="106">
        <f t="shared" si="2"/>
        <v>2.56410256410256</v>
      </c>
      <c r="F23" s="105">
        <f t="shared" si="3"/>
        <v>548</v>
      </c>
      <c r="G23" s="106">
        <f t="shared" si="4"/>
        <v>5.55386642343164</v>
      </c>
      <c r="H23" s="105">
        <v>57</v>
      </c>
      <c r="I23" s="105">
        <v>48</v>
      </c>
      <c r="J23" s="105"/>
      <c r="K23" s="105"/>
      <c r="L23" s="105">
        <v>12</v>
      </c>
      <c r="M23" s="105"/>
      <c r="N23" s="105"/>
      <c r="O23" s="105"/>
      <c r="P23" s="105">
        <v>39</v>
      </c>
      <c r="Q23" s="105">
        <v>128</v>
      </c>
      <c r="R23" s="105"/>
      <c r="S23" s="105">
        <v>263</v>
      </c>
      <c r="T23" s="105"/>
      <c r="U23" s="105"/>
      <c r="V23" s="105"/>
      <c r="W23" s="105"/>
      <c r="X23" s="105"/>
      <c r="Y23" s="105"/>
      <c r="Z23" s="105"/>
      <c r="AA23" s="105">
        <v>1</v>
      </c>
      <c r="AB23" s="105"/>
      <c r="AC23" s="130"/>
    </row>
    <row r="24" ht="20" customHeight="1" spans="1:29">
      <c r="A24" s="107" t="s">
        <v>40</v>
      </c>
      <c r="B24" s="108">
        <f>SUM(B18:B23)</f>
        <v>63488</v>
      </c>
      <c r="C24" s="108">
        <f>SUM(C18:C23)</f>
        <v>57816</v>
      </c>
      <c r="D24" s="108">
        <f>SUM(D18:D23)</f>
        <v>1751</v>
      </c>
      <c r="E24" s="108"/>
      <c r="F24" s="108">
        <f>SUM(F18:F23)</f>
        <v>3921</v>
      </c>
      <c r="G24" s="112">
        <f t="shared" si="4"/>
        <v>6.17597026209677</v>
      </c>
      <c r="H24" s="108">
        <f>SUM(H18:H23)</f>
        <v>556</v>
      </c>
      <c r="I24" s="108">
        <f>SUM(I18:I23)</f>
        <v>490</v>
      </c>
      <c r="J24" s="108"/>
      <c r="K24" s="108"/>
      <c r="L24" s="108">
        <f>SUM(L18:L23)</f>
        <v>362</v>
      </c>
      <c r="M24" s="108"/>
      <c r="N24" s="108"/>
      <c r="O24" s="108"/>
      <c r="P24" s="108">
        <f>SUM(P18:P23)</f>
        <v>235</v>
      </c>
      <c r="Q24" s="108"/>
      <c r="R24" s="108"/>
      <c r="S24" s="108">
        <f>SUM(S18:S23)</f>
        <v>1585</v>
      </c>
      <c r="T24" s="108"/>
      <c r="U24" s="108"/>
      <c r="V24" s="108"/>
      <c r="W24" s="108"/>
      <c r="X24" s="108"/>
      <c r="Y24" s="108">
        <f>SUM(Y18:Y23)</f>
        <v>8</v>
      </c>
      <c r="Z24" s="108">
        <f>SUM(Z18:Z23)</f>
        <v>82</v>
      </c>
      <c r="AA24" s="108"/>
      <c r="AB24" s="121"/>
      <c r="AC24" s="130"/>
    </row>
    <row r="25" ht="20" customHeight="1" spans="1:29">
      <c r="A25" s="110" t="s">
        <v>84</v>
      </c>
      <c r="B25" s="46"/>
      <c r="C25" s="111">
        <f>C24/$B$24*100</f>
        <v>91.0660282258064</v>
      </c>
      <c r="D25" s="111">
        <f>D24/$B$24*100</f>
        <v>2.75800151209677</v>
      </c>
      <c r="E25" s="111"/>
      <c r="F25" s="111">
        <f>F24/$B$24*100</f>
        <v>6.17597026209677</v>
      </c>
      <c r="G25" s="111">
        <f>G24/$B$24*100</f>
        <v>0.00972777574044981</v>
      </c>
      <c r="H25" s="111">
        <f>H24/$B$24*100</f>
        <v>0.875756048387097</v>
      </c>
      <c r="I25" s="111">
        <f>I24/$B$24*100</f>
        <v>0.77179939516129</v>
      </c>
      <c r="J25" s="111"/>
      <c r="K25" s="111"/>
      <c r="L25" s="111">
        <f>L24/$B$24*100</f>
        <v>0.570186491935484</v>
      </c>
      <c r="M25" s="111"/>
      <c r="N25" s="111"/>
      <c r="O25" s="111"/>
      <c r="P25" s="111">
        <f>P24/$B$24*100</f>
        <v>0.370148689516129</v>
      </c>
      <c r="Q25" s="111"/>
      <c r="R25" s="111"/>
      <c r="S25" s="111">
        <f>S24/$B$24*100</f>
        <v>2.49653477822581</v>
      </c>
      <c r="T25" s="111"/>
      <c r="U25" s="111"/>
      <c r="V25" s="111"/>
      <c r="W25" s="111"/>
      <c r="X25" s="111"/>
      <c r="Y25" s="111">
        <f>Y24/$B$24*100</f>
        <v>0.0126008064516129</v>
      </c>
      <c r="Z25" s="111">
        <f>Z24/$B$24*100</f>
        <v>0.129158266129032</v>
      </c>
      <c r="AA25" s="111"/>
      <c r="AB25" s="111"/>
      <c r="AC25" s="130"/>
    </row>
    <row r="26" ht="20" customHeight="1" spans="1:29">
      <c r="A26" s="101">
        <v>45823</v>
      </c>
      <c r="B26" s="102" t="s">
        <v>85</v>
      </c>
      <c r="C26" s="103"/>
      <c r="D26" s="103"/>
      <c r="E26" s="103"/>
      <c r="F26" s="103"/>
      <c r="G26" s="103"/>
      <c r="H26" s="103"/>
      <c r="I26" s="103"/>
      <c r="J26" s="103"/>
      <c r="K26" s="103"/>
      <c r="L26" s="103"/>
      <c r="M26" s="103"/>
      <c r="N26" s="103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136"/>
      <c r="AC26" s="130"/>
    </row>
    <row r="27" ht="20" customHeight="1" spans="1:29">
      <c r="A27" s="104">
        <v>45824</v>
      </c>
      <c r="B27" s="105">
        <v>11497</v>
      </c>
      <c r="C27" s="105">
        <v>10483</v>
      </c>
      <c r="D27" s="105">
        <v>400</v>
      </c>
      <c r="E27" s="106">
        <f t="shared" ref="E27:E32" si="5">D27/B27*100</f>
        <v>3.47916847873358</v>
      </c>
      <c r="F27" s="105">
        <f t="shared" ref="F27:F32" si="6">B27-(C27+D27)</f>
        <v>614</v>
      </c>
      <c r="G27" s="106">
        <f t="shared" si="4"/>
        <v>5.34052361485605</v>
      </c>
      <c r="H27" s="105">
        <v>62</v>
      </c>
      <c r="I27" s="105">
        <v>90</v>
      </c>
      <c r="J27" s="105"/>
      <c r="K27" s="105"/>
      <c r="L27" s="105">
        <v>18</v>
      </c>
      <c r="M27" s="105"/>
      <c r="N27" s="105"/>
      <c r="O27" s="105"/>
      <c r="P27" s="105">
        <v>7</v>
      </c>
      <c r="Q27" s="105">
        <v>103</v>
      </c>
      <c r="R27" s="105"/>
      <c r="S27" s="105">
        <v>330</v>
      </c>
      <c r="T27" s="105"/>
      <c r="U27" s="105"/>
      <c r="V27" s="105"/>
      <c r="W27" s="105"/>
      <c r="X27" s="105"/>
      <c r="Y27" s="105"/>
      <c r="Z27" s="105">
        <v>4</v>
      </c>
      <c r="AA27" s="105"/>
      <c r="AB27" s="105"/>
      <c r="AC27" s="130"/>
    </row>
    <row r="28" ht="20" customHeight="1" spans="1:29">
      <c r="A28" s="104">
        <v>45825</v>
      </c>
      <c r="B28" s="105">
        <v>11226</v>
      </c>
      <c r="C28" s="105">
        <v>10107</v>
      </c>
      <c r="D28" s="105">
        <v>324</v>
      </c>
      <c r="E28" s="106">
        <f t="shared" si="5"/>
        <v>2.88615713522181</v>
      </c>
      <c r="F28" s="105">
        <f t="shared" si="6"/>
        <v>795</v>
      </c>
      <c r="G28" s="106">
        <f t="shared" si="4"/>
        <v>7.08177445216462</v>
      </c>
      <c r="H28" s="105">
        <v>100</v>
      </c>
      <c r="I28" s="105">
        <v>164</v>
      </c>
      <c r="J28" s="105"/>
      <c r="K28" s="105"/>
      <c r="L28" s="105">
        <v>110</v>
      </c>
      <c r="M28" s="105"/>
      <c r="N28" s="105"/>
      <c r="O28" s="105"/>
      <c r="P28" s="105">
        <v>35</v>
      </c>
      <c r="Q28" s="105">
        <v>39</v>
      </c>
      <c r="R28" s="105"/>
      <c r="S28" s="105">
        <v>340</v>
      </c>
      <c r="T28" s="105"/>
      <c r="U28" s="105"/>
      <c r="V28" s="105"/>
      <c r="W28" s="105"/>
      <c r="X28" s="105"/>
      <c r="Y28" s="105"/>
      <c r="Z28" s="105">
        <v>7</v>
      </c>
      <c r="AA28" s="105"/>
      <c r="AB28" s="105"/>
      <c r="AC28" s="130"/>
    </row>
    <row r="29" ht="20" customHeight="1" spans="1:29">
      <c r="A29" s="104">
        <v>45826</v>
      </c>
      <c r="B29" s="105">
        <v>10787</v>
      </c>
      <c r="C29" s="105">
        <v>9862</v>
      </c>
      <c r="D29" s="105">
        <v>310</v>
      </c>
      <c r="E29" s="106">
        <f t="shared" si="5"/>
        <v>2.8738296097154</v>
      </c>
      <c r="F29" s="105">
        <f t="shared" si="6"/>
        <v>615</v>
      </c>
      <c r="G29" s="106">
        <f t="shared" si="4"/>
        <v>5.70130712895152</v>
      </c>
      <c r="H29" s="105">
        <v>92</v>
      </c>
      <c r="I29" s="105">
        <v>118</v>
      </c>
      <c r="J29" s="105"/>
      <c r="K29" s="105"/>
      <c r="L29" s="105">
        <v>5</v>
      </c>
      <c r="M29" s="105"/>
      <c r="N29" s="105"/>
      <c r="O29" s="105"/>
      <c r="P29" s="105">
        <v>85</v>
      </c>
      <c r="Q29" s="105">
        <v>15</v>
      </c>
      <c r="R29" s="105"/>
      <c r="S29" s="105">
        <v>298</v>
      </c>
      <c r="T29" s="105"/>
      <c r="U29" s="105"/>
      <c r="V29" s="105"/>
      <c r="W29" s="105"/>
      <c r="X29" s="105"/>
      <c r="Y29" s="105"/>
      <c r="Z29" s="105">
        <v>2</v>
      </c>
      <c r="AA29" s="105"/>
      <c r="AB29" s="105"/>
      <c r="AC29" s="130"/>
    </row>
    <row r="30" ht="20" customHeight="1" spans="1:29">
      <c r="A30" s="104">
        <v>45827</v>
      </c>
      <c r="B30" s="105">
        <v>11204</v>
      </c>
      <c r="C30" s="105">
        <v>10148</v>
      </c>
      <c r="D30" s="105">
        <v>524</v>
      </c>
      <c r="E30" s="106">
        <f t="shared" si="5"/>
        <v>4.67690110674759</v>
      </c>
      <c r="F30" s="105">
        <f t="shared" si="6"/>
        <v>532</v>
      </c>
      <c r="G30" s="106">
        <f t="shared" si="4"/>
        <v>4.74830417707961</v>
      </c>
      <c r="H30" s="105">
        <v>103</v>
      </c>
      <c r="I30" s="105">
        <v>36</v>
      </c>
      <c r="J30" s="105"/>
      <c r="K30" s="105"/>
      <c r="L30" s="105">
        <v>6</v>
      </c>
      <c r="M30" s="105"/>
      <c r="N30" s="105"/>
      <c r="O30" s="105"/>
      <c r="P30" s="105">
        <v>58</v>
      </c>
      <c r="Q30" s="105">
        <v>45</v>
      </c>
      <c r="R30" s="105"/>
      <c r="S30" s="105">
        <v>281</v>
      </c>
      <c r="T30" s="105"/>
      <c r="U30" s="105"/>
      <c r="V30" s="105"/>
      <c r="W30" s="105"/>
      <c r="X30" s="105"/>
      <c r="Y30" s="105">
        <v>1</v>
      </c>
      <c r="Z30" s="105">
        <v>2</v>
      </c>
      <c r="AA30" s="105"/>
      <c r="AB30" s="105"/>
      <c r="AC30" s="130"/>
    </row>
    <row r="31" ht="20" customHeight="1" spans="1:29">
      <c r="A31" s="104">
        <v>45828</v>
      </c>
      <c r="B31" s="113">
        <v>9384</v>
      </c>
      <c r="C31" s="113">
        <v>8614</v>
      </c>
      <c r="D31" s="113">
        <v>214</v>
      </c>
      <c r="E31" s="106">
        <f t="shared" si="5"/>
        <v>2.28047740835465</v>
      </c>
      <c r="F31" s="105">
        <f t="shared" si="6"/>
        <v>556</v>
      </c>
      <c r="G31" s="106">
        <f t="shared" si="4"/>
        <v>5.92497868712702</v>
      </c>
      <c r="H31" s="114">
        <v>151</v>
      </c>
      <c r="I31" s="114">
        <v>73</v>
      </c>
      <c r="J31" s="135"/>
      <c r="K31" s="135"/>
      <c r="L31" s="105">
        <v>14</v>
      </c>
      <c r="M31" s="105"/>
      <c r="N31" s="105"/>
      <c r="O31" s="105"/>
      <c r="P31" s="114">
        <v>14</v>
      </c>
      <c r="Q31" s="105"/>
      <c r="R31" s="105"/>
      <c r="S31" s="114">
        <v>299</v>
      </c>
      <c r="T31" s="105"/>
      <c r="U31" s="105"/>
      <c r="V31" s="105"/>
      <c r="W31" s="114"/>
      <c r="X31" s="114"/>
      <c r="Y31" s="114">
        <v>3</v>
      </c>
      <c r="Z31" s="114">
        <v>2</v>
      </c>
      <c r="AA31" s="105"/>
      <c r="AB31" s="135"/>
      <c r="AC31" s="130"/>
    </row>
    <row r="32" ht="20" customHeight="1" spans="1:29">
      <c r="A32" s="104">
        <v>45829</v>
      </c>
      <c r="B32" s="113">
        <v>10569</v>
      </c>
      <c r="C32" s="113">
        <v>9860</v>
      </c>
      <c r="D32" s="113">
        <v>259</v>
      </c>
      <c r="E32" s="106">
        <f t="shared" si="5"/>
        <v>2.45056296716813</v>
      </c>
      <c r="F32" s="105">
        <f t="shared" si="6"/>
        <v>450</v>
      </c>
      <c r="G32" s="106">
        <f t="shared" si="4"/>
        <v>4.25773488504116</v>
      </c>
      <c r="H32" s="114">
        <v>61</v>
      </c>
      <c r="I32" s="114">
        <v>38</v>
      </c>
      <c r="J32" s="135"/>
      <c r="K32" s="105"/>
      <c r="L32" s="105">
        <v>16</v>
      </c>
      <c r="M32" s="105"/>
      <c r="N32" s="105"/>
      <c r="O32" s="105"/>
      <c r="P32" s="114">
        <v>41</v>
      </c>
      <c r="Q32" s="105">
        <v>20</v>
      </c>
      <c r="R32" s="105"/>
      <c r="S32" s="114">
        <v>264</v>
      </c>
      <c r="T32" s="105"/>
      <c r="U32" s="105"/>
      <c r="V32" s="105"/>
      <c r="W32" s="114"/>
      <c r="X32" s="114"/>
      <c r="Y32" s="114">
        <v>6</v>
      </c>
      <c r="Z32" s="114">
        <v>4</v>
      </c>
      <c r="AA32" s="105"/>
      <c r="AB32" s="135"/>
      <c r="AC32" s="130"/>
    </row>
    <row r="33" ht="20" customHeight="1" spans="1:29">
      <c r="A33" s="107" t="s">
        <v>40</v>
      </c>
      <c r="B33" s="108">
        <f>SUM(B27:B32)</f>
        <v>64667</v>
      </c>
      <c r="C33" s="108">
        <f>SUM(C27:C32)</f>
        <v>59074</v>
      </c>
      <c r="D33" s="108">
        <f>SUM(D27:D32)</f>
        <v>2031</v>
      </c>
      <c r="E33" s="108"/>
      <c r="F33" s="108">
        <f t="shared" ref="F33:AB33" si="7">SUM(F27:F32)</f>
        <v>3562</v>
      </c>
      <c r="G33" s="112">
        <f t="shared" si="4"/>
        <v>5.50821902979882</v>
      </c>
      <c r="H33" s="108">
        <f t="shared" si="7"/>
        <v>569</v>
      </c>
      <c r="I33" s="108">
        <f t="shared" si="7"/>
        <v>519</v>
      </c>
      <c r="J33" s="108">
        <f t="shared" si="7"/>
        <v>0</v>
      </c>
      <c r="K33" s="108">
        <f t="shared" si="7"/>
        <v>0</v>
      </c>
      <c r="L33" s="108">
        <f t="shared" si="7"/>
        <v>169</v>
      </c>
      <c r="M33" s="108">
        <f t="shared" si="7"/>
        <v>0</v>
      </c>
      <c r="N33" s="108">
        <f t="shared" si="7"/>
        <v>0</v>
      </c>
      <c r="O33" s="108">
        <f t="shared" si="7"/>
        <v>0</v>
      </c>
      <c r="P33" s="108">
        <f t="shared" si="7"/>
        <v>240</v>
      </c>
      <c r="Q33" s="108">
        <f t="shared" si="7"/>
        <v>222</v>
      </c>
      <c r="R33" s="108">
        <f t="shared" si="7"/>
        <v>0</v>
      </c>
      <c r="S33" s="108">
        <f t="shared" si="7"/>
        <v>1812</v>
      </c>
      <c r="T33" s="108">
        <f t="shared" si="7"/>
        <v>0</v>
      </c>
      <c r="U33" s="108">
        <f t="shared" si="7"/>
        <v>0</v>
      </c>
      <c r="V33" s="108">
        <f t="shared" si="7"/>
        <v>0</v>
      </c>
      <c r="W33" s="108">
        <f t="shared" si="7"/>
        <v>0</v>
      </c>
      <c r="X33" s="108">
        <f t="shared" si="7"/>
        <v>0</v>
      </c>
      <c r="Y33" s="108">
        <f t="shared" si="7"/>
        <v>10</v>
      </c>
      <c r="Z33" s="108">
        <f t="shared" si="7"/>
        <v>21</v>
      </c>
      <c r="AA33" s="108">
        <f t="shared" si="7"/>
        <v>0</v>
      </c>
      <c r="AB33" s="121">
        <f t="shared" si="7"/>
        <v>0</v>
      </c>
      <c r="AC33" s="137"/>
    </row>
    <row r="34" ht="20" customHeight="1" spans="1:29">
      <c r="A34" s="110" t="s">
        <v>84</v>
      </c>
      <c r="B34" s="46"/>
      <c r="C34" s="111">
        <f>C33/B33*100</f>
        <v>91.3510755099201</v>
      </c>
      <c r="D34" s="111">
        <f>D33/B33*100</f>
        <v>3.14070546028113</v>
      </c>
      <c r="E34" s="111"/>
      <c r="F34" s="111">
        <f>F33/B33*100</f>
        <v>5.50821902979882</v>
      </c>
      <c r="G34" s="111"/>
      <c r="H34" s="111">
        <f>H33/B33*100</f>
        <v>0.879892371688806</v>
      </c>
      <c r="I34" s="111">
        <f>I33/$B$33*100</f>
        <v>0.802573182612461</v>
      </c>
      <c r="J34" s="111"/>
      <c r="K34" s="111"/>
      <c r="L34" s="111">
        <f>L33/$B$33*100</f>
        <v>0.261338859078046</v>
      </c>
      <c r="M34" s="111"/>
      <c r="N34" s="111"/>
      <c r="O34" s="111"/>
      <c r="P34" s="111">
        <f>P33/$B$33*100</f>
        <v>0.371132107566456</v>
      </c>
      <c r="Q34" s="111"/>
      <c r="R34" s="111"/>
      <c r="S34" s="111">
        <f>S33/$B$33*100</f>
        <v>2.80204741212674</v>
      </c>
      <c r="T34" s="111"/>
      <c r="U34" s="111"/>
      <c r="V34" s="111"/>
      <c r="W34" s="111"/>
      <c r="X34" s="111">
        <f>X33/$B$33*100</f>
        <v>0</v>
      </c>
      <c r="Y34" s="111">
        <f>Y33/$B$33*100</f>
        <v>0.015463837815269</v>
      </c>
      <c r="Z34" s="111">
        <f>Z33/$B$33*100</f>
        <v>0.0324740594120649</v>
      </c>
      <c r="AA34" s="111">
        <f>AA33/$B$33*100</f>
        <v>0</v>
      </c>
      <c r="AB34" s="111"/>
      <c r="AC34" s="137"/>
    </row>
    <row r="35" ht="20" customHeight="1" spans="1:29">
      <c r="A35" s="101">
        <v>45830</v>
      </c>
      <c r="B35" s="115">
        <v>10013</v>
      </c>
      <c r="C35" s="115">
        <v>9544</v>
      </c>
      <c r="D35" s="115">
        <v>164</v>
      </c>
      <c r="E35" s="116">
        <f t="shared" ref="E35:E41" si="8">D35/B35*100</f>
        <v>1.6378707680016</v>
      </c>
      <c r="F35" s="115">
        <f>B35-(C35+D35)</f>
        <v>305</v>
      </c>
      <c r="G35" s="116">
        <f>F35/B35*100</f>
        <v>3.04604014780785</v>
      </c>
      <c r="H35" s="115">
        <v>53</v>
      </c>
      <c r="I35" s="115">
        <v>43</v>
      </c>
      <c r="J35" s="115"/>
      <c r="K35" s="115"/>
      <c r="L35" s="115">
        <v>23</v>
      </c>
      <c r="M35" s="115"/>
      <c r="N35" s="115"/>
      <c r="O35" s="115"/>
      <c r="P35" s="115">
        <v>25</v>
      </c>
      <c r="Q35" s="115">
        <v>39</v>
      </c>
      <c r="R35" s="115"/>
      <c r="S35" s="115">
        <v>120</v>
      </c>
      <c r="T35" s="115"/>
      <c r="U35" s="115"/>
      <c r="V35" s="115"/>
      <c r="W35" s="115"/>
      <c r="X35" s="115"/>
      <c r="Y35" s="115"/>
      <c r="Z35" s="115">
        <v>2</v>
      </c>
      <c r="AA35" s="115"/>
      <c r="AB35" s="115"/>
      <c r="AC35" s="130"/>
    </row>
    <row r="36" ht="20" customHeight="1" spans="1:29">
      <c r="A36" s="104">
        <v>45831</v>
      </c>
      <c r="B36" s="113">
        <v>12989</v>
      </c>
      <c r="C36" s="113">
        <v>12288</v>
      </c>
      <c r="D36" s="113">
        <v>318</v>
      </c>
      <c r="E36" s="106">
        <f t="shared" si="8"/>
        <v>2.44822542151051</v>
      </c>
      <c r="F36" s="105">
        <f t="shared" ref="F36:F41" si="9">B36-(C36+D36)</f>
        <v>383</v>
      </c>
      <c r="G36" s="106">
        <f t="shared" ref="G36:G42" si="10">F36/B36*100</f>
        <v>2.94864885672492</v>
      </c>
      <c r="H36" s="114">
        <v>25</v>
      </c>
      <c r="I36" s="114">
        <v>38</v>
      </c>
      <c r="J36" s="135"/>
      <c r="K36" s="135"/>
      <c r="L36" s="105">
        <v>14</v>
      </c>
      <c r="M36" s="105"/>
      <c r="N36" s="105"/>
      <c r="O36" s="105"/>
      <c r="P36" s="114">
        <v>68</v>
      </c>
      <c r="Q36" s="105">
        <v>32</v>
      </c>
      <c r="R36" s="105"/>
      <c r="S36" s="114">
        <v>204</v>
      </c>
      <c r="T36" s="105"/>
      <c r="U36" s="105"/>
      <c r="V36" s="105"/>
      <c r="W36" s="114"/>
      <c r="X36" s="114"/>
      <c r="Y36" s="114">
        <v>2</v>
      </c>
      <c r="Z36" s="114"/>
      <c r="AA36" s="105"/>
      <c r="AB36" s="135"/>
      <c r="AC36" s="130"/>
    </row>
    <row r="37" ht="20" customHeight="1" spans="1:29">
      <c r="A37" s="104">
        <v>45832</v>
      </c>
      <c r="B37" s="113">
        <v>11910</v>
      </c>
      <c r="C37" s="113">
        <v>10958</v>
      </c>
      <c r="D37" s="113">
        <v>249</v>
      </c>
      <c r="E37" s="106">
        <f t="shared" si="8"/>
        <v>2.09068010075567</v>
      </c>
      <c r="F37" s="105">
        <f t="shared" si="9"/>
        <v>703</v>
      </c>
      <c r="G37" s="106">
        <f t="shared" si="10"/>
        <v>5.90260285474391</v>
      </c>
      <c r="H37" s="114">
        <v>140</v>
      </c>
      <c r="I37" s="114">
        <v>117</v>
      </c>
      <c r="J37" s="135"/>
      <c r="K37" s="135"/>
      <c r="L37" s="105"/>
      <c r="M37" s="105">
        <v>100</v>
      </c>
      <c r="N37" s="105"/>
      <c r="O37" s="105"/>
      <c r="P37" s="114">
        <v>28</v>
      </c>
      <c r="Q37" s="105">
        <v>10</v>
      </c>
      <c r="R37" s="105"/>
      <c r="S37" s="114">
        <v>308</v>
      </c>
      <c r="T37" s="105"/>
      <c r="U37" s="105"/>
      <c r="V37" s="105"/>
      <c r="W37" s="114"/>
      <c r="X37" s="114"/>
      <c r="Y37" s="114"/>
      <c r="Z37" s="114"/>
      <c r="AA37" s="105"/>
      <c r="AB37" s="135"/>
      <c r="AC37" s="130"/>
    </row>
    <row r="38" ht="20" customHeight="1" spans="1:29">
      <c r="A38" s="104">
        <v>45833</v>
      </c>
      <c r="B38" s="113">
        <v>11260</v>
      </c>
      <c r="C38" s="113">
        <v>10404</v>
      </c>
      <c r="D38" s="113">
        <v>176</v>
      </c>
      <c r="E38" s="106">
        <f t="shared" si="8"/>
        <v>1.56305506216696</v>
      </c>
      <c r="F38" s="105">
        <f t="shared" si="9"/>
        <v>680</v>
      </c>
      <c r="G38" s="106">
        <f t="shared" si="10"/>
        <v>6.03907637655417</v>
      </c>
      <c r="H38" s="114">
        <v>201</v>
      </c>
      <c r="I38" s="114">
        <v>143</v>
      </c>
      <c r="J38" s="135"/>
      <c r="K38" s="105"/>
      <c r="L38" s="105">
        <v>35</v>
      </c>
      <c r="M38" s="105"/>
      <c r="N38" s="105"/>
      <c r="O38" s="105"/>
      <c r="P38" s="114">
        <v>15</v>
      </c>
      <c r="Q38" s="105">
        <v>61</v>
      </c>
      <c r="R38" s="105"/>
      <c r="S38" s="114">
        <v>225</v>
      </c>
      <c r="T38" s="105"/>
      <c r="U38" s="105"/>
      <c r="V38" s="105"/>
      <c r="W38" s="114"/>
      <c r="X38" s="114"/>
      <c r="Y38" s="114"/>
      <c r="Z38" s="114"/>
      <c r="AA38" s="105"/>
      <c r="AB38" s="135"/>
      <c r="AC38" s="130"/>
    </row>
    <row r="39" ht="20" customHeight="1" spans="1:29">
      <c r="A39" s="104">
        <v>45834</v>
      </c>
      <c r="B39" s="113">
        <v>12886</v>
      </c>
      <c r="C39" s="113">
        <v>12069</v>
      </c>
      <c r="D39" s="113">
        <v>230</v>
      </c>
      <c r="E39" s="106">
        <f t="shared" si="8"/>
        <v>1.78488281856278</v>
      </c>
      <c r="F39" s="105">
        <f t="shared" si="9"/>
        <v>587</v>
      </c>
      <c r="G39" s="106">
        <f t="shared" si="10"/>
        <v>4.55533136737545</v>
      </c>
      <c r="H39" s="114">
        <v>122</v>
      </c>
      <c r="I39" s="114">
        <v>68</v>
      </c>
      <c r="J39" s="135"/>
      <c r="K39" s="105"/>
      <c r="L39" s="105">
        <v>11</v>
      </c>
      <c r="M39" s="105"/>
      <c r="N39" s="105"/>
      <c r="O39" s="105"/>
      <c r="P39" s="114">
        <v>25</v>
      </c>
      <c r="Q39" s="105">
        <v>7</v>
      </c>
      <c r="R39" s="105"/>
      <c r="S39" s="114">
        <v>347</v>
      </c>
      <c r="T39" s="105"/>
      <c r="U39" s="105"/>
      <c r="V39" s="105"/>
      <c r="W39" s="114"/>
      <c r="X39" s="114"/>
      <c r="Y39" s="114">
        <v>3</v>
      </c>
      <c r="Z39" s="114">
        <v>4</v>
      </c>
      <c r="AA39" s="105"/>
      <c r="AB39" s="135"/>
      <c r="AC39" s="130"/>
    </row>
    <row r="40" ht="20" customHeight="1" spans="1:29">
      <c r="A40" s="104">
        <v>45835</v>
      </c>
      <c r="B40" s="113">
        <v>11844</v>
      </c>
      <c r="C40" s="113">
        <v>11028</v>
      </c>
      <c r="D40" s="113">
        <v>160</v>
      </c>
      <c r="E40" s="106">
        <f t="shared" si="8"/>
        <v>1.35089496791624</v>
      </c>
      <c r="F40" s="105">
        <f t="shared" si="9"/>
        <v>656</v>
      </c>
      <c r="G40" s="106">
        <f t="shared" si="10"/>
        <v>5.5386693684566</v>
      </c>
      <c r="H40" s="114">
        <v>143</v>
      </c>
      <c r="I40" s="114">
        <v>71</v>
      </c>
      <c r="J40" s="135"/>
      <c r="K40" s="105"/>
      <c r="L40" s="105">
        <v>18</v>
      </c>
      <c r="M40" s="105"/>
      <c r="N40" s="105"/>
      <c r="O40" s="105"/>
      <c r="P40" s="114">
        <v>18</v>
      </c>
      <c r="Q40" s="105">
        <v>8</v>
      </c>
      <c r="R40" s="105"/>
      <c r="S40" s="114">
        <v>348</v>
      </c>
      <c r="T40" s="105"/>
      <c r="U40" s="105"/>
      <c r="V40" s="105"/>
      <c r="W40" s="114"/>
      <c r="X40" s="114"/>
      <c r="Y40" s="114"/>
      <c r="Z40" s="114"/>
      <c r="AA40" s="105"/>
      <c r="AB40" s="135"/>
      <c r="AC40" s="130"/>
    </row>
    <row r="41" ht="20" customHeight="1" spans="1:29">
      <c r="A41" s="104">
        <v>45836</v>
      </c>
      <c r="B41" s="117">
        <v>13320</v>
      </c>
      <c r="C41" s="117">
        <v>12255</v>
      </c>
      <c r="D41" s="117">
        <v>233</v>
      </c>
      <c r="E41" s="106">
        <f t="shared" si="8"/>
        <v>1.74924924924925</v>
      </c>
      <c r="F41" s="118">
        <f t="shared" si="9"/>
        <v>832</v>
      </c>
      <c r="G41" s="119">
        <f t="shared" si="10"/>
        <v>6.24624624624625</v>
      </c>
      <c r="H41" s="120">
        <v>275</v>
      </c>
      <c r="I41" s="120">
        <v>49</v>
      </c>
      <c r="J41" s="118"/>
      <c r="K41" s="118"/>
      <c r="L41" s="118">
        <v>192</v>
      </c>
      <c r="M41" s="118"/>
      <c r="N41" s="118"/>
      <c r="O41" s="118"/>
      <c r="P41" s="120">
        <v>19</v>
      </c>
      <c r="Q41" s="118">
        <v>13</v>
      </c>
      <c r="R41" s="118"/>
      <c r="S41" s="120">
        <v>283</v>
      </c>
      <c r="T41" s="118"/>
      <c r="U41" s="118"/>
      <c r="V41" s="118"/>
      <c r="W41" s="120"/>
      <c r="X41" s="120"/>
      <c r="Y41" s="120"/>
      <c r="Z41" s="120">
        <v>1</v>
      </c>
      <c r="AA41" s="118"/>
      <c r="AB41" s="135"/>
      <c r="AC41" s="128"/>
    </row>
    <row r="42" ht="20" customHeight="1" spans="1:29">
      <c r="A42" s="107" t="s">
        <v>40</v>
      </c>
      <c r="B42" s="121">
        <f>SUM(B36:B41)</f>
        <v>74209</v>
      </c>
      <c r="C42" s="121">
        <f>SUM(C36:C41)</f>
        <v>69002</v>
      </c>
      <c r="D42" s="121">
        <f>SUM(D36:D41)</f>
        <v>1366</v>
      </c>
      <c r="E42" s="121"/>
      <c r="F42" s="121">
        <f>SUM(F36:F41)</f>
        <v>3841</v>
      </c>
      <c r="G42" s="112">
        <f t="shared" si="10"/>
        <v>5.17592205797141</v>
      </c>
      <c r="H42" s="121">
        <f>SUM(H36:H41)</f>
        <v>906</v>
      </c>
      <c r="I42" s="121">
        <f>SUM(I36:I41)</f>
        <v>486</v>
      </c>
      <c r="J42" s="121"/>
      <c r="K42" s="121"/>
      <c r="L42" s="121">
        <f>SUM(L36:L41)</f>
        <v>270</v>
      </c>
      <c r="M42" s="121"/>
      <c r="N42" s="121"/>
      <c r="O42" s="121"/>
      <c r="P42" s="121">
        <f>SUM(P36:P41)</f>
        <v>173</v>
      </c>
      <c r="Q42" s="121"/>
      <c r="R42" s="121"/>
      <c r="S42" s="121">
        <f>SUM(S36:S41)</f>
        <v>1715</v>
      </c>
      <c r="T42" s="121"/>
      <c r="U42" s="121"/>
      <c r="V42" s="121"/>
      <c r="W42" s="121"/>
      <c r="X42" s="121"/>
      <c r="Y42" s="121">
        <f>SUM(Y36:Y41)</f>
        <v>5</v>
      </c>
      <c r="Z42" s="121">
        <f>SUM(Z36:Z41)</f>
        <v>5</v>
      </c>
      <c r="AA42" s="121"/>
      <c r="AB42" s="121"/>
      <c r="AC42" s="130"/>
    </row>
    <row r="43" ht="20" customHeight="1" spans="1:29">
      <c r="A43" s="110" t="s">
        <v>84</v>
      </c>
      <c r="B43" s="46"/>
      <c r="C43" s="111">
        <f>C42/$B$42*100</f>
        <v>92.9833308628333</v>
      </c>
      <c r="D43" s="111">
        <f>D42/$B$42*100</f>
        <v>1.84074707919525</v>
      </c>
      <c r="E43" s="111"/>
      <c r="F43" s="111">
        <f>F42/$B$42*100</f>
        <v>5.17592205797141</v>
      </c>
      <c r="G43" s="111">
        <f>G42/$B$42*100</f>
        <v>0.00697479019791589</v>
      </c>
      <c r="H43" s="111">
        <f>H42/$B$42*100</f>
        <v>1.22087617404897</v>
      </c>
      <c r="I43" s="111">
        <f>I42/$B$42*100</f>
        <v>0.6549070867415</v>
      </c>
      <c r="J43" s="111"/>
      <c r="K43" s="111"/>
      <c r="L43" s="111">
        <f>L42/$B$42*100</f>
        <v>0.363837270411945</v>
      </c>
      <c r="M43" s="111"/>
      <c r="N43" s="111"/>
      <c r="O43" s="111"/>
      <c r="P43" s="111">
        <f>P42/$B$42*100</f>
        <v>0.233125362152839</v>
      </c>
      <c r="Q43" s="111"/>
      <c r="R43" s="111"/>
      <c r="S43" s="111">
        <f>S42/$B$42*100</f>
        <v>2.31104043983883</v>
      </c>
      <c r="T43" s="111"/>
      <c r="U43" s="111"/>
      <c r="V43" s="111"/>
      <c r="W43" s="111"/>
      <c r="X43" s="111"/>
      <c r="Y43" s="111">
        <f>Y42/$B$42*100</f>
        <v>0.00673772722985083</v>
      </c>
      <c r="Z43" s="111">
        <f>Z42/$B$42*100</f>
        <v>0.00673772722985083</v>
      </c>
      <c r="AA43" s="111"/>
      <c r="AB43" s="111"/>
      <c r="AC43" s="130"/>
    </row>
    <row r="44" ht="20" customHeight="1" spans="1:29">
      <c r="A44" s="122">
        <v>45837</v>
      </c>
      <c r="B44" s="123" t="s">
        <v>85</v>
      </c>
      <c r="C44" s="124"/>
      <c r="D44" s="124"/>
      <c r="E44" s="124"/>
      <c r="F44" s="124"/>
      <c r="G44" s="124"/>
      <c r="H44" s="124"/>
      <c r="I44" s="124"/>
      <c r="J44" s="124"/>
      <c r="K44" s="124"/>
      <c r="L44" s="124"/>
      <c r="M44" s="124"/>
      <c r="N44" s="124"/>
      <c r="O44" s="124"/>
      <c r="P44" s="124"/>
      <c r="Q44" s="124"/>
      <c r="R44" s="124"/>
      <c r="S44" s="124"/>
      <c r="T44" s="124"/>
      <c r="U44" s="124"/>
      <c r="V44" s="124"/>
      <c r="W44" s="124"/>
      <c r="X44" s="124"/>
      <c r="Y44" s="124"/>
      <c r="Z44" s="124"/>
      <c r="AA44" s="124"/>
      <c r="AB44" s="138"/>
      <c r="AC44" s="130"/>
    </row>
    <row r="45" ht="20" customHeight="1" spans="1:29">
      <c r="A45" s="104">
        <v>45807</v>
      </c>
      <c r="B45" s="113">
        <v>8224</v>
      </c>
      <c r="C45" s="113">
        <v>7455</v>
      </c>
      <c r="D45" s="113">
        <v>233</v>
      </c>
      <c r="E45" s="113"/>
      <c r="F45" s="105">
        <f>B45-(C45+D45)</f>
        <v>536</v>
      </c>
      <c r="G45" s="106">
        <f>F45/B45*100</f>
        <v>6.51750972762646</v>
      </c>
      <c r="H45" s="114">
        <v>150</v>
      </c>
      <c r="I45" s="114">
        <v>54</v>
      </c>
      <c r="J45" s="105"/>
      <c r="K45" s="105"/>
      <c r="L45" s="105">
        <v>62</v>
      </c>
      <c r="M45" s="105"/>
      <c r="N45" s="105"/>
      <c r="O45" s="105"/>
      <c r="P45" s="114">
        <v>5</v>
      </c>
      <c r="Q45" s="105">
        <v>6</v>
      </c>
      <c r="R45" s="105"/>
      <c r="S45" s="114">
        <v>259</v>
      </c>
      <c r="T45" s="105"/>
      <c r="U45" s="105"/>
      <c r="V45" s="105"/>
      <c r="W45" s="114"/>
      <c r="X45" s="114"/>
      <c r="Y45" s="114"/>
      <c r="Z45" s="114"/>
      <c r="AA45" s="105"/>
      <c r="AB45" s="135"/>
      <c r="AC45" s="130"/>
    </row>
    <row r="46" ht="22" customHeight="1" spans="1:29">
      <c r="A46" s="107" t="s">
        <v>40</v>
      </c>
      <c r="B46" s="121">
        <f>SUM(B45:B45)</f>
        <v>8224</v>
      </c>
      <c r="C46" s="121">
        <f>SUM(C45:C45)</f>
        <v>7455</v>
      </c>
      <c r="D46" s="121">
        <f>SUM(D45:D45)</f>
        <v>233</v>
      </c>
      <c r="E46" s="121"/>
      <c r="F46" s="121">
        <f>SUM(F45:F45)</f>
        <v>536</v>
      </c>
      <c r="G46" s="112">
        <f>F46/B46*100</f>
        <v>6.51750972762646</v>
      </c>
      <c r="H46" s="121">
        <f>SUM(H45:H45)</f>
        <v>150</v>
      </c>
      <c r="I46" s="121">
        <f>SUM(I45:I45)</f>
        <v>54</v>
      </c>
      <c r="J46" s="121"/>
      <c r="K46" s="121"/>
      <c r="L46" s="121">
        <f>SUM(L45:L45)</f>
        <v>62</v>
      </c>
      <c r="M46" s="121"/>
      <c r="N46" s="121"/>
      <c r="O46" s="121"/>
      <c r="P46" s="121">
        <f>SUM(P45:P45)</f>
        <v>5</v>
      </c>
      <c r="Q46" s="121"/>
      <c r="R46" s="121"/>
      <c r="S46" s="121">
        <f>SUM(S45:S45)</f>
        <v>259</v>
      </c>
      <c r="T46" s="121"/>
      <c r="U46" s="121"/>
      <c r="V46" s="121"/>
      <c r="W46" s="121"/>
      <c r="X46" s="121"/>
      <c r="Y46" s="121">
        <f>SUM(Y45:Y45)</f>
        <v>0</v>
      </c>
      <c r="Z46" s="121">
        <f>SUM(Z45:Z45)</f>
        <v>0</v>
      </c>
      <c r="AA46" s="121"/>
      <c r="AB46" s="121"/>
      <c r="AC46" s="130"/>
    </row>
    <row r="47" ht="22" customHeight="1" spans="1:29">
      <c r="A47" s="110" t="s">
        <v>84</v>
      </c>
      <c r="B47" s="46"/>
      <c r="C47" s="111">
        <f>C46/$B$46*100</f>
        <v>90.6493190661479</v>
      </c>
      <c r="D47" s="111">
        <f>D46/$B$46*100</f>
        <v>2.83317120622568</v>
      </c>
      <c r="E47" s="111"/>
      <c r="F47" s="111">
        <f>F46/$B$46*100</f>
        <v>6.51750972762646</v>
      </c>
      <c r="G47" s="111">
        <f>G46/$B$46*100</f>
        <v>0.0792498750927342</v>
      </c>
      <c r="H47" s="111">
        <f>H46/$B$46*100</f>
        <v>1.82392996108949</v>
      </c>
      <c r="I47" s="111">
        <f>I46/$B$46*100</f>
        <v>0.656614785992218</v>
      </c>
      <c r="J47" s="111"/>
      <c r="K47" s="111"/>
      <c r="L47" s="111">
        <f>L46/$B$46*100</f>
        <v>0.753891050583658</v>
      </c>
      <c r="M47" s="111"/>
      <c r="N47" s="111"/>
      <c r="O47" s="111"/>
      <c r="P47" s="111">
        <f>P46/$B$46*100</f>
        <v>0.0607976653696498</v>
      </c>
      <c r="Q47" s="111"/>
      <c r="R47" s="111"/>
      <c r="S47" s="111">
        <f>S46/$B$46*100</f>
        <v>3.14931906614786</v>
      </c>
      <c r="T47" s="111"/>
      <c r="U47" s="111"/>
      <c r="V47" s="111"/>
      <c r="W47" s="111"/>
      <c r="X47" s="111">
        <f>X46/$B$46*100</f>
        <v>0</v>
      </c>
      <c r="Y47" s="111">
        <f>Y46/$B$46*100</f>
        <v>0</v>
      </c>
      <c r="Z47" s="111">
        <f>Z46/$B$46*100</f>
        <v>0</v>
      </c>
      <c r="AA47" s="111">
        <f>AA46/$B$46*100</f>
        <v>0</v>
      </c>
      <c r="AB47" s="111"/>
      <c r="AC47" s="130"/>
    </row>
    <row r="48" ht="36" customHeight="1" spans="1:29">
      <c r="A48" s="125" t="s">
        <v>40</v>
      </c>
      <c r="B48" s="126">
        <f>B46+B42+B33+B24+B15</f>
        <v>269519</v>
      </c>
      <c r="C48" s="126">
        <f>C46+C42+C33+C24+C15</f>
        <v>245388</v>
      </c>
      <c r="D48" s="126">
        <f>D46+D42+D33+D24+D15</f>
        <v>8564</v>
      </c>
      <c r="E48" s="126"/>
      <c r="F48" s="126">
        <f t="shared" ref="F48:AB48" si="11">F46+F42+F33+F24+F15</f>
        <v>15567</v>
      </c>
      <c r="G48" s="127">
        <f>F48/B48*100</f>
        <v>5.77584511667081</v>
      </c>
      <c r="H48" s="126">
        <f t="shared" si="11"/>
        <v>2537</v>
      </c>
      <c r="I48" s="126">
        <f t="shared" si="11"/>
        <v>2038</v>
      </c>
      <c r="J48" s="126">
        <f t="shared" si="11"/>
        <v>0</v>
      </c>
      <c r="K48" s="126">
        <f t="shared" si="11"/>
        <v>0</v>
      </c>
      <c r="L48" s="126">
        <f t="shared" si="11"/>
        <v>1313</v>
      </c>
      <c r="M48" s="126">
        <f t="shared" si="11"/>
        <v>0</v>
      </c>
      <c r="N48" s="126">
        <f t="shared" si="11"/>
        <v>0</v>
      </c>
      <c r="O48" s="126">
        <f t="shared" si="11"/>
        <v>0</v>
      </c>
      <c r="P48" s="126">
        <f t="shared" si="11"/>
        <v>653</v>
      </c>
      <c r="Q48" s="126">
        <f t="shared" si="11"/>
        <v>222</v>
      </c>
      <c r="R48" s="126">
        <f t="shared" si="11"/>
        <v>0</v>
      </c>
      <c r="S48" s="126">
        <f t="shared" si="11"/>
        <v>6567</v>
      </c>
      <c r="T48" s="126">
        <f t="shared" si="11"/>
        <v>0</v>
      </c>
      <c r="U48" s="126">
        <f t="shared" si="11"/>
        <v>0</v>
      </c>
      <c r="V48" s="126">
        <f t="shared" si="11"/>
        <v>0</v>
      </c>
      <c r="W48" s="126">
        <f t="shared" si="11"/>
        <v>0</v>
      </c>
      <c r="X48" s="126">
        <f t="shared" si="11"/>
        <v>0</v>
      </c>
      <c r="Y48" s="126">
        <f t="shared" si="11"/>
        <v>95</v>
      </c>
      <c r="Z48" s="126">
        <f t="shared" si="11"/>
        <v>138</v>
      </c>
      <c r="AA48" s="126">
        <f t="shared" si="11"/>
        <v>0</v>
      </c>
      <c r="AB48" s="126">
        <f t="shared" si="11"/>
        <v>0</v>
      </c>
      <c r="AC48" s="130"/>
    </row>
    <row r="49" ht="45" customHeight="1" spans="1:29">
      <c r="A49" s="128"/>
      <c r="B49" s="128"/>
      <c r="C49" s="106">
        <f>C48/B48*100</f>
        <v>91.0466423517451</v>
      </c>
      <c r="D49" s="106">
        <f>D48/B48*100</f>
        <v>3.17751253158404</v>
      </c>
      <c r="E49" s="106"/>
      <c r="F49" s="106">
        <f>F48/B48*100</f>
        <v>5.77584511667081</v>
      </c>
      <c r="G49" s="129" t="s">
        <v>86</v>
      </c>
      <c r="H49" s="106">
        <f>H48/B48*100</f>
        <v>0.941306549816525</v>
      </c>
      <c r="I49" s="106">
        <f>I48/B48*100</f>
        <v>0.756161903242443</v>
      </c>
      <c r="J49" s="106"/>
      <c r="K49" s="106"/>
      <c r="L49" s="106">
        <f>L48/B48*100</f>
        <v>0.487164170244027</v>
      </c>
      <c r="M49" s="106"/>
      <c r="N49" s="106"/>
      <c r="O49" s="106"/>
      <c r="P49" s="106">
        <f>P48/B48*100</f>
        <v>0.242283475376504</v>
      </c>
      <c r="Q49" s="106"/>
      <c r="R49" s="106"/>
      <c r="S49" s="106">
        <f>S48/B48*100</f>
        <v>2.43656291393186</v>
      </c>
      <c r="T49" s="106"/>
      <c r="U49" s="106"/>
      <c r="V49" s="106"/>
      <c r="W49" s="106"/>
      <c r="X49" s="106"/>
      <c r="Y49" s="106">
        <f>Y48/B48*100</f>
        <v>0.035247978806689</v>
      </c>
      <c r="Z49" s="106">
        <f>Z48/B48*100</f>
        <v>0.0512023271086639</v>
      </c>
      <c r="AA49" s="106"/>
      <c r="AB49" s="106"/>
      <c r="AC49" s="130"/>
    </row>
    <row r="50" ht="22" customHeight="1" spans="1:29">
      <c r="A50" s="130"/>
      <c r="B50" s="130"/>
      <c r="C50" s="130"/>
      <c r="D50" s="130"/>
      <c r="E50" s="130"/>
      <c r="F50" s="130"/>
      <c r="G50" s="131" t="s">
        <v>87</v>
      </c>
      <c r="H50" s="132">
        <v>0.5</v>
      </c>
      <c r="I50" s="132">
        <v>0.7</v>
      </c>
      <c r="J50" s="132">
        <v>0.1</v>
      </c>
      <c r="K50" s="132">
        <v>0.1</v>
      </c>
      <c r="L50" s="132">
        <v>0.7</v>
      </c>
      <c r="M50" s="132">
        <v>0.1</v>
      </c>
      <c r="N50" s="132">
        <v>0.1</v>
      </c>
      <c r="O50" s="132">
        <v>0.1</v>
      </c>
      <c r="P50" s="132">
        <v>0.3</v>
      </c>
      <c r="Q50" s="132">
        <v>0.1</v>
      </c>
      <c r="R50" s="132">
        <v>0.1</v>
      </c>
      <c r="S50" s="132">
        <v>1</v>
      </c>
      <c r="T50" s="132">
        <v>0.1</v>
      </c>
      <c r="U50" s="132">
        <v>0.1</v>
      </c>
      <c r="V50" s="132">
        <v>0.1</v>
      </c>
      <c r="W50" s="132">
        <v>0.1</v>
      </c>
      <c r="X50" s="132">
        <v>0.1</v>
      </c>
      <c r="Y50" s="132">
        <v>0.3</v>
      </c>
      <c r="Z50" s="132">
        <v>0.1</v>
      </c>
      <c r="AA50" s="132">
        <v>0.1</v>
      </c>
      <c r="AB50" s="132">
        <v>0.1</v>
      </c>
      <c r="AC50" s="139">
        <f>SUM(H50:AB50)</f>
        <v>5</v>
      </c>
    </row>
    <row r="51" ht="21" customHeight="1" spans="1:29">
      <c r="A51" s="130"/>
      <c r="B51" s="130"/>
      <c r="C51" s="130"/>
      <c r="D51" s="130"/>
      <c r="E51" s="130"/>
      <c r="F51" s="130"/>
      <c r="G51" s="133" t="s">
        <v>88</v>
      </c>
      <c r="H51" s="106">
        <f t="shared" ref="H51:AB51" si="12">H50-H49</f>
        <v>-0.441306549816525</v>
      </c>
      <c r="I51" s="106">
        <f t="shared" si="12"/>
        <v>-0.056161903242443</v>
      </c>
      <c r="J51" s="106">
        <f t="shared" si="12"/>
        <v>0.1</v>
      </c>
      <c r="K51" s="106">
        <f t="shared" si="12"/>
        <v>0.1</v>
      </c>
      <c r="L51" s="106">
        <f t="shared" si="12"/>
        <v>0.212835829755973</v>
      </c>
      <c r="M51" s="106">
        <f t="shared" si="12"/>
        <v>0.1</v>
      </c>
      <c r="N51" s="106">
        <f t="shared" si="12"/>
        <v>0.1</v>
      </c>
      <c r="O51" s="106">
        <f t="shared" si="12"/>
        <v>0.1</v>
      </c>
      <c r="P51" s="106">
        <f t="shared" si="12"/>
        <v>0.0577165246234959</v>
      </c>
      <c r="Q51" s="106">
        <f t="shared" si="12"/>
        <v>0.1</v>
      </c>
      <c r="R51" s="106">
        <f t="shared" si="12"/>
        <v>0.1</v>
      </c>
      <c r="S51" s="106">
        <f t="shared" si="12"/>
        <v>-1.43656291393186</v>
      </c>
      <c r="T51" s="106">
        <f t="shared" si="12"/>
        <v>0.1</v>
      </c>
      <c r="U51" s="106">
        <f t="shared" si="12"/>
        <v>0.1</v>
      </c>
      <c r="V51" s="106">
        <f t="shared" si="12"/>
        <v>0.1</v>
      </c>
      <c r="W51" s="106">
        <f t="shared" si="12"/>
        <v>0.1</v>
      </c>
      <c r="X51" s="106">
        <f t="shared" si="12"/>
        <v>0.1</v>
      </c>
      <c r="Y51" s="106">
        <f t="shared" si="12"/>
        <v>0.264752021193311</v>
      </c>
      <c r="Z51" s="106">
        <f t="shared" si="12"/>
        <v>0.0487976728913361</v>
      </c>
      <c r="AA51" s="106">
        <f t="shared" si="12"/>
        <v>0.1</v>
      </c>
      <c r="AB51" s="106">
        <f t="shared" si="12"/>
        <v>0.1</v>
      </c>
      <c r="AC51" s="130"/>
    </row>
    <row r="52" ht="18.75" spans="1:29">
      <c r="A52" s="130"/>
      <c r="B52" s="130"/>
      <c r="C52" s="130"/>
      <c r="D52" s="130"/>
      <c r="E52" s="130"/>
      <c r="F52" s="130"/>
      <c r="G52" s="130"/>
      <c r="H52" s="134"/>
      <c r="I52" s="134"/>
      <c r="J52" s="134"/>
      <c r="K52" s="134"/>
      <c r="L52" s="134"/>
      <c r="M52" s="134"/>
      <c r="N52" s="134"/>
      <c r="O52" s="134"/>
      <c r="P52" s="134"/>
      <c r="Q52" s="134"/>
      <c r="R52" s="134"/>
      <c r="S52" s="134"/>
      <c r="T52" s="134"/>
      <c r="U52" s="134"/>
      <c r="V52" s="134"/>
      <c r="W52" s="134"/>
      <c r="X52" s="134"/>
      <c r="Y52" s="134"/>
      <c r="Z52" s="134"/>
      <c r="AA52" s="134"/>
      <c r="AB52" s="134"/>
      <c r="AC52" s="130"/>
    </row>
    <row r="53" ht="18.75" spans="1:29">
      <c r="A53" s="130"/>
      <c r="B53" s="130"/>
      <c r="C53" s="130"/>
      <c r="D53" s="130"/>
      <c r="E53" s="130"/>
      <c r="F53" s="130"/>
      <c r="G53" s="130"/>
      <c r="H53" s="130"/>
      <c r="I53" s="130"/>
      <c r="J53" s="130"/>
      <c r="K53" s="130"/>
      <c r="L53" s="130"/>
      <c r="M53" s="130"/>
      <c r="N53" s="130"/>
      <c r="O53" s="130"/>
      <c r="P53" s="130"/>
      <c r="Q53" s="130"/>
      <c r="R53" s="130"/>
      <c r="S53" s="130"/>
      <c r="T53" s="130"/>
      <c r="U53" s="130"/>
      <c r="V53" s="130"/>
      <c r="W53" s="130"/>
      <c r="X53" s="130"/>
      <c r="Y53" s="130"/>
      <c r="Z53" s="130"/>
      <c r="AA53" s="130"/>
      <c r="AB53" s="130"/>
      <c r="AC53" s="130"/>
    </row>
  </sheetData>
  <mergeCells count="22">
    <mergeCell ref="X1:Z1"/>
    <mergeCell ref="AA1:AB1"/>
    <mergeCell ref="X2:Z2"/>
    <mergeCell ref="AA2:AB2"/>
    <mergeCell ref="X3:Z3"/>
    <mergeCell ref="AA3:AB3"/>
    <mergeCell ref="B4:W4"/>
    <mergeCell ref="X4:AB4"/>
    <mergeCell ref="H5:AB5"/>
    <mergeCell ref="B8:AB8"/>
    <mergeCell ref="B17:AB17"/>
    <mergeCell ref="B26:AB26"/>
    <mergeCell ref="B44:AB44"/>
    <mergeCell ref="A1:A4"/>
    <mergeCell ref="A5:A7"/>
    <mergeCell ref="B5:B7"/>
    <mergeCell ref="C5:C7"/>
    <mergeCell ref="D5:D7"/>
    <mergeCell ref="E5:E7"/>
    <mergeCell ref="F5:F7"/>
    <mergeCell ref="G5:G7"/>
    <mergeCell ref="B1:W3"/>
  </mergeCells>
  <conditionalFormatting sqref="H49">
    <cfRule type="cellIs" dxfId="0" priority="16" operator="lessThan">
      <formula>$H$50</formula>
    </cfRule>
    <cfRule type="cellIs" dxfId="1" priority="17" operator="greaterThan">
      <formula>$H$50</formula>
    </cfRule>
  </conditionalFormatting>
  <conditionalFormatting sqref="I49">
    <cfRule type="cellIs" dxfId="0" priority="14" operator="lessThan">
      <formula>$I$50</formula>
    </cfRule>
    <cfRule type="cellIs" dxfId="1" priority="15" operator="greaterThan">
      <formula>$I$50</formula>
    </cfRule>
  </conditionalFormatting>
  <conditionalFormatting sqref="L49">
    <cfRule type="cellIs" dxfId="0" priority="12" operator="lessThan">
      <formula>$L$50</formula>
    </cfRule>
    <cfRule type="cellIs" dxfId="1" priority="13" operator="greaterThan">
      <formula>$L$50</formula>
    </cfRule>
  </conditionalFormatting>
  <conditionalFormatting sqref="P49">
    <cfRule type="cellIs" dxfId="0" priority="10" operator="lessThan">
      <formula>$P$50</formula>
    </cfRule>
    <cfRule type="cellIs" dxfId="1" priority="11" operator="greaterThan">
      <formula>$P$50</formula>
    </cfRule>
  </conditionalFormatting>
  <conditionalFormatting sqref="S49">
    <cfRule type="cellIs" dxfId="0" priority="8" operator="lessThan">
      <formula>$S$50</formula>
    </cfRule>
    <cfRule type="cellIs" dxfId="1" priority="9" operator="greaterThan">
      <formula>$S$50</formula>
    </cfRule>
  </conditionalFormatting>
  <conditionalFormatting sqref="Y49">
    <cfRule type="cellIs" dxfId="0" priority="6" operator="lessThan">
      <formula>$Y$50</formula>
    </cfRule>
    <cfRule type="cellIs" dxfId="1" priority="7" operator="greaterThan">
      <formula>$Y$50</formula>
    </cfRule>
  </conditionalFormatting>
  <conditionalFormatting sqref="Z49">
    <cfRule type="cellIs" dxfId="0" priority="4" operator="lessThan">
      <formula>$Z$50</formula>
    </cfRule>
    <cfRule type="cellIs" dxfId="1" priority="5" operator="greaterThan">
      <formula>$Z$50</formula>
    </cfRule>
  </conditionalFormatting>
  <conditionalFormatting sqref="H51">
    <cfRule type="cellIs" dxfId="1" priority="3" operator="lessThan">
      <formula>0</formula>
    </cfRule>
  </conditionalFormatting>
  <conditionalFormatting sqref="H51:AB51">
    <cfRule type="cellIs" dxfId="3" priority="1" operator="greaterThan">
      <formula>0</formula>
    </cfRule>
    <cfRule type="cellIs" dxfId="2" priority="2" operator="lessThan">
      <formula>0</formula>
    </cfRule>
  </conditionalFormatting>
  <pageMargins left="0.251388888888889" right="0.251388888888889" top="0.197222222222222" bottom="0.251388888888889" header="0.298611111111111" footer="0.298611111111111"/>
  <pageSetup paperSize="9" scale="48" orientation="landscape" horizontalDpi="600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I53"/>
  <sheetViews>
    <sheetView zoomScale="85" zoomScaleNormal="85" zoomScalePageLayoutView="85" workbookViewId="0">
      <pane xSplit="1" ySplit="7" topLeftCell="B27" activePane="bottomRight" state="frozen"/>
      <selection/>
      <selection pane="topRight"/>
      <selection pane="bottomLeft"/>
      <selection pane="bottomRight" activeCell="AI18" sqref="AI18"/>
    </sheetView>
  </sheetViews>
  <sheetFormatPr defaultColWidth="9.14285714285714" defaultRowHeight="15"/>
  <cols>
    <col min="1" max="1" width="13.7142857142857" customWidth="1"/>
    <col min="2" max="7" width="10.952380952381" customWidth="1"/>
    <col min="8" max="11" width="6.2952380952381" customWidth="1"/>
    <col min="12" max="12" width="7.57142857142857" customWidth="1"/>
    <col min="13" max="18" width="6.2952380952381" customWidth="1"/>
    <col min="19" max="19" width="7.57142857142857" customWidth="1"/>
    <col min="20" max="23" width="6.2952380952381" customWidth="1"/>
    <col min="24" max="28" width="6.48571428571429" customWidth="1"/>
    <col min="35" max="35" width="12.8571428571429"/>
  </cols>
  <sheetData>
    <row r="1" ht="20" customHeight="1" spans="1:28">
      <c r="A1" s="1"/>
      <c r="B1" s="76" t="s">
        <v>82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20" t="s">
        <v>83</v>
      </c>
      <c r="Y1" s="20"/>
      <c r="Z1" s="20"/>
      <c r="AA1" s="21" t="s">
        <v>77</v>
      </c>
      <c r="AB1" s="21"/>
    </row>
    <row r="2" ht="15.75" spans="1:28">
      <c r="A2" s="1"/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20" t="s">
        <v>91</v>
      </c>
      <c r="Y2" s="20"/>
      <c r="Z2" s="20"/>
      <c r="AA2" s="167" t="s">
        <v>89</v>
      </c>
      <c r="AB2" s="21"/>
    </row>
    <row r="3" ht="22" customHeight="1" spans="1:28">
      <c r="A3" s="1"/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20" t="s">
        <v>79</v>
      </c>
      <c r="Y3" s="20"/>
      <c r="Z3" s="20"/>
      <c r="AA3" s="22">
        <v>45607</v>
      </c>
      <c r="AB3" s="21"/>
    </row>
    <row r="4" ht="23.25" spans="1:28">
      <c r="A4" s="1"/>
      <c r="B4" s="78" t="s">
        <v>80</v>
      </c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1" t="s">
        <v>8</v>
      </c>
      <c r="Y4" s="1"/>
      <c r="Z4" s="1"/>
      <c r="AA4" s="1"/>
      <c r="AB4" s="1"/>
    </row>
    <row r="5" spans="1:28">
      <c r="A5" s="34" t="s">
        <v>81</v>
      </c>
      <c r="B5" s="34" t="s">
        <v>12</v>
      </c>
      <c r="C5" s="35" t="s">
        <v>13</v>
      </c>
      <c r="D5" s="35" t="s">
        <v>14</v>
      </c>
      <c r="E5" s="36" t="s">
        <v>90</v>
      </c>
      <c r="F5" s="35" t="s">
        <v>16</v>
      </c>
      <c r="G5" s="34" t="s">
        <v>17</v>
      </c>
      <c r="H5" s="34" t="s">
        <v>18</v>
      </c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</row>
    <row r="6" spans="1:28">
      <c r="A6" s="34"/>
      <c r="B6" s="34"/>
      <c r="C6" s="35"/>
      <c r="D6" s="35"/>
      <c r="E6" s="37"/>
      <c r="F6" s="35"/>
      <c r="G6" s="34"/>
      <c r="H6" s="34">
        <v>1</v>
      </c>
      <c r="I6" s="34">
        <v>2</v>
      </c>
      <c r="J6" s="34">
        <v>3</v>
      </c>
      <c r="K6" s="34">
        <v>4</v>
      </c>
      <c r="L6" s="34">
        <v>5</v>
      </c>
      <c r="M6" s="34">
        <v>6</v>
      </c>
      <c r="N6" s="34">
        <v>7</v>
      </c>
      <c r="O6" s="34">
        <v>8</v>
      </c>
      <c r="P6" s="34">
        <v>9</v>
      </c>
      <c r="Q6" s="34">
        <v>10</v>
      </c>
      <c r="R6" s="34">
        <v>11</v>
      </c>
      <c r="S6" s="34">
        <v>12</v>
      </c>
      <c r="T6" s="34">
        <v>13</v>
      </c>
      <c r="U6" s="34">
        <v>14</v>
      </c>
      <c r="V6" s="34">
        <v>15</v>
      </c>
      <c r="W6" s="34">
        <v>16</v>
      </c>
      <c r="X6" s="34">
        <v>17</v>
      </c>
      <c r="Y6" s="34">
        <v>18</v>
      </c>
      <c r="Z6" s="34">
        <v>19</v>
      </c>
      <c r="AA6" s="34">
        <v>20</v>
      </c>
      <c r="AB6" s="34">
        <v>21</v>
      </c>
    </row>
    <row r="7" spans="1:28">
      <c r="A7" s="34"/>
      <c r="B7" s="34"/>
      <c r="C7" s="35"/>
      <c r="D7" s="35"/>
      <c r="E7" s="38"/>
      <c r="F7" s="35"/>
      <c r="G7" s="34"/>
      <c r="H7" s="34" t="s">
        <v>19</v>
      </c>
      <c r="I7" s="34" t="s">
        <v>20</v>
      </c>
      <c r="J7" s="34" t="s">
        <v>21</v>
      </c>
      <c r="K7" s="34" t="s">
        <v>22</v>
      </c>
      <c r="L7" s="34" t="s">
        <v>23</v>
      </c>
      <c r="M7" s="34" t="s">
        <v>24</v>
      </c>
      <c r="N7" s="34" t="s">
        <v>25</v>
      </c>
      <c r="O7" s="34" t="s">
        <v>26</v>
      </c>
      <c r="P7" s="34" t="s">
        <v>27</v>
      </c>
      <c r="Q7" s="34" t="s">
        <v>28</v>
      </c>
      <c r="R7" s="34" t="s">
        <v>29</v>
      </c>
      <c r="S7" s="34" t="s">
        <v>30</v>
      </c>
      <c r="T7" s="34" t="s">
        <v>31</v>
      </c>
      <c r="U7" s="34" t="s">
        <v>32</v>
      </c>
      <c r="V7" s="34" t="s">
        <v>33</v>
      </c>
      <c r="W7" s="34" t="s">
        <v>34</v>
      </c>
      <c r="X7" s="34" t="s">
        <v>35</v>
      </c>
      <c r="Y7" s="34" t="s">
        <v>36</v>
      </c>
      <c r="Z7" s="34" t="s">
        <v>37</v>
      </c>
      <c r="AA7" s="34" t="s">
        <v>38</v>
      </c>
      <c r="AB7" s="34" t="s">
        <v>39</v>
      </c>
    </row>
    <row r="8" ht="20" customHeight="1" spans="1:28">
      <c r="A8" s="39">
        <v>45839</v>
      </c>
      <c r="B8" s="10">
        <v>7482</v>
      </c>
      <c r="C8" s="10">
        <v>6049</v>
      </c>
      <c r="D8" s="10">
        <v>482</v>
      </c>
      <c r="E8" s="11">
        <f>D8/B8*100</f>
        <v>6.44212777332264</v>
      </c>
      <c r="F8" s="10">
        <f>B8-(C8+D8)</f>
        <v>951</v>
      </c>
      <c r="G8" s="11">
        <f>F8/B8*100</f>
        <v>12.71050521251</v>
      </c>
      <c r="H8" s="10">
        <v>245</v>
      </c>
      <c r="I8" s="10">
        <v>72</v>
      </c>
      <c r="J8" s="10"/>
      <c r="K8" s="10"/>
      <c r="L8" s="10">
        <v>68</v>
      </c>
      <c r="M8" s="10"/>
      <c r="N8" s="10"/>
      <c r="O8" s="10"/>
      <c r="P8" s="10">
        <v>14</v>
      </c>
      <c r="Q8" s="10">
        <v>45</v>
      </c>
      <c r="R8" s="10"/>
      <c r="S8" s="10">
        <v>507</v>
      </c>
      <c r="T8" s="10"/>
      <c r="U8" s="10"/>
      <c r="V8" s="10"/>
      <c r="W8" s="10"/>
      <c r="X8" s="10"/>
      <c r="Y8" s="10"/>
      <c r="Z8" s="10"/>
      <c r="AA8" s="10"/>
      <c r="AB8" s="10"/>
    </row>
    <row r="9" ht="20" customHeight="1" spans="1:28">
      <c r="A9" s="39">
        <v>45840</v>
      </c>
      <c r="B9" s="10">
        <v>13349</v>
      </c>
      <c r="C9" s="10">
        <v>11022</v>
      </c>
      <c r="D9" s="10">
        <v>1352</v>
      </c>
      <c r="E9" s="11">
        <f>D9/B9*100</f>
        <v>10.1280994831073</v>
      </c>
      <c r="F9" s="10">
        <f>B9-(C9+D9)</f>
        <v>975</v>
      </c>
      <c r="G9" s="11">
        <f>F9/B9*100</f>
        <v>7.30391789647165</v>
      </c>
      <c r="H9" s="10">
        <v>460</v>
      </c>
      <c r="I9" s="10">
        <v>81</v>
      </c>
      <c r="J9" s="10"/>
      <c r="K9" s="10"/>
      <c r="L9" s="10">
        <v>168</v>
      </c>
      <c r="M9" s="10"/>
      <c r="N9" s="10"/>
      <c r="O9" s="10"/>
      <c r="P9" s="10">
        <v>20</v>
      </c>
      <c r="Q9" s="10">
        <v>5</v>
      </c>
      <c r="R9" s="10"/>
      <c r="S9" s="10">
        <v>221</v>
      </c>
      <c r="T9" s="10">
        <v>13</v>
      </c>
      <c r="U9" s="10"/>
      <c r="V9" s="10"/>
      <c r="W9" s="10"/>
      <c r="X9" s="10"/>
      <c r="Y9" s="10"/>
      <c r="Z9" s="10">
        <v>7</v>
      </c>
      <c r="AA9" s="10"/>
      <c r="AB9" s="10"/>
    </row>
    <row r="10" ht="20" customHeight="1" spans="1:28">
      <c r="A10" s="39">
        <v>45841</v>
      </c>
      <c r="B10" s="10">
        <v>10643</v>
      </c>
      <c r="C10" s="10">
        <v>9232</v>
      </c>
      <c r="D10" s="10">
        <v>419</v>
      </c>
      <c r="E10" s="11">
        <f>D10/B10*100</f>
        <v>3.9368599079207</v>
      </c>
      <c r="F10" s="10">
        <f>B10-(C10+D10)</f>
        <v>992</v>
      </c>
      <c r="G10" s="11">
        <f>F10/B10*100</f>
        <v>9.32068025932538</v>
      </c>
      <c r="H10" s="10">
        <v>175</v>
      </c>
      <c r="I10" s="10">
        <v>78</v>
      </c>
      <c r="J10" s="10"/>
      <c r="K10" s="10"/>
      <c r="L10" s="10">
        <v>96</v>
      </c>
      <c r="M10" s="10"/>
      <c r="N10" s="10"/>
      <c r="O10" s="10"/>
      <c r="P10" s="10">
        <v>80</v>
      </c>
      <c r="Q10" s="10">
        <v>136</v>
      </c>
      <c r="R10" s="10"/>
      <c r="S10" s="10">
        <v>402</v>
      </c>
      <c r="T10" s="10"/>
      <c r="U10" s="10"/>
      <c r="V10" s="10"/>
      <c r="W10" s="10"/>
      <c r="X10" s="10"/>
      <c r="Y10" s="10"/>
      <c r="Z10" s="10">
        <v>25</v>
      </c>
      <c r="AA10" s="10"/>
      <c r="AB10" s="10"/>
    </row>
    <row r="11" ht="20" customHeight="1" spans="1:28">
      <c r="A11" s="39">
        <v>45842</v>
      </c>
      <c r="B11" s="10">
        <v>13078</v>
      </c>
      <c r="C11" s="10">
        <v>11892</v>
      </c>
      <c r="D11" s="10">
        <v>391</v>
      </c>
      <c r="E11" s="11">
        <f>D11/B11*100</f>
        <v>2.98975378498241</v>
      </c>
      <c r="F11" s="10">
        <f>B11-(C11+D11)</f>
        <v>795</v>
      </c>
      <c r="G11" s="11">
        <f>F11/B11*100</f>
        <v>6.07891114849365</v>
      </c>
      <c r="H11" s="10">
        <v>161</v>
      </c>
      <c r="I11" s="10">
        <v>70</v>
      </c>
      <c r="J11" s="10"/>
      <c r="K11" s="10"/>
      <c r="L11" s="10">
        <v>38</v>
      </c>
      <c r="M11" s="10"/>
      <c r="N11" s="10"/>
      <c r="O11" s="10"/>
      <c r="P11" s="10">
        <v>43</v>
      </c>
      <c r="Q11" s="10">
        <v>62</v>
      </c>
      <c r="R11" s="10"/>
      <c r="S11" s="10">
        <v>416</v>
      </c>
      <c r="T11" s="10"/>
      <c r="U11" s="10"/>
      <c r="V11" s="10"/>
      <c r="W11" s="10"/>
      <c r="X11" s="10"/>
      <c r="Y11" s="10">
        <v>5</v>
      </c>
      <c r="Z11" s="10"/>
      <c r="AA11" s="10"/>
      <c r="AB11" s="10"/>
    </row>
    <row r="12" ht="20" customHeight="1" spans="1:28">
      <c r="A12" s="39">
        <v>45843</v>
      </c>
      <c r="B12" s="10">
        <v>10618</v>
      </c>
      <c r="C12" s="10">
        <v>9749</v>
      </c>
      <c r="D12" s="10">
        <v>308</v>
      </c>
      <c r="E12" s="11">
        <f>D12/B12*100</f>
        <v>2.90073460161989</v>
      </c>
      <c r="F12" s="10">
        <f>B12-(C12+D12)</f>
        <v>561</v>
      </c>
      <c r="G12" s="11">
        <f>F12/B12*100</f>
        <v>5.28348088152194</v>
      </c>
      <c r="H12" s="10">
        <v>151</v>
      </c>
      <c r="I12" s="10">
        <v>119</v>
      </c>
      <c r="J12" s="10"/>
      <c r="K12" s="10"/>
      <c r="L12" s="10">
        <v>30</v>
      </c>
      <c r="M12" s="10"/>
      <c r="N12" s="10"/>
      <c r="O12" s="10"/>
      <c r="P12" s="10"/>
      <c r="Q12" s="10">
        <v>29</v>
      </c>
      <c r="R12" s="10"/>
      <c r="S12" s="10">
        <v>232</v>
      </c>
      <c r="T12" s="10"/>
      <c r="U12" s="10"/>
      <c r="V12" s="10"/>
      <c r="W12" s="10"/>
      <c r="X12" s="10"/>
      <c r="Y12" s="10"/>
      <c r="Z12" s="10"/>
      <c r="AA12" s="10"/>
      <c r="AB12" s="10"/>
    </row>
    <row r="13" ht="20" customHeight="1" spans="1:28">
      <c r="A13" s="42" t="s">
        <v>40</v>
      </c>
      <c r="B13" s="43">
        <f>SUM(B8:B12)</f>
        <v>55170</v>
      </c>
      <c r="C13" s="43">
        <f t="shared" ref="B13:L13" si="0">SUM(C8:C12)</f>
        <v>47944</v>
      </c>
      <c r="D13" s="43">
        <f t="shared" si="0"/>
        <v>2952</v>
      </c>
      <c r="E13" s="43">
        <f t="shared" si="0"/>
        <v>26.397575550953</v>
      </c>
      <c r="F13" s="43">
        <f t="shared" si="0"/>
        <v>4274</v>
      </c>
      <c r="G13" s="44">
        <f t="shared" si="0"/>
        <v>40.6974953983226</v>
      </c>
      <c r="H13" s="43">
        <f t="shared" si="0"/>
        <v>1192</v>
      </c>
      <c r="I13" s="43">
        <f t="shared" si="0"/>
        <v>420</v>
      </c>
      <c r="J13" s="43">
        <f t="shared" si="0"/>
        <v>0</v>
      </c>
      <c r="K13" s="43">
        <f t="shared" si="0"/>
        <v>0</v>
      </c>
      <c r="L13" s="43">
        <f t="shared" si="0"/>
        <v>400</v>
      </c>
      <c r="M13" s="43">
        <f t="shared" ref="I13:AB13" si="1">SUM(M8:M12)</f>
        <v>0</v>
      </c>
      <c r="N13" s="43">
        <f t="shared" si="1"/>
        <v>0</v>
      </c>
      <c r="O13" s="43">
        <f t="shared" si="1"/>
        <v>0</v>
      </c>
      <c r="P13" s="43">
        <f t="shared" si="1"/>
        <v>157</v>
      </c>
      <c r="Q13" s="43">
        <f t="shared" si="1"/>
        <v>277</v>
      </c>
      <c r="R13" s="43">
        <f t="shared" si="1"/>
        <v>0</v>
      </c>
      <c r="S13" s="43">
        <f t="shared" si="1"/>
        <v>1778</v>
      </c>
      <c r="T13" s="43">
        <f t="shared" si="1"/>
        <v>13</v>
      </c>
      <c r="U13" s="43">
        <f t="shared" si="1"/>
        <v>0</v>
      </c>
      <c r="V13" s="43">
        <f t="shared" si="1"/>
        <v>0</v>
      </c>
      <c r="W13" s="43">
        <f t="shared" si="1"/>
        <v>0</v>
      </c>
      <c r="X13" s="43">
        <f t="shared" si="1"/>
        <v>0</v>
      </c>
      <c r="Y13" s="43">
        <f t="shared" si="1"/>
        <v>5</v>
      </c>
      <c r="Z13" s="43">
        <f t="shared" si="1"/>
        <v>32</v>
      </c>
      <c r="AA13" s="43">
        <f t="shared" si="1"/>
        <v>0</v>
      </c>
      <c r="AB13" s="43">
        <f t="shared" si="1"/>
        <v>0</v>
      </c>
    </row>
    <row r="14" ht="20" customHeight="1" spans="1:29">
      <c r="A14" s="45" t="s">
        <v>84</v>
      </c>
      <c r="B14" s="46"/>
      <c r="C14" s="47">
        <f>C13/$B$13*100</f>
        <v>86.9023019757114</v>
      </c>
      <c r="D14" s="47">
        <f>D13/$B$13*100</f>
        <v>5.35073409461664</v>
      </c>
      <c r="E14" s="47">
        <f>E13/$B$13*100</f>
        <v>0.0478476990229346</v>
      </c>
      <c r="F14" s="47">
        <f>F13/$B$13*100</f>
        <v>7.74696392967192</v>
      </c>
      <c r="G14" s="47">
        <f>G13/$B$13*100</f>
        <v>0.0737674377348606</v>
      </c>
      <c r="H14" s="47">
        <f>H13/$B$13*100</f>
        <v>2.16059452601051</v>
      </c>
      <c r="I14" s="47">
        <f>I13/$B$13*100</f>
        <v>0.761283306144644</v>
      </c>
      <c r="J14" s="47">
        <f>J13/$B$13*100</f>
        <v>0</v>
      </c>
      <c r="K14" s="47">
        <f t="shared" ref="D14:AB14" si="2">K13/$B$13*100</f>
        <v>0</v>
      </c>
      <c r="L14" s="47">
        <f t="shared" si="2"/>
        <v>0.725031720137756</v>
      </c>
      <c r="M14" s="47">
        <f t="shared" si="2"/>
        <v>0</v>
      </c>
      <c r="N14" s="47">
        <f t="shared" si="2"/>
        <v>0</v>
      </c>
      <c r="O14" s="47">
        <f t="shared" si="2"/>
        <v>0</v>
      </c>
      <c r="P14" s="47">
        <f t="shared" si="2"/>
        <v>0.284574950154069</v>
      </c>
      <c r="Q14" s="47">
        <f t="shared" si="2"/>
        <v>0.502084466195396</v>
      </c>
      <c r="R14" s="47">
        <f t="shared" si="2"/>
        <v>0</v>
      </c>
      <c r="S14" s="47">
        <f t="shared" si="2"/>
        <v>3.22276599601233</v>
      </c>
      <c r="T14" s="47">
        <f t="shared" si="2"/>
        <v>0.0235635309044771</v>
      </c>
      <c r="U14" s="47">
        <f t="shared" si="2"/>
        <v>0</v>
      </c>
      <c r="V14" s="47">
        <f t="shared" si="2"/>
        <v>0</v>
      </c>
      <c r="W14" s="47">
        <f t="shared" si="2"/>
        <v>0</v>
      </c>
      <c r="X14" s="47">
        <f t="shared" si="2"/>
        <v>0</v>
      </c>
      <c r="Y14" s="47">
        <f t="shared" si="2"/>
        <v>0.00906289650172195</v>
      </c>
      <c r="Z14" s="47">
        <f t="shared" si="2"/>
        <v>0.0580025376110205</v>
      </c>
      <c r="AA14" s="47">
        <f t="shared" si="2"/>
        <v>0</v>
      </c>
      <c r="AB14" s="47">
        <f t="shared" si="2"/>
        <v>0</v>
      </c>
      <c r="AC14" s="75">
        <f>SUM(H14:AB14)</f>
        <v>7.74696392967192</v>
      </c>
    </row>
    <row r="15" ht="20" customHeight="1" spans="1:35">
      <c r="A15" s="48">
        <v>45844</v>
      </c>
      <c r="B15" s="49">
        <v>8182</v>
      </c>
      <c r="C15" s="49">
        <v>7202</v>
      </c>
      <c r="D15" s="49">
        <v>148</v>
      </c>
      <c r="E15" s="50">
        <f t="shared" ref="E15:E21" si="3">D15/B15*100</f>
        <v>1.80884869225128</v>
      </c>
      <c r="F15" s="49">
        <f t="shared" ref="F15:F21" si="4">B15-(C15+D15)</f>
        <v>832</v>
      </c>
      <c r="G15" s="50">
        <f>F15/B15*100</f>
        <v>10.1686629186018</v>
      </c>
      <c r="H15" s="49">
        <v>128</v>
      </c>
      <c r="I15" s="49">
        <v>29</v>
      </c>
      <c r="J15" s="49"/>
      <c r="K15" s="49"/>
      <c r="L15" s="49">
        <v>301</v>
      </c>
      <c r="M15" s="49"/>
      <c r="N15" s="49"/>
      <c r="O15" s="49"/>
      <c r="P15" s="49">
        <v>47</v>
      </c>
      <c r="Q15" s="49">
        <v>14</v>
      </c>
      <c r="R15" s="49"/>
      <c r="S15" s="49">
        <v>311</v>
      </c>
      <c r="T15" s="49"/>
      <c r="U15" s="49"/>
      <c r="V15" s="49"/>
      <c r="W15" s="49"/>
      <c r="X15" s="49"/>
      <c r="Y15" s="49"/>
      <c r="Z15" s="49">
        <v>2</v>
      </c>
      <c r="AA15" s="49"/>
      <c r="AB15" s="49"/>
      <c r="AE15">
        <f>SUM(B35:B39,B43:B46,'AUGUST 25'!B8:B9,'AUGUST 25'!B13:B17,'AUGUST 25'!B22:B25,'AUGUST 25'!B30:B35)</f>
        <v>300203</v>
      </c>
      <c r="AG15">
        <f>SUM(F35:F39,F43:F46,'AUGUST 25'!F8:F9,'AUGUST 25'!F13:F17,'AUGUST 25'!F22:F25,'AUGUST 25'!F30:F35)</f>
        <v>11935</v>
      </c>
      <c r="AI15" s="75">
        <f>AG15/AE15*100</f>
        <v>3.97564314813643</v>
      </c>
    </row>
    <row r="16" ht="20" customHeight="1" spans="1:28">
      <c r="A16" s="39">
        <v>45845</v>
      </c>
      <c r="B16" s="10">
        <v>9058</v>
      </c>
      <c r="C16" s="10">
        <v>7949</v>
      </c>
      <c r="D16" s="10">
        <v>418</v>
      </c>
      <c r="E16" s="11">
        <f t="shared" si="3"/>
        <v>4.61470523294325</v>
      </c>
      <c r="F16" s="10">
        <f t="shared" si="4"/>
        <v>691</v>
      </c>
      <c r="G16" s="11">
        <f>F16/B16*100</f>
        <v>7.62861558843012</v>
      </c>
      <c r="H16" s="10">
        <v>110</v>
      </c>
      <c r="I16" s="10">
        <v>199</v>
      </c>
      <c r="J16" s="10"/>
      <c r="K16" s="10"/>
      <c r="L16" s="10">
        <v>127</v>
      </c>
      <c r="M16" s="10"/>
      <c r="N16" s="10"/>
      <c r="O16" s="10"/>
      <c r="P16" s="10">
        <v>9</v>
      </c>
      <c r="Q16" s="10">
        <v>51</v>
      </c>
      <c r="R16" s="10"/>
      <c r="S16" s="10">
        <v>195</v>
      </c>
      <c r="T16" s="10"/>
      <c r="U16" s="10"/>
      <c r="V16" s="10"/>
      <c r="W16" s="10"/>
      <c r="X16" s="10"/>
      <c r="Y16" s="10"/>
      <c r="Z16" s="10"/>
      <c r="AA16" s="10"/>
      <c r="AB16" s="10"/>
    </row>
    <row r="17" ht="20" customHeight="1" spans="1:28">
      <c r="A17" s="39">
        <v>45846</v>
      </c>
      <c r="B17" s="10">
        <v>9811</v>
      </c>
      <c r="C17" s="10">
        <v>8359</v>
      </c>
      <c r="D17" s="10">
        <v>359</v>
      </c>
      <c r="E17" s="11">
        <f t="shared" si="3"/>
        <v>3.65915808786056</v>
      </c>
      <c r="F17" s="10">
        <f t="shared" si="4"/>
        <v>1093</v>
      </c>
      <c r="G17" s="11">
        <f>F17/B17*100</f>
        <v>11.1405565181939</v>
      </c>
      <c r="H17" s="10">
        <v>110</v>
      </c>
      <c r="I17" s="10">
        <v>266</v>
      </c>
      <c r="J17" s="10"/>
      <c r="K17" s="10"/>
      <c r="L17" s="10">
        <v>40</v>
      </c>
      <c r="M17" s="10"/>
      <c r="N17" s="10"/>
      <c r="O17" s="10"/>
      <c r="P17" s="10">
        <v>43</v>
      </c>
      <c r="Q17" s="10">
        <v>237</v>
      </c>
      <c r="R17" s="10"/>
      <c r="S17" s="10">
        <v>390</v>
      </c>
      <c r="T17" s="10"/>
      <c r="U17" s="10"/>
      <c r="V17" s="10"/>
      <c r="W17" s="10"/>
      <c r="X17" s="10"/>
      <c r="Y17" s="10"/>
      <c r="Z17" s="10">
        <v>7</v>
      </c>
      <c r="AA17" s="10"/>
      <c r="AB17" s="10"/>
    </row>
    <row r="18" ht="20" customHeight="1" spans="1:28">
      <c r="A18" s="39">
        <v>45847</v>
      </c>
      <c r="B18" s="10">
        <v>11534</v>
      </c>
      <c r="C18" s="10">
        <v>10670</v>
      </c>
      <c r="D18" s="10">
        <v>190</v>
      </c>
      <c r="E18" s="11">
        <f t="shared" si="3"/>
        <v>1.64730362406797</v>
      </c>
      <c r="F18" s="10">
        <f t="shared" si="4"/>
        <v>674</v>
      </c>
      <c r="G18" s="11">
        <f t="shared" ref="G17:G22" si="5">F18/B18*100</f>
        <v>5.84359285590428</v>
      </c>
      <c r="H18" s="10">
        <v>100</v>
      </c>
      <c r="I18" s="10">
        <v>77</v>
      </c>
      <c r="J18" s="10"/>
      <c r="K18" s="10"/>
      <c r="L18" s="10">
        <v>79</v>
      </c>
      <c r="M18" s="10"/>
      <c r="N18" s="10"/>
      <c r="O18" s="10"/>
      <c r="P18" s="10">
        <v>52</v>
      </c>
      <c r="Q18" s="10">
        <v>29</v>
      </c>
      <c r="R18" s="10"/>
      <c r="S18" s="10">
        <v>333</v>
      </c>
      <c r="T18" s="10"/>
      <c r="U18" s="10"/>
      <c r="V18" s="10"/>
      <c r="W18" s="10"/>
      <c r="X18" s="10"/>
      <c r="Y18" s="10">
        <v>3</v>
      </c>
      <c r="Z18" s="10">
        <v>1</v>
      </c>
      <c r="AA18" s="10"/>
      <c r="AB18" s="10"/>
    </row>
    <row r="19" ht="20" customHeight="1" spans="1:28">
      <c r="A19" s="39">
        <v>45848</v>
      </c>
      <c r="B19" s="10">
        <v>10445</v>
      </c>
      <c r="C19" s="10">
        <v>9505</v>
      </c>
      <c r="D19" s="10">
        <v>167</v>
      </c>
      <c r="E19" s="11">
        <f t="shared" si="3"/>
        <v>1.59885112494016</v>
      </c>
      <c r="F19" s="10">
        <f t="shared" si="4"/>
        <v>773</v>
      </c>
      <c r="G19" s="11">
        <f t="shared" si="5"/>
        <v>7.40067017711824</v>
      </c>
      <c r="H19" s="10">
        <v>70</v>
      </c>
      <c r="I19" s="10">
        <v>223</v>
      </c>
      <c r="J19" s="10"/>
      <c r="K19" s="10"/>
      <c r="L19" s="10">
        <v>123</v>
      </c>
      <c r="M19" s="10"/>
      <c r="N19" s="10"/>
      <c r="O19" s="10"/>
      <c r="P19" s="10">
        <v>18</v>
      </c>
      <c r="Q19" s="10">
        <v>26</v>
      </c>
      <c r="R19" s="10"/>
      <c r="S19" s="10">
        <v>298</v>
      </c>
      <c r="T19" s="10"/>
      <c r="U19" s="10"/>
      <c r="V19" s="10"/>
      <c r="W19" s="10"/>
      <c r="X19" s="10">
        <v>15</v>
      </c>
      <c r="Y19" s="10"/>
      <c r="Z19" s="10"/>
      <c r="AA19" s="10"/>
      <c r="AB19" s="10"/>
    </row>
    <row r="20" ht="20" customHeight="1" spans="1:28">
      <c r="A20" s="39">
        <v>45849</v>
      </c>
      <c r="B20" s="10">
        <v>10340</v>
      </c>
      <c r="C20" s="10">
        <v>9422</v>
      </c>
      <c r="D20" s="10">
        <v>328</v>
      </c>
      <c r="E20" s="11">
        <f t="shared" si="3"/>
        <v>3.17214700193424</v>
      </c>
      <c r="F20" s="10">
        <f t="shared" si="4"/>
        <v>590</v>
      </c>
      <c r="G20" s="11">
        <f t="shared" si="5"/>
        <v>5.70599613152805</v>
      </c>
      <c r="H20" s="10">
        <v>98</v>
      </c>
      <c r="I20" s="10">
        <v>81</v>
      </c>
      <c r="J20" s="10"/>
      <c r="K20" s="10"/>
      <c r="L20" s="10">
        <v>11</v>
      </c>
      <c r="M20" s="10"/>
      <c r="N20" s="10"/>
      <c r="O20" s="10"/>
      <c r="P20" s="10">
        <v>61</v>
      </c>
      <c r="Q20" s="10"/>
      <c r="R20" s="10"/>
      <c r="S20" s="10">
        <v>231</v>
      </c>
      <c r="T20" s="10"/>
      <c r="U20" s="10"/>
      <c r="V20" s="10"/>
      <c r="W20" s="10"/>
      <c r="X20" s="10">
        <v>100</v>
      </c>
      <c r="Y20" s="10"/>
      <c r="Z20" s="10">
        <v>8</v>
      </c>
      <c r="AA20" s="10"/>
      <c r="AB20" s="10"/>
    </row>
    <row r="21" ht="20" customHeight="1" spans="1:28">
      <c r="A21" s="39">
        <v>45850</v>
      </c>
      <c r="B21" s="10">
        <v>11138</v>
      </c>
      <c r="C21" s="10">
        <v>10176</v>
      </c>
      <c r="D21" s="10">
        <v>350</v>
      </c>
      <c r="E21" s="11">
        <f t="shared" si="3"/>
        <v>3.14239540312444</v>
      </c>
      <c r="F21" s="10">
        <f t="shared" si="4"/>
        <v>612</v>
      </c>
      <c r="G21" s="11">
        <f t="shared" si="5"/>
        <v>5.49470281917759</v>
      </c>
      <c r="H21" s="10">
        <v>81</v>
      </c>
      <c r="I21" s="10">
        <v>42</v>
      </c>
      <c r="J21" s="10"/>
      <c r="K21" s="10"/>
      <c r="L21" s="10">
        <v>15</v>
      </c>
      <c r="M21" s="10"/>
      <c r="N21" s="10"/>
      <c r="O21" s="10"/>
      <c r="P21" s="10">
        <v>77</v>
      </c>
      <c r="Q21" s="10">
        <v>5</v>
      </c>
      <c r="R21" s="10"/>
      <c r="S21" s="10">
        <v>325</v>
      </c>
      <c r="T21" s="10"/>
      <c r="U21" s="10"/>
      <c r="V21" s="10"/>
      <c r="W21" s="10"/>
      <c r="X21" s="10">
        <v>57</v>
      </c>
      <c r="Y21" s="10">
        <v>2</v>
      </c>
      <c r="Z21" s="10">
        <v>8</v>
      </c>
      <c r="AA21" s="10"/>
      <c r="AB21" s="10"/>
    </row>
    <row r="22" ht="20" customHeight="1" spans="1:28">
      <c r="A22" s="42" t="s">
        <v>40</v>
      </c>
      <c r="B22" s="43">
        <f>SUM(B15:B21)</f>
        <v>70508</v>
      </c>
      <c r="C22" s="43">
        <f>SUM(C15:C21)</f>
        <v>63283</v>
      </c>
      <c r="D22" s="43">
        <f>SUM(D15:D21)</f>
        <v>1960</v>
      </c>
      <c r="E22" s="44">
        <f>SUM(E15:E21)</f>
        <v>19.6434091671219</v>
      </c>
      <c r="F22" s="43">
        <f>SUM(F15:F21)</f>
        <v>5265</v>
      </c>
      <c r="G22" s="44">
        <f t="shared" si="5"/>
        <v>7.46723776025416</v>
      </c>
      <c r="H22" s="43">
        <f t="shared" ref="C22:AB22" si="6">SUM(H15:H21)</f>
        <v>697</v>
      </c>
      <c r="I22" s="43">
        <f t="shared" si="6"/>
        <v>917</v>
      </c>
      <c r="J22" s="43">
        <f t="shared" si="6"/>
        <v>0</v>
      </c>
      <c r="K22" s="43">
        <f t="shared" si="6"/>
        <v>0</v>
      </c>
      <c r="L22" s="43">
        <f t="shared" si="6"/>
        <v>696</v>
      </c>
      <c r="M22" s="43">
        <f t="shared" si="6"/>
        <v>0</v>
      </c>
      <c r="N22" s="43">
        <f t="shared" si="6"/>
        <v>0</v>
      </c>
      <c r="O22" s="43">
        <f t="shared" si="6"/>
        <v>0</v>
      </c>
      <c r="P22" s="43">
        <f t="shared" si="6"/>
        <v>307</v>
      </c>
      <c r="Q22" s="43">
        <f t="shared" si="6"/>
        <v>362</v>
      </c>
      <c r="R22" s="43">
        <f t="shared" si="6"/>
        <v>0</v>
      </c>
      <c r="S22" s="43">
        <f t="shared" si="6"/>
        <v>2083</v>
      </c>
      <c r="T22" s="43">
        <f t="shared" si="6"/>
        <v>0</v>
      </c>
      <c r="U22" s="43">
        <f t="shared" si="6"/>
        <v>0</v>
      </c>
      <c r="V22" s="43">
        <f t="shared" si="6"/>
        <v>0</v>
      </c>
      <c r="W22" s="43">
        <f t="shared" si="6"/>
        <v>0</v>
      </c>
      <c r="X22" s="43">
        <f t="shared" si="6"/>
        <v>172</v>
      </c>
      <c r="Y22" s="43">
        <f t="shared" si="6"/>
        <v>5</v>
      </c>
      <c r="Z22" s="43">
        <f t="shared" si="6"/>
        <v>26</v>
      </c>
      <c r="AA22" s="43">
        <f t="shared" si="6"/>
        <v>0</v>
      </c>
      <c r="AB22" s="43">
        <f t="shared" si="6"/>
        <v>0</v>
      </c>
    </row>
    <row r="23" ht="20" customHeight="1" spans="1:29">
      <c r="A23" s="45" t="s">
        <v>84</v>
      </c>
      <c r="B23" s="46"/>
      <c r="C23" s="47">
        <f>C22/$B$22*100</f>
        <v>89.7529358370681</v>
      </c>
      <c r="D23" s="47">
        <f t="shared" ref="D23:AB23" si="7">D22/$B$22*100</f>
        <v>2.77982640267771</v>
      </c>
      <c r="E23" s="47">
        <f t="shared" si="7"/>
        <v>0.027859830327228</v>
      </c>
      <c r="F23" s="47">
        <f t="shared" si="7"/>
        <v>7.46723776025416</v>
      </c>
      <c r="G23" s="47">
        <f t="shared" si="7"/>
        <v>0.0105906248372584</v>
      </c>
      <c r="H23" s="47">
        <f t="shared" si="7"/>
        <v>0.988540307482839</v>
      </c>
      <c r="I23" s="47">
        <f t="shared" si="7"/>
        <v>1.30056163839564</v>
      </c>
      <c r="J23" s="47">
        <f t="shared" si="7"/>
        <v>0</v>
      </c>
      <c r="K23" s="47">
        <f t="shared" si="7"/>
        <v>0</v>
      </c>
      <c r="L23" s="47">
        <f t="shared" si="7"/>
        <v>0.987122028705962</v>
      </c>
      <c r="M23" s="47">
        <f t="shared" si="7"/>
        <v>0</v>
      </c>
      <c r="N23" s="47">
        <f t="shared" si="7"/>
        <v>0</v>
      </c>
      <c r="O23" s="47">
        <f t="shared" si="7"/>
        <v>0</v>
      </c>
      <c r="P23" s="47">
        <f t="shared" si="7"/>
        <v>0.435411584501049</v>
      </c>
      <c r="Q23" s="47">
        <f t="shared" si="7"/>
        <v>0.513416917229251</v>
      </c>
      <c r="R23" s="47">
        <f t="shared" si="7"/>
        <v>0</v>
      </c>
      <c r="S23" s="47">
        <f t="shared" si="7"/>
        <v>2.95427469223351</v>
      </c>
      <c r="T23" s="47">
        <f t="shared" si="7"/>
        <v>0</v>
      </c>
      <c r="U23" s="47">
        <f t="shared" si="7"/>
        <v>0</v>
      </c>
      <c r="V23" s="47">
        <f t="shared" si="7"/>
        <v>0</v>
      </c>
      <c r="W23" s="47">
        <f t="shared" si="7"/>
        <v>0</v>
      </c>
      <c r="X23" s="47">
        <f t="shared" si="7"/>
        <v>0.243943949622738</v>
      </c>
      <c r="Y23" s="47">
        <f t="shared" si="7"/>
        <v>0.00709139388438191</v>
      </c>
      <c r="Z23" s="47">
        <f t="shared" si="7"/>
        <v>0.036875248198786</v>
      </c>
      <c r="AA23" s="47">
        <f t="shared" si="7"/>
        <v>0</v>
      </c>
      <c r="AB23" s="47">
        <f t="shared" si="7"/>
        <v>0</v>
      </c>
      <c r="AC23" s="75">
        <f>SUM(H23:AB23)</f>
        <v>7.46723776025416</v>
      </c>
    </row>
    <row r="24" ht="20" customHeight="1" spans="1:28">
      <c r="A24" s="48">
        <v>45851</v>
      </c>
      <c r="B24" s="49"/>
      <c r="C24" s="49"/>
      <c r="D24" s="49"/>
      <c r="E24" s="50" t="e">
        <f t="shared" ref="E24:E30" si="8">D24/B24*100</f>
        <v>#DIV/0!</v>
      </c>
      <c r="F24" s="49">
        <f t="shared" ref="F24:F30" si="9">B24-(C24+D24)</f>
        <v>0</v>
      </c>
      <c r="G24" s="50" t="e">
        <f>F24/B24*100</f>
        <v>#DIV/0!</v>
      </c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</row>
    <row r="25" ht="20" customHeight="1" spans="1:28">
      <c r="A25" s="39">
        <v>45852</v>
      </c>
      <c r="B25" s="10">
        <v>11290</v>
      </c>
      <c r="C25" s="10">
        <v>10305</v>
      </c>
      <c r="D25" s="10">
        <v>385</v>
      </c>
      <c r="E25" s="11">
        <f t="shared" si="8"/>
        <v>3.41009743135518</v>
      </c>
      <c r="F25" s="10">
        <f t="shared" si="9"/>
        <v>600</v>
      </c>
      <c r="G25" s="11">
        <f>F25/B25*100</f>
        <v>5.31443755535872</v>
      </c>
      <c r="H25" s="10">
        <v>116</v>
      </c>
      <c r="I25" s="10">
        <v>53</v>
      </c>
      <c r="J25" s="10"/>
      <c r="K25" s="10"/>
      <c r="L25" s="10">
        <v>28</v>
      </c>
      <c r="M25" s="10"/>
      <c r="N25" s="10"/>
      <c r="O25" s="10"/>
      <c r="P25" s="10">
        <v>54</v>
      </c>
      <c r="Q25" s="10">
        <v>18</v>
      </c>
      <c r="R25" s="10"/>
      <c r="S25" s="10">
        <v>307</v>
      </c>
      <c r="T25" s="10"/>
      <c r="U25" s="10"/>
      <c r="V25" s="10"/>
      <c r="W25" s="10"/>
      <c r="X25" s="10">
        <v>12</v>
      </c>
      <c r="Y25" s="10">
        <v>8</v>
      </c>
      <c r="Z25" s="10">
        <v>4</v>
      </c>
      <c r="AA25" s="10"/>
      <c r="AB25" s="10"/>
    </row>
    <row r="26" ht="20" customHeight="1" spans="1:28">
      <c r="A26" s="39">
        <v>45853</v>
      </c>
      <c r="B26" s="10">
        <v>11943</v>
      </c>
      <c r="C26" s="10">
        <v>11116</v>
      </c>
      <c r="D26" s="10">
        <v>255</v>
      </c>
      <c r="E26" s="11">
        <f t="shared" si="8"/>
        <v>2.13514192413966</v>
      </c>
      <c r="F26" s="10">
        <f t="shared" si="9"/>
        <v>572</v>
      </c>
      <c r="G26" s="11">
        <f t="shared" ref="G26:G31" si="10">F26/B26*100</f>
        <v>4.78941639454074</v>
      </c>
      <c r="H26" s="10">
        <v>125</v>
      </c>
      <c r="I26" s="10">
        <v>77</v>
      </c>
      <c r="J26" s="10"/>
      <c r="K26" s="10"/>
      <c r="L26" s="10"/>
      <c r="M26" s="10"/>
      <c r="N26" s="10"/>
      <c r="O26" s="10"/>
      <c r="P26" s="10">
        <v>31</v>
      </c>
      <c r="Q26" s="10">
        <v>17</v>
      </c>
      <c r="R26" s="10"/>
      <c r="S26" s="10">
        <v>242</v>
      </c>
      <c r="T26" s="10"/>
      <c r="U26" s="10"/>
      <c r="V26" s="10"/>
      <c r="W26" s="10"/>
      <c r="X26" s="10">
        <v>10</v>
      </c>
      <c r="Y26" s="10">
        <v>10</v>
      </c>
      <c r="Z26" s="10">
        <v>60</v>
      </c>
      <c r="AA26" s="10"/>
      <c r="AB26" s="10"/>
    </row>
    <row r="27" ht="20" customHeight="1" spans="1:28">
      <c r="A27" s="39">
        <v>45854</v>
      </c>
      <c r="B27" s="10">
        <v>9674</v>
      </c>
      <c r="C27" s="10">
        <v>9005</v>
      </c>
      <c r="D27" s="10">
        <v>65</v>
      </c>
      <c r="E27" s="11">
        <f t="shared" si="8"/>
        <v>0.67190407277238</v>
      </c>
      <c r="F27" s="10">
        <f t="shared" si="9"/>
        <v>604</v>
      </c>
      <c r="G27" s="11">
        <f t="shared" si="10"/>
        <v>6.24353938391565</v>
      </c>
      <c r="H27" s="10">
        <v>110</v>
      </c>
      <c r="I27" s="10">
        <v>100</v>
      </c>
      <c r="J27" s="10"/>
      <c r="K27" s="10"/>
      <c r="L27" s="10">
        <v>78</v>
      </c>
      <c r="M27" s="10"/>
      <c r="N27" s="10"/>
      <c r="O27" s="10"/>
      <c r="P27" s="10"/>
      <c r="Q27" s="10">
        <v>31</v>
      </c>
      <c r="R27" s="10"/>
      <c r="S27" s="10">
        <v>184</v>
      </c>
      <c r="T27" s="10"/>
      <c r="U27" s="10"/>
      <c r="V27" s="10"/>
      <c r="W27" s="10"/>
      <c r="X27" s="10"/>
      <c r="Y27" s="10"/>
      <c r="Z27" s="10">
        <v>81</v>
      </c>
      <c r="AA27" s="10"/>
      <c r="AB27" s="10"/>
    </row>
    <row r="28" ht="20" customHeight="1" spans="1:28">
      <c r="A28" s="39">
        <v>45855</v>
      </c>
      <c r="B28" s="10">
        <v>10096</v>
      </c>
      <c r="C28" s="10">
        <v>9429</v>
      </c>
      <c r="D28" s="10">
        <v>64</v>
      </c>
      <c r="E28" s="11">
        <f t="shared" si="8"/>
        <v>0.63391442155309</v>
      </c>
      <c r="F28" s="10">
        <f t="shared" si="9"/>
        <v>603</v>
      </c>
      <c r="G28" s="11">
        <f t="shared" si="10"/>
        <v>5.97266244057052</v>
      </c>
      <c r="H28" s="10">
        <v>95</v>
      </c>
      <c r="I28" s="10">
        <v>97</v>
      </c>
      <c r="J28" s="10"/>
      <c r="K28" s="10"/>
      <c r="L28" s="10">
        <v>26</v>
      </c>
      <c r="M28" s="10">
        <v>6</v>
      </c>
      <c r="N28" s="10"/>
      <c r="O28" s="10"/>
      <c r="P28" s="10"/>
      <c r="Q28" s="10">
        <v>101</v>
      </c>
      <c r="R28" s="10"/>
      <c r="S28" s="10">
        <v>236</v>
      </c>
      <c r="T28" s="10"/>
      <c r="U28" s="10"/>
      <c r="V28" s="10"/>
      <c r="W28" s="10"/>
      <c r="X28" s="10"/>
      <c r="Y28" s="10"/>
      <c r="Z28" s="10">
        <v>42</v>
      </c>
      <c r="AA28" s="10"/>
      <c r="AB28" s="10"/>
    </row>
    <row r="29" ht="20" customHeight="1" spans="1:28">
      <c r="A29" s="39">
        <v>45856</v>
      </c>
      <c r="B29" s="10">
        <v>12103</v>
      </c>
      <c r="C29" s="10">
        <v>11421</v>
      </c>
      <c r="D29" s="10">
        <v>157</v>
      </c>
      <c r="E29" s="11">
        <f t="shared" si="8"/>
        <v>1.29719904155994</v>
      </c>
      <c r="F29" s="10">
        <f t="shared" si="9"/>
        <v>525</v>
      </c>
      <c r="G29" s="11">
        <f t="shared" si="10"/>
        <v>4.33776749566223</v>
      </c>
      <c r="H29" s="10">
        <v>93</v>
      </c>
      <c r="I29" s="10">
        <v>86</v>
      </c>
      <c r="J29" s="10"/>
      <c r="K29" s="10"/>
      <c r="L29" s="10">
        <v>43</v>
      </c>
      <c r="M29" s="10"/>
      <c r="N29" s="10"/>
      <c r="O29" s="10"/>
      <c r="P29" s="10"/>
      <c r="Q29" s="10">
        <v>30</v>
      </c>
      <c r="R29" s="10"/>
      <c r="S29" s="10">
        <v>234</v>
      </c>
      <c r="T29" s="10"/>
      <c r="U29" s="10"/>
      <c r="V29" s="10"/>
      <c r="W29" s="10"/>
      <c r="X29" s="10"/>
      <c r="Y29" s="10"/>
      <c r="Z29" s="10">
        <v>39</v>
      </c>
      <c r="AA29" s="10"/>
      <c r="AB29" s="10"/>
    </row>
    <row r="30" ht="20" customHeight="1" spans="1:28">
      <c r="A30" s="39">
        <v>45857</v>
      </c>
      <c r="B30" s="10">
        <v>12283</v>
      </c>
      <c r="C30" s="10">
        <v>11507</v>
      </c>
      <c r="D30" s="10">
        <v>221</v>
      </c>
      <c r="E30" s="11">
        <f t="shared" si="8"/>
        <v>1.79923471464626</v>
      </c>
      <c r="F30" s="10">
        <f t="shared" si="9"/>
        <v>555</v>
      </c>
      <c r="G30" s="11">
        <f t="shared" si="10"/>
        <v>4.51844012049174</v>
      </c>
      <c r="H30" s="10">
        <v>101</v>
      </c>
      <c r="I30" s="10">
        <v>76</v>
      </c>
      <c r="J30" s="10"/>
      <c r="K30" s="10"/>
      <c r="L30" s="10">
        <v>77</v>
      </c>
      <c r="M30" s="10"/>
      <c r="N30" s="10"/>
      <c r="O30" s="10"/>
      <c r="P30" s="10"/>
      <c r="Q30" s="10">
        <v>40</v>
      </c>
      <c r="R30" s="10"/>
      <c r="S30" s="10">
        <v>242</v>
      </c>
      <c r="T30" s="10"/>
      <c r="U30" s="10"/>
      <c r="V30" s="10"/>
      <c r="W30" s="10"/>
      <c r="X30" s="10"/>
      <c r="Y30" s="10"/>
      <c r="Z30" s="10">
        <v>20</v>
      </c>
      <c r="AA30" s="10"/>
      <c r="AB30" s="10"/>
    </row>
    <row r="31" ht="20" customHeight="1" spans="1:28">
      <c r="A31" s="42" t="s">
        <v>40</v>
      </c>
      <c r="B31" s="43">
        <f>SUM(B24:B30)</f>
        <v>67389</v>
      </c>
      <c r="C31" s="43">
        <f>SUM(C24:C30)</f>
        <v>62783</v>
      </c>
      <c r="D31" s="43">
        <f>SUM(D24:D30)</f>
        <v>1147</v>
      </c>
      <c r="E31" s="44" t="e">
        <f t="shared" ref="B31:AB31" si="11">SUM(E24:E30)</f>
        <v>#DIV/0!</v>
      </c>
      <c r="F31" s="43">
        <f t="shared" si="11"/>
        <v>3459</v>
      </c>
      <c r="G31" s="44" t="e">
        <f t="shared" si="11"/>
        <v>#DIV/0!</v>
      </c>
      <c r="H31" s="43">
        <f t="shared" si="11"/>
        <v>640</v>
      </c>
      <c r="I31" s="43">
        <f t="shared" si="11"/>
        <v>489</v>
      </c>
      <c r="J31" s="43">
        <f t="shared" si="11"/>
        <v>0</v>
      </c>
      <c r="K31" s="43">
        <f t="shared" si="11"/>
        <v>0</v>
      </c>
      <c r="L31" s="43">
        <f t="shared" si="11"/>
        <v>252</v>
      </c>
      <c r="M31" s="43">
        <f t="shared" si="11"/>
        <v>6</v>
      </c>
      <c r="N31" s="43">
        <f t="shared" si="11"/>
        <v>0</v>
      </c>
      <c r="O31" s="43">
        <f t="shared" si="11"/>
        <v>0</v>
      </c>
      <c r="P31" s="43">
        <f t="shared" si="11"/>
        <v>85</v>
      </c>
      <c r="Q31" s="43">
        <f t="shared" si="11"/>
        <v>237</v>
      </c>
      <c r="R31" s="43">
        <f t="shared" si="11"/>
        <v>0</v>
      </c>
      <c r="S31" s="43">
        <f t="shared" si="11"/>
        <v>1445</v>
      </c>
      <c r="T31" s="43">
        <f t="shared" si="11"/>
        <v>0</v>
      </c>
      <c r="U31" s="43">
        <f t="shared" si="11"/>
        <v>0</v>
      </c>
      <c r="V31" s="43">
        <f t="shared" si="11"/>
        <v>0</v>
      </c>
      <c r="W31" s="43">
        <f t="shared" si="11"/>
        <v>0</v>
      </c>
      <c r="X31" s="43">
        <f t="shared" si="11"/>
        <v>22</v>
      </c>
      <c r="Y31" s="43">
        <f t="shared" si="11"/>
        <v>18</v>
      </c>
      <c r="Z31" s="43">
        <f t="shared" si="11"/>
        <v>246</v>
      </c>
      <c r="AA31" s="43">
        <f t="shared" si="11"/>
        <v>0</v>
      </c>
      <c r="AB31" s="43">
        <f t="shared" si="11"/>
        <v>0</v>
      </c>
    </row>
    <row r="32" ht="20" customHeight="1" spans="1:29">
      <c r="A32" s="45" t="s">
        <v>84</v>
      </c>
      <c r="B32" s="46"/>
      <c r="C32" s="47">
        <f>C31/$B$31*100</f>
        <v>93.1650566116132</v>
      </c>
      <c r="D32" s="47">
        <f>D31/$B$31*100</f>
        <v>1.7020581994094</v>
      </c>
      <c r="E32" s="47" t="e">
        <f>E31/$B$31*100</f>
        <v>#DIV/0!</v>
      </c>
      <c r="F32" s="47">
        <f>F31/$B$31*100</f>
        <v>5.13288518897743</v>
      </c>
      <c r="G32" s="47" t="e">
        <f>G31/$B$31*100</f>
        <v>#DIV/0!</v>
      </c>
      <c r="H32" s="47">
        <f>H31/$B$31*100</f>
        <v>0.949709893306029</v>
      </c>
      <c r="I32" s="47">
        <f>I31/$B$31*100</f>
        <v>0.725637715354138</v>
      </c>
      <c r="J32" s="47">
        <f>J31/$B$31*100</f>
        <v>0</v>
      </c>
      <c r="K32" s="47">
        <f>K31/$B$31*100</f>
        <v>0</v>
      </c>
      <c r="L32" s="47">
        <f>L31/$B$31*100</f>
        <v>0.373948270489249</v>
      </c>
      <c r="M32" s="47">
        <f>M31/$B$31*100</f>
        <v>0.00890353024974402</v>
      </c>
      <c r="N32" s="47">
        <f>N31/$B$31*100</f>
        <v>0</v>
      </c>
      <c r="O32" s="47">
        <f>O31/$B$31*100</f>
        <v>0</v>
      </c>
      <c r="P32" s="47">
        <f>P31/$B$31*100</f>
        <v>0.126133345204707</v>
      </c>
      <c r="Q32" s="47">
        <f>Q31/$B$31*100</f>
        <v>0.351689444864889</v>
      </c>
      <c r="R32" s="47">
        <f>R31/$B$31*100</f>
        <v>0</v>
      </c>
      <c r="S32" s="47">
        <f>S31/$B$31*100</f>
        <v>2.14426686848002</v>
      </c>
      <c r="T32" s="47">
        <f>T31/$B$31*100</f>
        <v>0</v>
      </c>
      <c r="U32" s="47">
        <f>U31/$B$31*100</f>
        <v>0</v>
      </c>
      <c r="V32" s="47">
        <f>V31/$B$31*100</f>
        <v>0</v>
      </c>
      <c r="W32" s="47">
        <f>W31/$B$31*100</f>
        <v>0</v>
      </c>
      <c r="X32" s="47">
        <f>X31/$B$31*100</f>
        <v>0.0326462775823948</v>
      </c>
      <c r="Y32" s="47">
        <f>Y31/$B$31*100</f>
        <v>0.0267105907492321</v>
      </c>
      <c r="Z32" s="47">
        <f>Z31/$B$31*100</f>
        <v>0.365044740239505</v>
      </c>
      <c r="AA32" s="47">
        <f>AA31/$B$31*100</f>
        <v>0</v>
      </c>
      <c r="AB32" s="47">
        <f>AB31/$B$31*100</f>
        <v>0</v>
      </c>
      <c r="AC32" s="75">
        <f>SUM(H32:AB32)</f>
        <v>5.10469067651991</v>
      </c>
    </row>
    <row r="33" ht="20" customHeight="1" spans="1:28">
      <c r="A33" s="48">
        <v>45858</v>
      </c>
      <c r="B33" s="94"/>
      <c r="C33" s="94"/>
      <c r="D33" s="94"/>
      <c r="E33" s="50" t="e">
        <f t="shared" ref="E33:E39" si="12">D33/B33*100</f>
        <v>#DIV/0!</v>
      </c>
      <c r="F33" s="49">
        <f t="shared" ref="F33:F39" si="13">B33-(C33+D33)</f>
        <v>0</v>
      </c>
      <c r="G33" s="50" t="e">
        <f>F33/B33*100</f>
        <v>#DIV/0!</v>
      </c>
      <c r="H33" s="94"/>
      <c r="I33" s="94"/>
      <c r="J33" s="54"/>
      <c r="K33" s="54"/>
      <c r="L33" s="95"/>
      <c r="M33" s="95"/>
      <c r="N33" s="95"/>
      <c r="O33" s="95"/>
      <c r="P33" s="94"/>
      <c r="Q33" s="95"/>
      <c r="R33" s="95"/>
      <c r="S33" s="94"/>
      <c r="T33" s="95"/>
      <c r="U33" s="95"/>
      <c r="V33" s="95"/>
      <c r="W33" s="94"/>
      <c r="X33" s="94"/>
      <c r="Y33" s="94"/>
      <c r="Z33" s="94"/>
      <c r="AA33" s="95"/>
      <c r="AB33" s="54"/>
    </row>
    <row r="34" ht="20" customHeight="1" spans="1:28">
      <c r="A34" s="39">
        <v>45859</v>
      </c>
      <c r="B34" s="58">
        <v>10884</v>
      </c>
      <c r="C34" s="58">
        <v>10120</v>
      </c>
      <c r="D34" s="58">
        <v>340</v>
      </c>
      <c r="E34" s="11">
        <f t="shared" si="12"/>
        <v>3.12385152517457</v>
      </c>
      <c r="F34" s="10">
        <f t="shared" si="13"/>
        <v>424</v>
      </c>
      <c r="G34" s="11">
        <f>F34/B34*100</f>
        <v>3.89562660786476</v>
      </c>
      <c r="H34" s="59">
        <v>70</v>
      </c>
      <c r="I34" s="59">
        <v>65</v>
      </c>
      <c r="J34" s="63"/>
      <c r="K34" s="64"/>
      <c r="L34" s="64">
        <v>61</v>
      </c>
      <c r="M34" s="64"/>
      <c r="N34" s="64"/>
      <c r="O34" s="64"/>
      <c r="P34" s="59"/>
      <c r="Q34" s="64">
        <v>24</v>
      </c>
      <c r="R34" s="64"/>
      <c r="S34" s="59">
        <v>165</v>
      </c>
      <c r="T34" s="64"/>
      <c r="U34" s="64"/>
      <c r="V34" s="64"/>
      <c r="W34" s="59"/>
      <c r="X34" s="59"/>
      <c r="Y34" s="59"/>
      <c r="Z34" s="59">
        <v>39</v>
      </c>
      <c r="AA34" s="64"/>
      <c r="AB34" s="63"/>
    </row>
    <row r="35" ht="20" customHeight="1" spans="1:28">
      <c r="A35" s="39">
        <v>45860</v>
      </c>
      <c r="B35" s="58">
        <v>14229</v>
      </c>
      <c r="C35" s="58">
        <v>13366</v>
      </c>
      <c r="D35" s="58">
        <v>282</v>
      </c>
      <c r="E35" s="11">
        <f t="shared" si="12"/>
        <v>1.98186801602361</v>
      </c>
      <c r="F35" s="10">
        <f t="shared" si="13"/>
        <v>581</v>
      </c>
      <c r="G35" s="11">
        <f t="shared" ref="G35:G40" si="14">F35/B35*100</f>
        <v>4.08321034506993</v>
      </c>
      <c r="H35" s="59">
        <v>63</v>
      </c>
      <c r="I35" s="59">
        <v>56</v>
      </c>
      <c r="J35" s="63"/>
      <c r="K35" s="63"/>
      <c r="L35" s="64">
        <v>23</v>
      </c>
      <c r="M35" s="64"/>
      <c r="N35" s="64"/>
      <c r="O35" s="64"/>
      <c r="P35" s="59">
        <v>42</v>
      </c>
      <c r="Q35" s="64">
        <v>10</v>
      </c>
      <c r="R35" s="64"/>
      <c r="S35" s="59">
        <v>362</v>
      </c>
      <c r="T35" s="64"/>
      <c r="U35" s="64"/>
      <c r="V35" s="64"/>
      <c r="W35" s="59"/>
      <c r="X35" s="59">
        <v>5</v>
      </c>
      <c r="Y35" s="59">
        <v>18</v>
      </c>
      <c r="Z35" s="59">
        <v>2</v>
      </c>
      <c r="AA35" s="64"/>
      <c r="AB35" s="63"/>
    </row>
    <row r="36" ht="20" customHeight="1" spans="1:28">
      <c r="A36" s="39">
        <v>45861</v>
      </c>
      <c r="B36" s="58">
        <v>14278</v>
      </c>
      <c r="C36" s="58">
        <v>13291</v>
      </c>
      <c r="D36" s="58">
        <v>342</v>
      </c>
      <c r="E36" s="11">
        <f t="shared" si="12"/>
        <v>2.39529345846757</v>
      </c>
      <c r="F36" s="10">
        <f t="shared" si="13"/>
        <v>645</v>
      </c>
      <c r="G36" s="11">
        <f t="shared" si="14"/>
        <v>4.51743941728533</v>
      </c>
      <c r="H36" s="59">
        <v>130</v>
      </c>
      <c r="I36" s="59">
        <v>69</v>
      </c>
      <c r="J36" s="63"/>
      <c r="K36" s="63"/>
      <c r="L36" s="64">
        <v>44</v>
      </c>
      <c r="M36" s="64"/>
      <c r="N36" s="64"/>
      <c r="O36" s="64"/>
      <c r="P36" s="59">
        <v>2</v>
      </c>
      <c r="Q36" s="64">
        <v>35</v>
      </c>
      <c r="R36" s="64"/>
      <c r="S36" s="59">
        <v>314</v>
      </c>
      <c r="T36" s="64"/>
      <c r="U36" s="64"/>
      <c r="V36" s="64"/>
      <c r="W36" s="59"/>
      <c r="X36" s="59"/>
      <c r="Y36" s="59">
        <v>30</v>
      </c>
      <c r="Z36" s="59">
        <v>21</v>
      </c>
      <c r="AA36" s="64"/>
      <c r="AB36" s="63"/>
    </row>
    <row r="37" ht="20" customHeight="1" spans="1:28">
      <c r="A37" s="39">
        <v>45862</v>
      </c>
      <c r="B37" s="58">
        <v>15795</v>
      </c>
      <c r="C37" s="58">
        <v>14843</v>
      </c>
      <c r="D37" s="58">
        <v>443</v>
      </c>
      <c r="E37" s="11">
        <f t="shared" si="12"/>
        <v>2.80468502690725</v>
      </c>
      <c r="F37" s="10">
        <f t="shared" si="13"/>
        <v>509</v>
      </c>
      <c r="G37" s="11">
        <f t="shared" si="14"/>
        <v>3.22253877809433</v>
      </c>
      <c r="H37" s="59">
        <v>111</v>
      </c>
      <c r="I37" s="59">
        <v>68</v>
      </c>
      <c r="J37" s="63"/>
      <c r="K37" s="63"/>
      <c r="L37" s="64">
        <v>27</v>
      </c>
      <c r="M37" s="64"/>
      <c r="N37" s="64"/>
      <c r="O37" s="64"/>
      <c r="P37" s="59">
        <v>2</v>
      </c>
      <c r="Q37" s="64">
        <v>1</v>
      </c>
      <c r="R37" s="64"/>
      <c r="S37" s="59">
        <v>280</v>
      </c>
      <c r="T37" s="64"/>
      <c r="U37" s="64"/>
      <c r="V37" s="64"/>
      <c r="W37" s="59"/>
      <c r="X37" s="59"/>
      <c r="Y37" s="59">
        <v>20</v>
      </c>
      <c r="Z37" s="59"/>
      <c r="AA37" s="64"/>
      <c r="AB37" s="63"/>
    </row>
    <row r="38" ht="20" customHeight="1" spans="1:28">
      <c r="A38" s="39">
        <v>45863</v>
      </c>
      <c r="B38" s="58">
        <v>13114</v>
      </c>
      <c r="C38" s="58">
        <v>12280</v>
      </c>
      <c r="D38" s="58">
        <v>273</v>
      </c>
      <c r="E38" s="11">
        <f t="shared" si="12"/>
        <v>2.08174470032027</v>
      </c>
      <c r="F38" s="10">
        <f t="shared" si="13"/>
        <v>561</v>
      </c>
      <c r="G38" s="11">
        <f t="shared" si="14"/>
        <v>4.27787097758121</v>
      </c>
      <c r="H38" s="59">
        <v>93</v>
      </c>
      <c r="I38" s="59">
        <v>62</v>
      </c>
      <c r="J38" s="63"/>
      <c r="K38" s="64"/>
      <c r="L38" s="64"/>
      <c r="M38" s="64"/>
      <c r="N38" s="64"/>
      <c r="O38" s="64"/>
      <c r="P38" s="59">
        <v>10</v>
      </c>
      <c r="Q38" s="64"/>
      <c r="R38" s="64"/>
      <c r="S38" s="59">
        <v>260</v>
      </c>
      <c r="T38" s="64"/>
      <c r="U38" s="64"/>
      <c r="V38" s="64"/>
      <c r="W38" s="59"/>
      <c r="X38" s="59"/>
      <c r="Y38" s="59">
        <v>134</v>
      </c>
      <c r="Z38" s="59">
        <v>2</v>
      </c>
      <c r="AA38" s="64"/>
      <c r="AB38" s="63"/>
    </row>
    <row r="39" ht="20" customHeight="1" spans="1:28">
      <c r="A39" s="39">
        <v>45864</v>
      </c>
      <c r="B39" s="58">
        <v>15077</v>
      </c>
      <c r="C39" s="58">
        <v>13976</v>
      </c>
      <c r="D39" s="58">
        <v>486</v>
      </c>
      <c r="E39" s="11">
        <f t="shared" si="12"/>
        <v>3.22345294156662</v>
      </c>
      <c r="F39" s="10">
        <f t="shared" si="13"/>
        <v>615</v>
      </c>
      <c r="G39" s="11">
        <f t="shared" si="14"/>
        <v>4.07906082111826</v>
      </c>
      <c r="H39" s="59">
        <v>132</v>
      </c>
      <c r="I39" s="59">
        <v>59</v>
      </c>
      <c r="J39" s="63"/>
      <c r="K39" s="64"/>
      <c r="L39" s="64"/>
      <c r="M39" s="64"/>
      <c r="N39" s="64"/>
      <c r="O39" s="64"/>
      <c r="P39" s="59">
        <v>55</v>
      </c>
      <c r="Q39" s="64">
        <v>1</v>
      </c>
      <c r="R39" s="64"/>
      <c r="S39" s="59">
        <v>231</v>
      </c>
      <c r="T39" s="64"/>
      <c r="U39" s="64"/>
      <c r="V39" s="64"/>
      <c r="W39" s="59"/>
      <c r="X39" s="59"/>
      <c r="Y39" s="59">
        <v>129</v>
      </c>
      <c r="Z39" s="59">
        <v>9</v>
      </c>
      <c r="AA39" s="64"/>
      <c r="AB39" s="63"/>
    </row>
    <row r="40" ht="20" customHeight="1" spans="1:28">
      <c r="A40" s="42" t="s">
        <v>40</v>
      </c>
      <c r="B40" s="56">
        <f t="shared" ref="B40:AB40" si="15">SUM(B33:B39)</f>
        <v>83377</v>
      </c>
      <c r="C40" s="56">
        <f t="shared" si="15"/>
        <v>77876</v>
      </c>
      <c r="D40" s="56">
        <f t="shared" si="15"/>
        <v>2166</v>
      </c>
      <c r="E40" s="57" t="e">
        <f t="shared" si="15"/>
        <v>#DIV/0!</v>
      </c>
      <c r="F40" s="56">
        <f t="shared" si="15"/>
        <v>3335</v>
      </c>
      <c r="G40" s="57" t="e">
        <f t="shared" si="15"/>
        <v>#DIV/0!</v>
      </c>
      <c r="H40" s="56">
        <f t="shared" si="15"/>
        <v>599</v>
      </c>
      <c r="I40" s="56">
        <f t="shared" si="15"/>
        <v>379</v>
      </c>
      <c r="J40" s="56">
        <f t="shared" si="15"/>
        <v>0</v>
      </c>
      <c r="K40" s="56">
        <f t="shared" si="15"/>
        <v>0</v>
      </c>
      <c r="L40" s="56">
        <f t="shared" si="15"/>
        <v>155</v>
      </c>
      <c r="M40" s="56">
        <f t="shared" si="15"/>
        <v>0</v>
      </c>
      <c r="N40" s="56">
        <f t="shared" si="15"/>
        <v>0</v>
      </c>
      <c r="O40" s="56">
        <f t="shared" si="15"/>
        <v>0</v>
      </c>
      <c r="P40" s="56">
        <f t="shared" si="15"/>
        <v>111</v>
      </c>
      <c r="Q40" s="56">
        <f t="shared" si="15"/>
        <v>71</v>
      </c>
      <c r="R40" s="56">
        <f t="shared" si="15"/>
        <v>0</v>
      </c>
      <c r="S40" s="56">
        <f t="shared" si="15"/>
        <v>1612</v>
      </c>
      <c r="T40" s="56">
        <f t="shared" si="15"/>
        <v>0</v>
      </c>
      <c r="U40" s="56">
        <f t="shared" si="15"/>
        <v>0</v>
      </c>
      <c r="V40" s="56">
        <f t="shared" si="15"/>
        <v>0</v>
      </c>
      <c r="W40" s="56">
        <f t="shared" si="15"/>
        <v>0</v>
      </c>
      <c r="X40" s="56">
        <f t="shared" si="15"/>
        <v>5</v>
      </c>
      <c r="Y40" s="56">
        <f t="shared" si="15"/>
        <v>331</v>
      </c>
      <c r="Z40" s="56">
        <f t="shared" si="15"/>
        <v>73</v>
      </c>
      <c r="AA40" s="56">
        <f t="shared" si="15"/>
        <v>0</v>
      </c>
      <c r="AB40" s="56">
        <f t="shared" si="15"/>
        <v>0</v>
      </c>
    </row>
    <row r="41" ht="20" customHeight="1" spans="1:29">
      <c r="A41" s="45" t="s">
        <v>84</v>
      </c>
      <c r="B41" s="46"/>
      <c r="C41" s="47">
        <f>C40/$B$40*100</f>
        <v>93.4022572172182</v>
      </c>
      <c r="D41" s="47">
        <f>D40/$B$40*100</f>
        <v>2.59783873250417</v>
      </c>
      <c r="E41" s="47" t="e">
        <f>E40/$B$40*100</f>
        <v>#DIV/0!</v>
      </c>
      <c r="F41" s="47">
        <f>F40/$B$40*100</f>
        <v>3.99990405027765</v>
      </c>
      <c r="G41" s="47" t="e">
        <f>G40/$B$40*100</f>
        <v>#DIV/0!</v>
      </c>
      <c r="H41" s="47">
        <f>H40/$B$40*100</f>
        <v>0.718423546061864</v>
      </c>
      <c r="I41" s="47">
        <f>I40/$B$40*100</f>
        <v>0.454561809611763</v>
      </c>
      <c r="J41" s="47">
        <f>J40/$B$40*100</f>
        <v>0</v>
      </c>
      <c r="K41" s="47">
        <f>K40/$B$40*100</f>
        <v>0</v>
      </c>
      <c r="L41" s="47">
        <f>L40/$B$40*100</f>
        <v>0.185902587044389</v>
      </c>
      <c r="M41" s="47">
        <f>M40/$B$40*100</f>
        <v>0</v>
      </c>
      <c r="N41" s="47">
        <f>N40/$B$40*100</f>
        <v>0</v>
      </c>
      <c r="O41" s="47">
        <f>O40/$B$40*100</f>
        <v>0</v>
      </c>
      <c r="P41" s="47">
        <f>P40/$B$40*100</f>
        <v>0.133130239754369</v>
      </c>
      <c r="Q41" s="47">
        <f>Q40/$B$40*100</f>
        <v>0.0851553785816232</v>
      </c>
      <c r="R41" s="47">
        <f>R40/$B$40*100</f>
        <v>0</v>
      </c>
      <c r="S41" s="47">
        <f>S40/$B$40*100</f>
        <v>1.93338690526164</v>
      </c>
      <c r="T41" s="47">
        <f>T40/$B$40*100</f>
        <v>0</v>
      </c>
      <c r="U41" s="47">
        <f>U40/$B$40*100</f>
        <v>0</v>
      </c>
      <c r="V41" s="47">
        <f>V40/$B$40*100</f>
        <v>0</v>
      </c>
      <c r="W41" s="47">
        <f>W40/$B$40*100</f>
        <v>0</v>
      </c>
      <c r="X41" s="47">
        <f>X40/$B$40*100</f>
        <v>0.00599685764659319</v>
      </c>
      <c r="Y41" s="47">
        <f>Y40/$B$40*100</f>
        <v>0.396991976204469</v>
      </c>
      <c r="Z41" s="47">
        <f>Z40/$B$40*100</f>
        <v>0.0875541216402605</v>
      </c>
      <c r="AA41" s="47">
        <f>AA40/$B$40*100</f>
        <v>0</v>
      </c>
      <c r="AB41" s="47">
        <f>AB40/$B$40*100</f>
        <v>0</v>
      </c>
      <c r="AC41" s="75">
        <f>SUM(H41:AB41)</f>
        <v>4.00110342180697</v>
      </c>
    </row>
    <row r="42" ht="20" customHeight="1" spans="1:28">
      <c r="A42" s="48">
        <v>45865</v>
      </c>
      <c r="B42" s="94"/>
      <c r="C42" s="94"/>
      <c r="D42" s="94"/>
      <c r="E42" s="50" t="e">
        <f>D42/B42*100</f>
        <v>#DIV/0!</v>
      </c>
      <c r="F42" s="49">
        <f>B42-(C42+D42)</f>
        <v>0</v>
      </c>
      <c r="G42" s="50" t="e">
        <f>F42/B42*100</f>
        <v>#DIV/0!</v>
      </c>
      <c r="H42" s="94"/>
      <c r="I42" s="94"/>
      <c r="J42" s="54"/>
      <c r="K42" s="95"/>
      <c r="L42" s="95"/>
      <c r="M42" s="95"/>
      <c r="N42" s="95"/>
      <c r="O42" s="95"/>
      <c r="P42" s="94"/>
      <c r="Q42" s="95"/>
      <c r="R42" s="95"/>
      <c r="S42" s="94"/>
      <c r="T42" s="95"/>
      <c r="U42" s="95"/>
      <c r="V42" s="95"/>
      <c r="W42" s="94"/>
      <c r="X42" s="94"/>
      <c r="Y42" s="94"/>
      <c r="Z42" s="94"/>
      <c r="AA42" s="95"/>
      <c r="AB42" s="54"/>
    </row>
    <row r="43" ht="20" customHeight="1" spans="1:29">
      <c r="A43" s="39">
        <v>45866</v>
      </c>
      <c r="B43" s="87">
        <v>11225</v>
      </c>
      <c r="C43" s="87">
        <v>10388</v>
      </c>
      <c r="D43" s="87">
        <v>255</v>
      </c>
      <c r="E43" s="11">
        <f>D43/B43*100</f>
        <v>2.271714922049</v>
      </c>
      <c r="F43" s="88">
        <f>B43-(C43+D43)</f>
        <v>582</v>
      </c>
      <c r="G43" s="89">
        <f>F43/B43*100</f>
        <v>5.18485523385301</v>
      </c>
      <c r="H43" s="90">
        <v>95</v>
      </c>
      <c r="I43" s="90">
        <v>95</v>
      </c>
      <c r="J43" s="91"/>
      <c r="K43" s="91"/>
      <c r="L43" s="91"/>
      <c r="M43" s="91"/>
      <c r="N43" s="91"/>
      <c r="O43" s="91"/>
      <c r="P43" s="90">
        <v>130</v>
      </c>
      <c r="Q43" s="91">
        <v>44</v>
      </c>
      <c r="R43" s="91"/>
      <c r="S43" s="90">
        <v>220</v>
      </c>
      <c r="T43" s="91"/>
      <c r="U43" s="91"/>
      <c r="V43" s="91"/>
      <c r="W43" s="90"/>
      <c r="X43" s="90"/>
      <c r="Y43" s="90"/>
      <c r="Z43" s="90">
        <v>38</v>
      </c>
      <c r="AA43" s="91"/>
      <c r="AB43" s="63"/>
      <c r="AC43" s="17"/>
    </row>
    <row r="44" ht="20" customHeight="1" spans="1:28">
      <c r="A44" s="39">
        <v>45867</v>
      </c>
      <c r="B44" s="87">
        <v>13015</v>
      </c>
      <c r="C44" s="87">
        <v>11973</v>
      </c>
      <c r="D44" s="87">
        <v>722</v>
      </c>
      <c r="E44" s="11">
        <f>D44/B44*100</f>
        <v>5.54744525547445</v>
      </c>
      <c r="F44" s="88">
        <f>B44-(C44+D44)</f>
        <v>320</v>
      </c>
      <c r="G44" s="89">
        <f>F44/B44*100</f>
        <v>2.45870149827123</v>
      </c>
      <c r="H44" s="90">
        <v>77</v>
      </c>
      <c r="I44" s="90">
        <v>56</v>
      </c>
      <c r="J44" s="91"/>
      <c r="K44" s="91"/>
      <c r="L44" s="91">
        <v>4</v>
      </c>
      <c r="M44" s="91"/>
      <c r="N44" s="91"/>
      <c r="O44" s="91">
        <v>8</v>
      </c>
      <c r="P44" s="90">
        <v>24</v>
      </c>
      <c r="Q44" s="91">
        <v>4</v>
      </c>
      <c r="R44" s="91"/>
      <c r="S44" s="90">
        <v>34</v>
      </c>
      <c r="T44" s="91"/>
      <c r="U44" s="91"/>
      <c r="V44" s="91"/>
      <c r="W44" s="90"/>
      <c r="X44" s="90"/>
      <c r="Y44" s="90">
        <v>108</v>
      </c>
      <c r="Z44" s="90">
        <v>5</v>
      </c>
      <c r="AA44" s="91"/>
      <c r="AB44" s="63"/>
    </row>
    <row r="45" ht="20" customHeight="1" spans="1:28">
      <c r="A45" s="39">
        <v>45868</v>
      </c>
      <c r="B45" s="87">
        <v>13137</v>
      </c>
      <c r="C45" s="87">
        <v>12242</v>
      </c>
      <c r="D45" s="87">
        <v>317</v>
      </c>
      <c r="E45" s="11">
        <f>D45/B45*100</f>
        <v>2.4130318946487</v>
      </c>
      <c r="F45" s="88">
        <f>B45-(C45+D45)</f>
        <v>578</v>
      </c>
      <c r="G45" s="89">
        <f>F45/B45*100</f>
        <v>4.39978686153612</v>
      </c>
      <c r="H45" s="90">
        <v>27</v>
      </c>
      <c r="I45" s="90">
        <v>71</v>
      </c>
      <c r="J45" s="91"/>
      <c r="K45" s="91"/>
      <c r="L45" s="91">
        <v>25</v>
      </c>
      <c r="M45" s="91"/>
      <c r="N45" s="91"/>
      <c r="O45" s="91"/>
      <c r="P45" s="90">
        <v>25</v>
      </c>
      <c r="Q45" s="91">
        <v>18</v>
      </c>
      <c r="R45" s="91"/>
      <c r="S45" s="90">
        <v>387</v>
      </c>
      <c r="T45" s="91"/>
      <c r="U45" s="91"/>
      <c r="V45" s="91"/>
      <c r="W45" s="90"/>
      <c r="X45" s="90"/>
      <c r="Y45" s="90">
        <v>27</v>
      </c>
      <c r="Z45" s="90"/>
      <c r="AA45" s="91"/>
      <c r="AB45" s="63"/>
    </row>
    <row r="46" ht="20" customHeight="1" spans="1:28">
      <c r="A46" s="39">
        <v>45869</v>
      </c>
      <c r="B46" s="58">
        <v>13642</v>
      </c>
      <c r="C46" s="58">
        <v>12822</v>
      </c>
      <c r="D46" s="58">
        <v>279</v>
      </c>
      <c r="E46" s="11">
        <f>D46/B46*100</f>
        <v>2.04515466940331</v>
      </c>
      <c r="F46" s="88">
        <f>B46-(C46+D46)</f>
        <v>541</v>
      </c>
      <c r="G46" s="89">
        <f>F46/B46*100</f>
        <v>3.96569417973904</v>
      </c>
      <c r="H46" s="59">
        <v>110</v>
      </c>
      <c r="I46" s="59">
        <v>84</v>
      </c>
      <c r="J46" s="64"/>
      <c r="K46" s="64"/>
      <c r="L46" s="64"/>
      <c r="M46" s="64"/>
      <c r="N46" s="64"/>
      <c r="O46" s="64"/>
      <c r="P46" s="59">
        <v>26</v>
      </c>
      <c r="Q46" s="64"/>
      <c r="R46" s="64"/>
      <c r="S46" s="59">
        <v>187</v>
      </c>
      <c r="T46" s="64"/>
      <c r="U46" s="64"/>
      <c r="V46" s="64"/>
      <c r="W46" s="59"/>
      <c r="X46" s="59"/>
      <c r="Y46" s="59">
        <v>10</v>
      </c>
      <c r="Z46" s="59">
        <v>124</v>
      </c>
      <c r="AA46" s="64"/>
      <c r="AB46" s="63"/>
    </row>
    <row r="47" ht="22" customHeight="1" spans="1:28">
      <c r="A47" s="42" t="s">
        <v>40</v>
      </c>
      <c r="B47" s="56">
        <f>SUM(B42:B46)</f>
        <v>51019</v>
      </c>
      <c r="C47" s="56">
        <f t="shared" ref="B47:AB47" si="16">SUM(C42:C46)</f>
        <v>47425</v>
      </c>
      <c r="D47" s="56">
        <f t="shared" si="16"/>
        <v>1573</v>
      </c>
      <c r="E47" s="57" t="e">
        <f t="shared" si="16"/>
        <v>#DIV/0!</v>
      </c>
      <c r="F47" s="56">
        <f t="shared" si="16"/>
        <v>2021</v>
      </c>
      <c r="G47" s="57" t="e">
        <f t="shared" si="16"/>
        <v>#DIV/0!</v>
      </c>
      <c r="H47" s="56">
        <f t="shared" si="16"/>
        <v>309</v>
      </c>
      <c r="I47" s="56">
        <f t="shared" si="16"/>
        <v>306</v>
      </c>
      <c r="J47" s="56">
        <f t="shared" si="16"/>
        <v>0</v>
      </c>
      <c r="K47" s="56">
        <f t="shared" si="16"/>
        <v>0</v>
      </c>
      <c r="L47" s="56">
        <f t="shared" si="16"/>
        <v>29</v>
      </c>
      <c r="M47" s="56">
        <f t="shared" si="16"/>
        <v>0</v>
      </c>
      <c r="N47" s="56">
        <f t="shared" si="16"/>
        <v>0</v>
      </c>
      <c r="O47" s="56">
        <f t="shared" si="16"/>
        <v>8</v>
      </c>
      <c r="P47" s="56">
        <f t="shared" si="16"/>
        <v>205</v>
      </c>
      <c r="Q47" s="56">
        <f t="shared" si="16"/>
        <v>66</v>
      </c>
      <c r="R47" s="56">
        <f t="shared" si="16"/>
        <v>0</v>
      </c>
      <c r="S47" s="56">
        <f t="shared" si="16"/>
        <v>828</v>
      </c>
      <c r="T47" s="56">
        <f t="shared" si="16"/>
        <v>0</v>
      </c>
      <c r="U47" s="56">
        <f t="shared" si="16"/>
        <v>0</v>
      </c>
      <c r="V47" s="56">
        <f t="shared" si="16"/>
        <v>0</v>
      </c>
      <c r="W47" s="56">
        <f t="shared" si="16"/>
        <v>0</v>
      </c>
      <c r="X47" s="56">
        <f t="shared" si="16"/>
        <v>0</v>
      </c>
      <c r="Y47" s="56">
        <f t="shared" si="16"/>
        <v>145</v>
      </c>
      <c r="Z47" s="56">
        <f t="shared" si="16"/>
        <v>167</v>
      </c>
      <c r="AA47" s="56">
        <f t="shared" si="16"/>
        <v>0</v>
      </c>
      <c r="AB47" s="56">
        <f t="shared" si="16"/>
        <v>0</v>
      </c>
    </row>
    <row r="48" ht="22" customHeight="1" spans="1:28">
      <c r="A48" s="45" t="s">
        <v>84</v>
      </c>
      <c r="B48" s="46"/>
      <c r="C48" s="47">
        <f>C47/$B$47*100</f>
        <v>92.9555655736098</v>
      </c>
      <c r="D48" s="47">
        <f>D47/$B$47*100</f>
        <v>3.08316509535663</v>
      </c>
      <c r="E48" s="47" t="e">
        <f>E47/$B$47*100</f>
        <v>#DIV/0!</v>
      </c>
      <c r="F48" s="47">
        <f>F47/$B$47*100</f>
        <v>3.96126933103354</v>
      </c>
      <c r="G48" s="47" t="e">
        <f>G47/$B$47*100</f>
        <v>#DIV/0!</v>
      </c>
      <c r="H48" s="47">
        <f>H47/$B$47*100</f>
        <v>0.605656716125365</v>
      </c>
      <c r="I48" s="47">
        <f>I47/$B$47*100</f>
        <v>0.599776553832886</v>
      </c>
      <c r="J48" s="47">
        <f>J47/$B$47*100</f>
        <v>0</v>
      </c>
      <c r="K48" s="47">
        <f>K47/$B$47*100</f>
        <v>0</v>
      </c>
      <c r="L48" s="47">
        <f>L47/$B$47*100</f>
        <v>0.0568415688272996</v>
      </c>
      <c r="M48" s="47">
        <f>M47/$B$47*100</f>
        <v>0</v>
      </c>
      <c r="N48" s="47">
        <f>N47/$B$47*100</f>
        <v>0</v>
      </c>
      <c r="O48" s="47">
        <f>O47/$B$47*100</f>
        <v>0.0156804327799447</v>
      </c>
      <c r="P48" s="47">
        <f>P47/$B$47*100</f>
        <v>0.401811089986084</v>
      </c>
      <c r="Q48" s="47">
        <f>Q47/$B$47*100</f>
        <v>0.129363570434544</v>
      </c>
      <c r="R48" s="47">
        <f>R47/$B$47*100</f>
        <v>0</v>
      </c>
      <c r="S48" s="47">
        <f>S47/$B$47*100</f>
        <v>1.62292479272428</v>
      </c>
      <c r="T48" s="47">
        <f>T47/$B$47*100</f>
        <v>0</v>
      </c>
      <c r="U48" s="47">
        <f>U47/$B$47*100</f>
        <v>0</v>
      </c>
      <c r="V48" s="47">
        <f>V47/$B$47*100</f>
        <v>0</v>
      </c>
      <c r="W48" s="47">
        <f>W47/$B$47*100</f>
        <v>0</v>
      </c>
      <c r="X48" s="47">
        <f>X47/$B$47*100</f>
        <v>0</v>
      </c>
      <c r="Y48" s="47">
        <f>Y47/$B$47*100</f>
        <v>0.284207844136498</v>
      </c>
      <c r="Z48" s="47">
        <f>Z47/$B$47*100</f>
        <v>0.327329034281346</v>
      </c>
      <c r="AA48" s="47">
        <f>AA47/$B$47*100</f>
        <v>0</v>
      </c>
      <c r="AB48" s="47">
        <f>AB47/$B$47*100</f>
        <v>0</v>
      </c>
    </row>
    <row r="49" ht="36" customHeight="1" spans="1:28">
      <c r="A49" s="12" t="s">
        <v>40</v>
      </c>
      <c r="B49" s="13">
        <f>B13+B47+B40+B31+B22</f>
        <v>327463</v>
      </c>
      <c r="C49" s="13">
        <f t="shared" ref="C49:AB49" si="17">C13+C47+C40+C31+C22</f>
        <v>299311</v>
      </c>
      <c r="D49" s="13">
        <f t="shared" si="17"/>
        <v>9798</v>
      </c>
      <c r="E49" s="13" t="e">
        <f t="shared" si="17"/>
        <v>#DIV/0!</v>
      </c>
      <c r="F49" s="13">
        <f t="shared" si="17"/>
        <v>18354</v>
      </c>
      <c r="G49" s="14">
        <f>F49/B49*100</f>
        <v>5.60490803541163</v>
      </c>
      <c r="H49" s="13">
        <f t="shared" si="17"/>
        <v>3437</v>
      </c>
      <c r="I49" s="13">
        <f t="shared" si="17"/>
        <v>2511</v>
      </c>
      <c r="J49" s="13">
        <f t="shared" si="17"/>
        <v>0</v>
      </c>
      <c r="K49" s="13">
        <f t="shared" si="17"/>
        <v>0</v>
      </c>
      <c r="L49" s="13">
        <f t="shared" si="17"/>
        <v>1532</v>
      </c>
      <c r="M49" s="13">
        <f t="shared" si="17"/>
        <v>6</v>
      </c>
      <c r="N49" s="13">
        <f t="shared" si="17"/>
        <v>0</v>
      </c>
      <c r="O49" s="13">
        <f t="shared" si="17"/>
        <v>8</v>
      </c>
      <c r="P49" s="13">
        <f t="shared" si="17"/>
        <v>865</v>
      </c>
      <c r="Q49" s="13">
        <f t="shared" si="17"/>
        <v>1013</v>
      </c>
      <c r="R49" s="13">
        <f t="shared" si="17"/>
        <v>0</v>
      </c>
      <c r="S49" s="13">
        <f t="shared" si="17"/>
        <v>7746</v>
      </c>
      <c r="T49" s="13">
        <f t="shared" si="17"/>
        <v>13</v>
      </c>
      <c r="U49" s="13">
        <f t="shared" si="17"/>
        <v>0</v>
      </c>
      <c r="V49" s="13">
        <f t="shared" si="17"/>
        <v>0</v>
      </c>
      <c r="W49" s="13">
        <f t="shared" si="17"/>
        <v>0</v>
      </c>
      <c r="X49" s="13">
        <f t="shared" si="17"/>
        <v>199</v>
      </c>
      <c r="Y49" s="13">
        <f t="shared" si="17"/>
        <v>504</v>
      </c>
      <c r="Z49" s="13">
        <f t="shared" si="17"/>
        <v>544</v>
      </c>
      <c r="AA49" s="13">
        <f t="shared" si="17"/>
        <v>0</v>
      </c>
      <c r="AB49" s="13">
        <f t="shared" si="17"/>
        <v>0</v>
      </c>
    </row>
    <row r="50" ht="45" customHeight="1" spans="1:28">
      <c r="A50" s="17"/>
      <c r="B50" s="17"/>
      <c r="C50" s="11">
        <f>C49/B49*100</f>
        <v>91.4029982013235</v>
      </c>
      <c r="D50" s="11">
        <f>D49/B49*100</f>
        <v>2.99209376326486</v>
      </c>
      <c r="E50" s="11"/>
      <c r="F50" s="11">
        <f>F49/B49*100</f>
        <v>5.60490803541163</v>
      </c>
      <c r="G50" s="60" t="s">
        <v>86</v>
      </c>
      <c r="H50" s="11">
        <f>H49/B49*100</f>
        <v>1.04958422783643</v>
      </c>
      <c r="I50" s="11">
        <f>I49/B49*100</f>
        <v>0.766804188564815</v>
      </c>
      <c r="J50" s="11"/>
      <c r="K50" s="11"/>
      <c r="L50" s="11">
        <f>L49/$B$49*100</f>
        <v>0.467839114648067</v>
      </c>
      <c r="M50" s="11">
        <f>M49/$B$49*100</f>
        <v>0.00183226807303421</v>
      </c>
      <c r="N50" s="11">
        <f>N49/$B$49*100</f>
        <v>0</v>
      </c>
      <c r="O50" s="11">
        <f>O49/$B$49*100</f>
        <v>0.00244302409737894</v>
      </c>
      <c r="P50" s="11">
        <f>P49/$B$49*100</f>
        <v>0.264151980529098</v>
      </c>
      <c r="Q50" s="11">
        <f>Q49/$B$49*100</f>
        <v>0.309347926330608</v>
      </c>
      <c r="R50" s="11"/>
      <c r="S50" s="11">
        <f>S49/$B$49*100</f>
        <v>2.36545808228716</v>
      </c>
      <c r="T50" s="11">
        <f>T49/$B$49*100</f>
        <v>0.00396991415824078</v>
      </c>
      <c r="U50" s="11">
        <f>U49/$B$49*100</f>
        <v>0</v>
      </c>
      <c r="V50" s="11">
        <f>V49/$B$49*100</f>
        <v>0</v>
      </c>
      <c r="W50" s="11">
        <f>W49/$B$49*100</f>
        <v>0</v>
      </c>
      <c r="X50" s="11">
        <f>X49/$B$49*100</f>
        <v>0.0607702244223012</v>
      </c>
      <c r="Y50" s="11">
        <f>Y49/B49*100</f>
        <v>0.153910518134873</v>
      </c>
      <c r="Z50" s="11">
        <f>Z49/B49*100</f>
        <v>0.166125638621768</v>
      </c>
      <c r="AA50" s="11"/>
      <c r="AB50" s="11"/>
    </row>
    <row r="51" ht="22" customHeight="1" spans="7:30">
      <c r="G51" s="61" t="s">
        <v>87</v>
      </c>
      <c r="H51" s="62">
        <v>0.5</v>
      </c>
      <c r="I51" s="62">
        <v>0.7</v>
      </c>
      <c r="J51" s="62">
        <v>0.1</v>
      </c>
      <c r="K51" s="62">
        <v>0.1</v>
      </c>
      <c r="L51" s="62">
        <v>0.7</v>
      </c>
      <c r="M51" s="62">
        <v>0.1</v>
      </c>
      <c r="N51" s="62">
        <v>0.1</v>
      </c>
      <c r="O51" s="62">
        <v>0.1</v>
      </c>
      <c r="P51" s="62">
        <v>0.3</v>
      </c>
      <c r="Q51" s="62">
        <v>0.1</v>
      </c>
      <c r="R51" s="62">
        <v>0.1</v>
      </c>
      <c r="S51" s="62">
        <v>1</v>
      </c>
      <c r="T51" s="62">
        <v>0.1</v>
      </c>
      <c r="U51" s="62">
        <v>0.1</v>
      </c>
      <c r="V51" s="62">
        <v>0.1</v>
      </c>
      <c r="W51" s="62">
        <v>0.1</v>
      </c>
      <c r="X51" s="62">
        <v>0.1</v>
      </c>
      <c r="Y51" s="62">
        <v>0.3</v>
      </c>
      <c r="Z51" s="62">
        <v>0.1</v>
      </c>
      <c r="AA51" s="62">
        <v>0.1</v>
      </c>
      <c r="AB51" s="62">
        <v>0.1</v>
      </c>
      <c r="AC51" s="74">
        <f>SUM(H51:AB51)</f>
        <v>5</v>
      </c>
      <c r="AD51" s="75">
        <f>SUM(H50:AB50)</f>
        <v>5.61223710770377</v>
      </c>
    </row>
    <row r="52" ht="21" customHeight="1" spans="7:28">
      <c r="G52" s="18" t="s">
        <v>88</v>
      </c>
      <c r="H52" s="11">
        <f t="shared" ref="H52:AB52" si="18">H51-H50</f>
        <v>-0.549584227836427</v>
      </c>
      <c r="I52" s="11">
        <f t="shared" si="18"/>
        <v>-0.0668041885648151</v>
      </c>
      <c r="J52" s="11">
        <f t="shared" si="18"/>
        <v>0.1</v>
      </c>
      <c r="K52" s="11">
        <f t="shared" si="18"/>
        <v>0.1</v>
      </c>
      <c r="L52" s="11">
        <f t="shared" si="18"/>
        <v>0.232160885351933</v>
      </c>
      <c r="M52" s="11">
        <f t="shared" si="18"/>
        <v>0.0981677319269658</v>
      </c>
      <c r="N52" s="11">
        <f t="shared" si="18"/>
        <v>0.1</v>
      </c>
      <c r="O52" s="11">
        <f t="shared" si="18"/>
        <v>0.0975569759026211</v>
      </c>
      <c r="P52" s="11">
        <f t="shared" si="18"/>
        <v>0.035848019470902</v>
      </c>
      <c r="Q52" s="11">
        <f t="shared" si="18"/>
        <v>-0.209347926330608</v>
      </c>
      <c r="R52" s="11">
        <f t="shared" si="18"/>
        <v>0.1</v>
      </c>
      <c r="S52" s="11">
        <f t="shared" si="18"/>
        <v>-1.36545808228716</v>
      </c>
      <c r="T52" s="11">
        <f t="shared" si="18"/>
        <v>0.0960300858417592</v>
      </c>
      <c r="U52" s="11">
        <f t="shared" si="18"/>
        <v>0.1</v>
      </c>
      <c r="V52" s="11">
        <f t="shared" si="18"/>
        <v>0.1</v>
      </c>
      <c r="W52" s="11">
        <f t="shared" si="18"/>
        <v>0.1</v>
      </c>
      <c r="X52" s="11">
        <f t="shared" si="18"/>
        <v>0.0392297755776989</v>
      </c>
      <c r="Y52" s="11">
        <f t="shared" si="18"/>
        <v>0.146089481865127</v>
      </c>
      <c r="Z52" s="11">
        <f t="shared" si="18"/>
        <v>-0.066125638621768</v>
      </c>
      <c r="AA52" s="11">
        <f t="shared" si="18"/>
        <v>0.1</v>
      </c>
      <c r="AB52" s="11">
        <f t="shared" si="18"/>
        <v>0.1</v>
      </c>
    </row>
    <row r="53" spans="8:28"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</row>
  </sheetData>
  <mergeCells count="18">
    <mergeCell ref="X1:Z1"/>
    <mergeCell ref="AA1:AB1"/>
    <mergeCell ref="X2:Z2"/>
    <mergeCell ref="AA2:AB2"/>
    <mergeCell ref="X3:Z3"/>
    <mergeCell ref="AA3:AB3"/>
    <mergeCell ref="B4:W4"/>
    <mergeCell ref="X4:AB4"/>
    <mergeCell ref="H5:AB5"/>
    <mergeCell ref="A1:A4"/>
    <mergeCell ref="A5:A7"/>
    <mergeCell ref="B5:B7"/>
    <mergeCell ref="C5:C7"/>
    <mergeCell ref="D5:D7"/>
    <mergeCell ref="E5:E7"/>
    <mergeCell ref="F5:F7"/>
    <mergeCell ref="G5:G7"/>
    <mergeCell ref="B1:W3"/>
  </mergeCells>
  <conditionalFormatting sqref="H50">
    <cfRule type="cellIs" dxfId="0" priority="16" operator="lessThan">
      <formula>$H$51</formula>
    </cfRule>
    <cfRule type="cellIs" dxfId="1" priority="17" operator="greaterThan">
      <formula>$H$51</formula>
    </cfRule>
  </conditionalFormatting>
  <conditionalFormatting sqref="I50">
    <cfRule type="cellIs" dxfId="0" priority="14" operator="lessThan">
      <formula>$I$51</formula>
    </cfRule>
    <cfRule type="cellIs" dxfId="1" priority="15" operator="greaterThan">
      <formula>$I$51</formula>
    </cfRule>
  </conditionalFormatting>
  <conditionalFormatting sqref="L50:O50">
    <cfRule type="cellIs" dxfId="0" priority="12" operator="lessThan">
      <formula>$L$51</formula>
    </cfRule>
    <cfRule type="cellIs" dxfId="1" priority="13" operator="greaterThan">
      <formula>$L$51</formula>
    </cfRule>
  </conditionalFormatting>
  <conditionalFormatting sqref="P50:Q50">
    <cfRule type="cellIs" dxfId="0" priority="10" operator="lessThan">
      <formula>$P$51</formula>
    </cfRule>
    <cfRule type="cellIs" dxfId="1" priority="11" operator="greaterThan">
      <formula>$P$51</formula>
    </cfRule>
  </conditionalFormatting>
  <conditionalFormatting sqref="S50:X50">
    <cfRule type="cellIs" dxfId="0" priority="8" operator="lessThan">
      <formula>$S$51</formula>
    </cfRule>
    <cfRule type="cellIs" dxfId="1" priority="9" operator="greaterThan">
      <formula>$S$51</formula>
    </cfRule>
  </conditionalFormatting>
  <conditionalFormatting sqref="Y50">
    <cfRule type="cellIs" dxfId="0" priority="6" operator="lessThan">
      <formula>$Y$51</formula>
    </cfRule>
    <cfRule type="cellIs" dxfId="1" priority="7" operator="greaterThan">
      <formula>$Y$51</formula>
    </cfRule>
  </conditionalFormatting>
  <conditionalFormatting sqref="Z50">
    <cfRule type="cellIs" dxfId="0" priority="4" operator="lessThan">
      <formula>$Z$51</formula>
    </cfRule>
    <cfRule type="cellIs" dxfId="1" priority="5" operator="greaterThan">
      <formula>$Z$51</formula>
    </cfRule>
  </conditionalFormatting>
  <conditionalFormatting sqref="H52">
    <cfRule type="cellIs" dxfId="1" priority="3" operator="lessThan">
      <formula>0</formula>
    </cfRule>
  </conditionalFormatting>
  <conditionalFormatting sqref="H52:AB52">
    <cfRule type="cellIs" dxfId="3" priority="1" operator="greaterThan">
      <formula>0</formula>
    </cfRule>
    <cfRule type="cellIs" dxfId="2" priority="2" operator="lessThan">
      <formula>0</formula>
    </cfRule>
  </conditionalFormatting>
  <pageMargins left="0.251388888888889" right="0.251388888888889" top="0.197222222222222" bottom="0.251388888888889" header="0.298611111111111" footer="0.298611111111111"/>
  <pageSetup paperSize="9" scale="54" orientation="landscape" horizontalDpi="600"/>
  <headerFooter/>
  <ignoredErrors>
    <ignoredError sqref="G33 E33" evalError="1" emptyCellReference="1"/>
    <ignoredError sqref="C31:AB31 E33:F33" emptyCellReference="1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F53"/>
  <sheetViews>
    <sheetView zoomScale="85" zoomScaleNormal="85" zoomScalePageLayoutView="85" workbookViewId="0">
      <pane xSplit="1" ySplit="7" topLeftCell="B21" activePane="bottomRight" state="frozen"/>
      <selection/>
      <selection pane="topRight"/>
      <selection pane="bottomLeft"/>
      <selection pane="bottomRight" activeCell="AF39" sqref="AF39"/>
    </sheetView>
  </sheetViews>
  <sheetFormatPr defaultColWidth="9.14285714285714" defaultRowHeight="15"/>
  <cols>
    <col min="1" max="1" width="13.7142857142857" customWidth="1"/>
    <col min="2" max="7" width="10.952380952381" customWidth="1"/>
    <col min="8" max="28" width="8.71428571428571" customWidth="1"/>
    <col min="29" max="29" width="9.14285714285714" style="25"/>
  </cols>
  <sheetData>
    <row r="1" ht="20" customHeight="1" spans="1:28">
      <c r="A1" s="1"/>
      <c r="B1" s="76" t="s">
        <v>82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20" t="s">
        <v>83</v>
      </c>
      <c r="Y1" s="20"/>
      <c r="Z1" s="20"/>
      <c r="AA1" s="21" t="s">
        <v>77</v>
      </c>
      <c r="AB1" s="21"/>
    </row>
    <row r="2" ht="15.75" spans="1:28">
      <c r="A2" s="1"/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20" t="s">
        <v>91</v>
      </c>
      <c r="Y2" s="20"/>
      <c r="Z2" s="20"/>
      <c r="AA2" s="167" t="s">
        <v>89</v>
      </c>
      <c r="AB2" s="21"/>
    </row>
    <row r="3" ht="22" customHeight="1" spans="1:28">
      <c r="A3" s="1"/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20" t="s">
        <v>79</v>
      </c>
      <c r="Y3" s="20"/>
      <c r="Z3" s="20"/>
      <c r="AA3" s="22">
        <v>45607</v>
      </c>
      <c r="AB3" s="21"/>
    </row>
    <row r="4" ht="23.25" spans="1:28">
      <c r="A4" s="1"/>
      <c r="B4" s="78" t="s">
        <v>80</v>
      </c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1" t="s">
        <v>8</v>
      </c>
      <c r="Y4" s="1"/>
      <c r="Z4" s="1"/>
      <c r="AA4" s="1"/>
      <c r="AB4" s="1"/>
    </row>
    <row r="5" spans="1:28">
      <c r="A5" s="34" t="s">
        <v>81</v>
      </c>
      <c r="B5" s="34" t="s">
        <v>12</v>
      </c>
      <c r="C5" s="35" t="s">
        <v>13</v>
      </c>
      <c r="D5" s="35" t="s">
        <v>14</v>
      </c>
      <c r="E5" s="36" t="s">
        <v>90</v>
      </c>
      <c r="F5" s="35" t="s">
        <v>16</v>
      </c>
      <c r="G5" s="34" t="s">
        <v>17</v>
      </c>
      <c r="H5" s="34" t="s">
        <v>18</v>
      </c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</row>
    <row r="6" spans="1:28">
      <c r="A6" s="34"/>
      <c r="B6" s="34"/>
      <c r="C6" s="35"/>
      <c r="D6" s="35"/>
      <c r="E6" s="37"/>
      <c r="F6" s="35"/>
      <c r="G6" s="34"/>
      <c r="H6" s="34">
        <v>1</v>
      </c>
      <c r="I6" s="34">
        <v>2</v>
      </c>
      <c r="J6" s="34">
        <v>3</v>
      </c>
      <c r="K6" s="34">
        <v>4</v>
      </c>
      <c r="L6" s="34">
        <v>5</v>
      </c>
      <c r="M6" s="34">
        <v>6</v>
      </c>
      <c r="N6" s="34">
        <v>7</v>
      </c>
      <c r="O6" s="34">
        <v>8</v>
      </c>
      <c r="P6" s="34">
        <v>9</v>
      </c>
      <c r="Q6" s="34">
        <v>10</v>
      </c>
      <c r="R6" s="34">
        <v>11</v>
      </c>
      <c r="S6" s="34">
        <v>12</v>
      </c>
      <c r="T6" s="34">
        <v>13</v>
      </c>
      <c r="U6" s="34">
        <v>14</v>
      </c>
      <c r="V6" s="34">
        <v>15</v>
      </c>
      <c r="W6" s="34">
        <v>16</v>
      </c>
      <c r="X6" s="34">
        <v>17</v>
      </c>
      <c r="Y6" s="34">
        <v>18</v>
      </c>
      <c r="Z6" s="34">
        <v>19</v>
      </c>
      <c r="AA6" s="34">
        <v>20</v>
      </c>
      <c r="AB6" s="34">
        <v>21</v>
      </c>
    </row>
    <row r="7" spans="1:28">
      <c r="A7" s="34"/>
      <c r="B7" s="34"/>
      <c r="C7" s="35"/>
      <c r="D7" s="35"/>
      <c r="E7" s="38"/>
      <c r="F7" s="35"/>
      <c r="G7" s="34"/>
      <c r="H7" s="34" t="s">
        <v>19</v>
      </c>
      <c r="I7" s="34" t="s">
        <v>20</v>
      </c>
      <c r="J7" s="34" t="s">
        <v>21</v>
      </c>
      <c r="K7" s="34" t="s">
        <v>22</v>
      </c>
      <c r="L7" s="34" t="s">
        <v>23</v>
      </c>
      <c r="M7" s="34" t="s">
        <v>24</v>
      </c>
      <c r="N7" s="34" t="s">
        <v>25</v>
      </c>
      <c r="O7" s="34" t="s">
        <v>26</v>
      </c>
      <c r="P7" s="34" t="s">
        <v>27</v>
      </c>
      <c r="Q7" s="34" t="s">
        <v>28</v>
      </c>
      <c r="R7" s="34" t="s">
        <v>29</v>
      </c>
      <c r="S7" s="34" t="s">
        <v>30</v>
      </c>
      <c r="T7" s="34" t="s">
        <v>31</v>
      </c>
      <c r="U7" s="34" t="s">
        <v>32</v>
      </c>
      <c r="V7" s="34" t="s">
        <v>33</v>
      </c>
      <c r="W7" s="34" t="s">
        <v>34</v>
      </c>
      <c r="X7" s="34" t="s">
        <v>35</v>
      </c>
      <c r="Y7" s="34" t="s">
        <v>36</v>
      </c>
      <c r="Z7" s="34" t="s">
        <v>37</v>
      </c>
      <c r="AA7" s="34" t="s">
        <v>38</v>
      </c>
      <c r="AB7" s="34" t="s">
        <v>39</v>
      </c>
    </row>
    <row r="8" ht="20" customHeight="1" spans="1:28">
      <c r="A8" s="39">
        <v>45870</v>
      </c>
      <c r="B8" s="10">
        <v>14352</v>
      </c>
      <c r="C8" s="10">
        <v>13483</v>
      </c>
      <c r="D8" s="10">
        <v>412</v>
      </c>
      <c r="E8" s="11">
        <f>D8/B8*100</f>
        <v>2.87068004459309</v>
      </c>
      <c r="F8" s="10">
        <f>B8-(C8+D8)</f>
        <v>457</v>
      </c>
      <c r="G8" s="11">
        <f>F8/B8*100</f>
        <v>3.18422519509476</v>
      </c>
      <c r="H8" s="10">
        <v>80</v>
      </c>
      <c r="I8" s="10">
        <v>41</v>
      </c>
      <c r="J8" s="10"/>
      <c r="K8" s="10"/>
      <c r="L8" s="10"/>
      <c r="M8" s="10"/>
      <c r="N8" s="10"/>
      <c r="O8" s="10"/>
      <c r="P8" s="10">
        <v>48</v>
      </c>
      <c r="Q8" s="10">
        <v>2</v>
      </c>
      <c r="R8" s="10"/>
      <c r="S8" s="10">
        <v>183</v>
      </c>
      <c r="T8" s="10"/>
      <c r="U8" s="10"/>
      <c r="V8" s="10"/>
      <c r="W8" s="10"/>
      <c r="X8" s="10">
        <v>2</v>
      </c>
      <c r="Y8" s="10">
        <v>10</v>
      </c>
      <c r="Z8" s="10">
        <v>71</v>
      </c>
      <c r="AA8" s="10"/>
      <c r="AB8" s="10"/>
    </row>
    <row r="9" ht="20" customHeight="1" spans="1:28">
      <c r="A9" s="39">
        <v>45871</v>
      </c>
      <c r="B9" s="10">
        <v>11884</v>
      </c>
      <c r="C9" s="10">
        <v>11771</v>
      </c>
      <c r="D9" s="10">
        <v>231</v>
      </c>
      <c r="E9" s="11">
        <f>D9/B9*100</f>
        <v>1.94378996970717</v>
      </c>
      <c r="F9" s="10">
        <v>423</v>
      </c>
      <c r="G9" s="11">
        <f>F9/B9*100</f>
        <v>3.55940760686637</v>
      </c>
      <c r="H9" s="10">
        <v>78</v>
      </c>
      <c r="I9" s="10">
        <v>71</v>
      </c>
      <c r="J9" s="10"/>
      <c r="K9" s="10"/>
      <c r="L9" s="10">
        <v>5</v>
      </c>
      <c r="M9" s="10"/>
      <c r="N9" s="10"/>
      <c r="O9" s="10"/>
      <c r="P9" s="10">
        <v>38</v>
      </c>
      <c r="Q9" s="10">
        <v>13</v>
      </c>
      <c r="R9" s="10"/>
      <c r="S9" s="10">
        <v>162</v>
      </c>
      <c r="T9" s="10"/>
      <c r="U9" s="10"/>
      <c r="V9" s="10"/>
      <c r="W9" s="10"/>
      <c r="X9" s="10"/>
      <c r="Y9" s="10">
        <v>8</v>
      </c>
      <c r="Z9" s="10">
        <v>46</v>
      </c>
      <c r="AA9" s="10"/>
      <c r="AB9" s="10"/>
    </row>
    <row r="10" ht="20" customHeight="1" spans="1:28">
      <c r="A10" s="42" t="s">
        <v>40</v>
      </c>
      <c r="B10" s="43">
        <f>SUM(B8:B9)</f>
        <v>26236</v>
      </c>
      <c r="C10" s="43">
        <f t="shared" ref="B10:H10" si="0">SUM(C8:C9)</f>
        <v>25254</v>
      </c>
      <c r="D10" s="43">
        <f t="shared" si="0"/>
        <v>643</v>
      </c>
      <c r="E10" s="44">
        <f t="shared" si="0"/>
        <v>4.81447001430026</v>
      </c>
      <c r="F10" s="43">
        <f t="shared" si="0"/>
        <v>880</v>
      </c>
      <c r="G10" s="43">
        <f t="shared" si="0"/>
        <v>6.74363280196114</v>
      </c>
      <c r="H10" s="43">
        <f t="shared" si="0"/>
        <v>158</v>
      </c>
      <c r="I10" s="43">
        <f t="shared" ref="H10:AB10" si="1">SUM(I8:I9)</f>
        <v>112</v>
      </c>
      <c r="J10" s="43">
        <f t="shared" si="1"/>
        <v>0</v>
      </c>
      <c r="K10" s="43">
        <f t="shared" si="1"/>
        <v>0</v>
      </c>
      <c r="L10" s="43">
        <f t="shared" si="1"/>
        <v>5</v>
      </c>
      <c r="M10" s="43">
        <f t="shared" si="1"/>
        <v>0</v>
      </c>
      <c r="N10" s="43">
        <f t="shared" si="1"/>
        <v>0</v>
      </c>
      <c r="O10" s="43">
        <f t="shared" si="1"/>
        <v>0</v>
      </c>
      <c r="P10" s="43">
        <f t="shared" si="1"/>
        <v>86</v>
      </c>
      <c r="Q10" s="43">
        <f t="shared" si="1"/>
        <v>15</v>
      </c>
      <c r="R10" s="43">
        <f t="shared" si="1"/>
        <v>0</v>
      </c>
      <c r="S10" s="43">
        <f t="shared" si="1"/>
        <v>345</v>
      </c>
      <c r="T10" s="43">
        <f t="shared" si="1"/>
        <v>0</v>
      </c>
      <c r="U10" s="43">
        <f t="shared" si="1"/>
        <v>0</v>
      </c>
      <c r="V10" s="43">
        <f t="shared" si="1"/>
        <v>0</v>
      </c>
      <c r="W10" s="43">
        <f t="shared" si="1"/>
        <v>0</v>
      </c>
      <c r="X10" s="43">
        <f t="shared" si="1"/>
        <v>2</v>
      </c>
      <c r="Y10" s="43">
        <f t="shared" si="1"/>
        <v>18</v>
      </c>
      <c r="Z10" s="43">
        <f t="shared" si="1"/>
        <v>117</v>
      </c>
      <c r="AA10" s="43">
        <f t="shared" si="1"/>
        <v>0</v>
      </c>
      <c r="AB10" s="43">
        <f t="shared" si="1"/>
        <v>0</v>
      </c>
    </row>
    <row r="11" ht="20" customHeight="1" spans="1:29">
      <c r="A11" s="45" t="s">
        <v>84</v>
      </c>
      <c r="B11" s="46"/>
      <c r="C11" s="47">
        <f>C10/$B$10*100</f>
        <v>96.2570513797835</v>
      </c>
      <c r="D11" s="47">
        <f>D10/$B$10*100</f>
        <v>2.45083091934746</v>
      </c>
      <c r="E11" s="47">
        <f t="shared" ref="E11:AB11" si="2">E10/$B$10*100</f>
        <v>0.0183506251497952</v>
      </c>
      <c r="F11" s="47">
        <f t="shared" si="2"/>
        <v>3.35416984296387</v>
      </c>
      <c r="G11" s="47">
        <f t="shared" si="2"/>
        <v>0.0257037383822272</v>
      </c>
      <c r="H11" s="47">
        <f t="shared" si="2"/>
        <v>0.602225949077603</v>
      </c>
      <c r="I11" s="47">
        <f t="shared" si="2"/>
        <v>0.426894343649947</v>
      </c>
      <c r="J11" s="47">
        <f t="shared" si="2"/>
        <v>0</v>
      </c>
      <c r="K11" s="47">
        <f t="shared" si="2"/>
        <v>0</v>
      </c>
      <c r="L11" s="47">
        <f t="shared" si="2"/>
        <v>0.0190577831986583</v>
      </c>
      <c r="M11" s="47">
        <f t="shared" si="2"/>
        <v>0</v>
      </c>
      <c r="N11" s="47">
        <f t="shared" si="2"/>
        <v>0</v>
      </c>
      <c r="O11" s="47">
        <f t="shared" si="2"/>
        <v>0</v>
      </c>
      <c r="P11" s="47">
        <f t="shared" si="2"/>
        <v>0.327793871016923</v>
      </c>
      <c r="Q11" s="47">
        <f t="shared" si="2"/>
        <v>0.057173349595975</v>
      </c>
      <c r="R11" s="47">
        <f t="shared" si="2"/>
        <v>0</v>
      </c>
      <c r="S11" s="47">
        <f t="shared" si="2"/>
        <v>1.31498704070742</v>
      </c>
      <c r="T11" s="47">
        <f t="shared" si="2"/>
        <v>0</v>
      </c>
      <c r="U11" s="47">
        <f t="shared" si="2"/>
        <v>0</v>
      </c>
      <c r="V11" s="47">
        <f t="shared" si="2"/>
        <v>0</v>
      </c>
      <c r="W11" s="47">
        <f t="shared" si="2"/>
        <v>0</v>
      </c>
      <c r="X11" s="47">
        <f t="shared" si="2"/>
        <v>0.00762311327946333</v>
      </c>
      <c r="Y11" s="47">
        <f t="shared" si="2"/>
        <v>0.06860801951517</v>
      </c>
      <c r="Z11" s="47">
        <f t="shared" si="2"/>
        <v>0.445952126848605</v>
      </c>
      <c r="AA11" s="47">
        <f t="shared" si="2"/>
        <v>0</v>
      </c>
      <c r="AB11" s="47">
        <f t="shared" si="2"/>
        <v>0</v>
      </c>
      <c r="AC11" s="69">
        <f>SUM(H11:AB11)</f>
        <v>3.27031559688976</v>
      </c>
    </row>
    <row r="12" ht="20" customHeight="1" spans="1:28">
      <c r="A12" s="48">
        <v>45872</v>
      </c>
      <c r="B12" s="49"/>
      <c r="C12" s="49"/>
      <c r="D12" s="49"/>
      <c r="E12" s="50" t="e">
        <f t="shared" ref="E12:E18" si="3">D12/B12*100</f>
        <v>#DIV/0!</v>
      </c>
      <c r="F12" s="49">
        <f t="shared" ref="F12:F18" si="4">B12-(C12+D12)</f>
        <v>0</v>
      </c>
      <c r="G12" s="50" t="e">
        <f t="shared" ref="G12:G18" si="5">F12/B12*100</f>
        <v>#DIV/0!</v>
      </c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</row>
    <row r="13" ht="20" customHeight="1" spans="1:28">
      <c r="A13" s="39">
        <v>45873</v>
      </c>
      <c r="B13" s="10">
        <v>9697</v>
      </c>
      <c r="C13" s="10">
        <v>8890</v>
      </c>
      <c r="D13" s="10">
        <v>526</v>
      </c>
      <c r="E13" s="11">
        <f t="shared" si="3"/>
        <v>5.4243580488811</v>
      </c>
      <c r="F13" s="10">
        <f t="shared" si="4"/>
        <v>281</v>
      </c>
      <c r="G13" s="11">
        <f t="shared" si="5"/>
        <v>2.89780344436424</v>
      </c>
      <c r="H13" s="10">
        <v>49</v>
      </c>
      <c r="I13" s="10">
        <v>17</v>
      </c>
      <c r="J13" s="10"/>
      <c r="K13" s="10"/>
      <c r="L13" s="10"/>
      <c r="M13" s="10"/>
      <c r="N13" s="10"/>
      <c r="O13" s="10"/>
      <c r="P13" s="10">
        <v>108</v>
      </c>
      <c r="Q13" s="10"/>
      <c r="R13" s="10"/>
      <c r="S13" s="10">
        <v>65</v>
      </c>
      <c r="T13" s="10"/>
      <c r="U13" s="10"/>
      <c r="V13" s="10"/>
      <c r="W13" s="10"/>
      <c r="X13" s="10"/>
      <c r="Y13" s="10">
        <v>42</v>
      </c>
      <c r="Z13" s="10"/>
      <c r="AA13" s="10"/>
      <c r="AB13" s="10"/>
    </row>
    <row r="14" ht="20" customHeight="1" spans="1:28">
      <c r="A14" s="39">
        <v>45874</v>
      </c>
      <c r="B14" s="10">
        <v>12170</v>
      </c>
      <c r="C14" s="10">
        <v>10928</v>
      </c>
      <c r="D14" s="10">
        <v>705</v>
      </c>
      <c r="E14" s="11">
        <f t="shared" si="3"/>
        <v>5.79293344289236</v>
      </c>
      <c r="F14" s="10">
        <f t="shared" si="4"/>
        <v>537</v>
      </c>
      <c r="G14" s="11">
        <f t="shared" si="5"/>
        <v>4.41248972884141</v>
      </c>
      <c r="H14" s="10">
        <v>139</v>
      </c>
      <c r="I14" s="10">
        <v>24</v>
      </c>
      <c r="J14" s="10"/>
      <c r="K14" s="10"/>
      <c r="L14" s="10"/>
      <c r="M14" s="10"/>
      <c r="N14" s="10"/>
      <c r="O14" s="10"/>
      <c r="P14" s="10">
        <v>125</v>
      </c>
      <c r="Q14" s="10"/>
      <c r="R14" s="10"/>
      <c r="S14" s="10">
        <v>176</v>
      </c>
      <c r="T14" s="10"/>
      <c r="U14" s="10"/>
      <c r="V14" s="10"/>
      <c r="W14" s="10"/>
      <c r="X14" s="10"/>
      <c r="Y14" s="10">
        <v>68</v>
      </c>
      <c r="Z14" s="10">
        <v>5</v>
      </c>
      <c r="AA14" s="10"/>
      <c r="AB14" s="10"/>
    </row>
    <row r="15" s="23" customFormat="1" ht="20" customHeight="1" spans="1:29">
      <c r="A15" s="51">
        <v>45875</v>
      </c>
      <c r="B15" s="40">
        <v>9162</v>
      </c>
      <c r="C15" s="40">
        <v>8596</v>
      </c>
      <c r="D15" s="40">
        <v>275</v>
      </c>
      <c r="E15" s="52">
        <f t="shared" si="3"/>
        <v>3.00152805064396</v>
      </c>
      <c r="F15" s="40">
        <f t="shared" si="4"/>
        <v>291</v>
      </c>
      <c r="G15" s="52">
        <f t="shared" si="5"/>
        <v>3.17616240995416</v>
      </c>
      <c r="H15" s="40">
        <v>96</v>
      </c>
      <c r="I15" s="40">
        <v>20</v>
      </c>
      <c r="J15" s="40"/>
      <c r="K15" s="40"/>
      <c r="L15" s="40"/>
      <c r="M15" s="40"/>
      <c r="N15" s="40"/>
      <c r="O15" s="40"/>
      <c r="P15" s="40">
        <v>79</v>
      </c>
      <c r="Q15" s="40">
        <v>13</v>
      </c>
      <c r="R15" s="40"/>
      <c r="S15" s="40">
        <v>64</v>
      </c>
      <c r="T15" s="40"/>
      <c r="U15" s="40"/>
      <c r="V15" s="40"/>
      <c r="W15" s="40"/>
      <c r="X15" s="40"/>
      <c r="Y15" s="40">
        <v>13</v>
      </c>
      <c r="Z15" s="40">
        <v>6</v>
      </c>
      <c r="AA15" s="40"/>
      <c r="AB15" s="40"/>
      <c r="AC15" s="70"/>
    </row>
    <row r="16" ht="20" customHeight="1" spans="1:28">
      <c r="A16" s="39">
        <v>45876</v>
      </c>
      <c r="B16" s="10">
        <v>11553</v>
      </c>
      <c r="C16" s="10">
        <v>9762</v>
      </c>
      <c r="D16" s="10">
        <v>1207</v>
      </c>
      <c r="E16" s="11">
        <f t="shared" si="3"/>
        <v>10.4475028131221</v>
      </c>
      <c r="F16" s="10">
        <f t="shared" si="4"/>
        <v>584</v>
      </c>
      <c r="G16" s="11">
        <f t="shared" si="5"/>
        <v>5.0549640785943</v>
      </c>
      <c r="H16" s="10">
        <v>96</v>
      </c>
      <c r="I16" s="10">
        <v>74</v>
      </c>
      <c r="J16" s="10"/>
      <c r="K16" s="10"/>
      <c r="L16" s="10"/>
      <c r="M16" s="10"/>
      <c r="N16" s="10"/>
      <c r="O16" s="10"/>
      <c r="P16" s="10">
        <v>65</v>
      </c>
      <c r="Q16" s="10">
        <v>5</v>
      </c>
      <c r="R16" s="10"/>
      <c r="S16" s="10">
        <v>199</v>
      </c>
      <c r="T16" s="10"/>
      <c r="U16" s="10"/>
      <c r="V16" s="10"/>
      <c r="W16" s="10"/>
      <c r="X16" s="10"/>
      <c r="Y16" s="10">
        <v>140</v>
      </c>
      <c r="Z16" s="10">
        <v>5</v>
      </c>
      <c r="AA16" s="10"/>
      <c r="AB16" s="10"/>
    </row>
    <row r="17" ht="20" customHeight="1" spans="1:28">
      <c r="A17" s="39">
        <v>45877</v>
      </c>
      <c r="B17" s="10">
        <v>8843</v>
      </c>
      <c r="C17" s="10">
        <v>6765</v>
      </c>
      <c r="D17" s="10">
        <v>1341</v>
      </c>
      <c r="E17" s="11">
        <f t="shared" si="3"/>
        <v>15.1645369218591</v>
      </c>
      <c r="F17" s="10">
        <f t="shared" si="4"/>
        <v>737</v>
      </c>
      <c r="G17" s="11">
        <f t="shared" si="5"/>
        <v>8.33427569829243</v>
      </c>
      <c r="H17" s="10">
        <v>60</v>
      </c>
      <c r="I17" s="10">
        <v>60</v>
      </c>
      <c r="J17" s="10"/>
      <c r="K17" s="10"/>
      <c r="L17" s="10">
        <v>8</v>
      </c>
      <c r="M17" s="10"/>
      <c r="N17" s="10"/>
      <c r="O17" s="10"/>
      <c r="P17" s="10">
        <v>102</v>
      </c>
      <c r="Q17" s="10"/>
      <c r="R17" s="10"/>
      <c r="S17" s="10">
        <v>352</v>
      </c>
      <c r="T17" s="10"/>
      <c r="U17" s="10"/>
      <c r="V17" s="10"/>
      <c r="W17" s="10"/>
      <c r="X17" s="10">
        <v>2</v>
      </c>
      <c r="Y17" s="10">
        <v>169</v>
      </c>
      <c r="Z17" s="10">
        <v>4</v>
      </c>
      <c r="AA17" s="10"/>
      <c r="AB17" s="10"/>
    </row>
    <row r="18" ht="20" customHeight="1" spans="1:28">
      <c r="A18" s="84">
        <v>45878</v>
      </c>
      <c r="B18" s="85" t="s">
        <v>92</v>
      </c>
      <c r="C18" s="86"/>
      <c r="D18" s="86"/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92"/>
    </row>
    <row r="19" ht="20" customHeight="1" spans="1:28">
      <c r="A19" s="42" t="s">
        <v>40</v>
      </c>
      <c r="B19" s="43">
        <f>SUM(B12:B18)</f>
        <v>51425</v>
      </c>
      <c r="C19" s="43">
        <f>SUM(C12:C18)</f>
        <v>44941</v>
      </c>
      <c r="D19" s="43">
        <f>SUM(D12:D18)</f>
        <v>4054</v>
      </c>
      <c r="E19" s="43" t="e">
        <f t="shared" ref="C19:AB19" si="6">SUM(E12:E18)</f>
        <v>#DIV/0!</v>
      </c>
      <c r="F19" s="43">
        <f t="shared" si="6"/>
        <v>2430</v>
      </c>
      <c r="G19" s="43" t="e">
        <f t="shared" si="6"/>
        <v>#DIV/0!</v>
      </c>
      <c r="H19" s="43">
        <f t="shared" si="6"/>
        <v>440</v>
      </c>
      <c r="I19" s="43">
        <f t="shared" si="6"/>
        <v>195</v>
      </c>
      <c r="J19" s="43">
        <f t="shared" si="6"/>
        <v>0</v>
      </c>
      <c r="K19" s="43">
        <f t="shared" si="6"/>
        <v>0</v>
      </c>
      <c r="L19" s="43">
        <f t="shared" si="6"/>
        <v>8</v>
      </c>
      <c r="M19" s="43">
        <f t="shared" si="6"/>
        <v>0</v>
      </c>
      <c r="N19" s="43">
        <f t="shared" si="6"/>
        <v>0</v>
      </c>
      <c r="O19" s="43">
        <f t="shared" si="6"/>
        <v>0</v>
      </c>
      <c r="P19" s="43">
        <f t="shared" si="6"/>
        <v>479</v>
      </c>
      <c r="Q19" s="43">
        <f t="shared" si="6"/>
        <v>18</v>
      </c>
      <c r="R19" s="43">
        <f t="shared" si="6"/>
        <v>0</v>
      </c>
      <c r="S19" s="43">
        <f t="shared" si="6"/>
        <v>856</v>
      </c>
      <c r="T19" s="43">
        <f t="shared" si="6"/>
        <v>0</v>
      </c>
      <c r="U19" s="43">
        <f t="shared" si="6"/>
        <v>0</v>
      </c>
      <c r="V19" s="43">
        <f t="shared" si="6"/>
        <v>0</v>
      </c>
      <c r="W19" s="43">
        <f t="shared" si="6"/>
        <v>0</v>
      </c>
      <c r="X19" s="43">
        <f t="shared" si="6"/>
        <v>2</v>
      </c>
      <c r="Y19" s="43">
        <f t="shared" si="6"/>
        <v>432</v>
      </c>
      <c r="Z19" s="43">
        <f t="shared" si="6"/>
        <v>20</v>
      </c>
      <c r="AA19" s="43">
        <f t="shared" si="6"/>
        <v>0</v>
      </c>
      <c r="AB19" s="43">
        <f t="shared" si="6"/>
        <v>0</v>
      </c>
    </row>
    <row r="20" ht="20" customHeight="1" spans="1:29">
      <c r="A20" s="45" t="s">
        <v>84</v>
      </c>
      <c r="B20" s="46"/>
      <c r="C20" s="47">
        <f>C19/$B$19*100</f>
        <v>87.3913466212931</v>
      </c>
      <c r="D20" s="47">
        <f>D19/$B$19*100</f>
        <v>7.88332523091881</v>
      </c>
      <c r="E20" s="47" t="e">
        <f>E19/$B$19*100</f>
        <v>#DIV/0!</v>
      </c>
      <c r="F20" s="47">
        <f>F19/$B$19*100</f>
        <v>4.72532814778804</v>
      </c>
      <c r="G20" s="47" t="e">
        <f>G19/$B$19*100</f>
        <v>#DIV/0!</v>
      </c>
      <c r="H20" s="47">
        <f>H19/$B$19*100</f>
        <v>0.855614973262032</v>
      </c>
      <c r="I20" s="47">
        <f>I19/$B$19*100</f>
        <v>0.379192999513855</v>
      </c>
      <c r="J20" s="47">
        <f>J19/$B$19*100</f>
        <v>0</v>
      </c>
      <c r="K20" s="47">
        <f>K19/$B$19*100</f>
        <v>0</v>
      </c>
      <c r="L20" s="47">
        <f>L19/$B$19*100</f>
        <v>0.0155566358774915</v>
      </c>
      <c r="M20" s="47">
        <f>M19/$B$19*100</f>
        <v>0</v>
      </c>
      <c r="N20" s="47">
        <f>N19/$B$19*100</f>
        <v>0</v>
      </c>
      <c r="O20" s="47">
        <f>O19/$B$19*100</f>
        <v>0</v>
      </c>
      <c r="P20" s="47">
        <f>P19/$B$19*100</f>
        <v>0.931453573164803</v>
      </c>
      <c r="Q20" s="47">
        <f>Q19/$B$19*100</f>
        <v>0.0350024307243559</v>
      </c>
      <c r="R20" s="47">
        <f>R19/$B$19*100</f>
        <v>0</v>
      </c>
      <c r="S20" s="47">
        <f>S19/$B$19*100</f>
        <v>1.66456003889159</v>
      </c>
      <c r="T20" s="47">
        <f>T19/$B$19*100</f>
        <v>0</v>
      </c>
      <c r="U20" s="47">
        <f>U19/$B$19*100</f>
        <v>0</v>
      </c>
      <c r="V20" s="47">
        <f>V19/$B$19*100</f>
        <v>0</v>
      </c>
      <c r="W20" s="47">
        <f>W19/$B$19*100</f>
        <v>0</v>
      </c>
      <c r="X20" s="47">
        <f>X19/$B$19*100</f>
        <v>0.00388915896937287</v>
      </c>
      <c r="Y20" s="47">
        <f>Y19/$B$19*100</f>
        <v>0.840058337384541</v>
      </c>
      <c r="Z20" s="47">
        <f>Z19/$B$19*100</f>
        <v>0.0388915896937287</v>
      </c>
      <c r="AA20" s="47">
        <f>AA19/$B$19*100</f>
        <v>0</v>
      </c>
      <c r="AB20" s="47">
        <f>AB19/$B$19*100</f>
        <v>0</v>
      </c>
      <c r="AC20" s="69">
        <f>SUM(H20:AB20)</f>
        <v>4.76421973748177</v>
      </c>
    </row>
    <row r="21" ht="20" customHeight="1" spans="1:28">
      <c r="A21" s="48">
        <v>45879</v>
      </c>
      <c r="B21" s="49"/>
      <c r="C21" s="49"/>
      <c r="D21" s="49"/>
      <c r="E21" s="50">
        <v>0</v>
      </c>
      <c r="F21" s="49">
        <f t="shared" ref="F21:F27" si="7">B21-(C21+D21)</f>
        <v>0</v>
      </c>
      <c r="G21" s="50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</row>
    <row r="22" ht="20" customHeight="1" spans="1:28">
      <c r="A22" s="39">
        <v>45880</v>
      </c>
      <c r="B22" s="10">
        <v>10488</v>
      </c>
      <c r="C22" s="10">
        <v>9678</v>
      </c>
      <c r="D22" s="10">
        <v>656</v>
      </c>
      <c r="E22" s="11">
        <f t="shared" ref="E21:E27" si="8">D22/B22*100</f>
        <v>6.25476735316552</v>
      </c>
      <c r="F22" s="10">
        <f t="shared" si="7"/>
        <v>154</v>
      </c>
      <c r="G22" s="11">
        <f t="shared" ref="G21:G27" si="9">F22/B22*100</f>
        <v>1.46834477498093</v>
      </c>
      <c r="H22" s="10">
        <v>207</v>
      </c>
      <c r="I22" s="10"/>
      <c r="J22" s="10"/>
      <c r="K22" s="10"/>
      <c r="L22" s="10">
        <v>102</v>
      </c>
      <c r="M22" s="10"/>
      <c r="N22" s="10"/>
      <c r="O22" s="10"/>
      <c r="P22" s="10"/>
      <c r="Q22" s="10">
        <v>6</v>
      </c>
      <c r="R22" s="10"/>
      <c r="S22" s="10">
        <v>92</v>
      </c>
      <c r="T22" s="10"/>
      <c r="U22" s="10"/>
      <c r="V22" s="10"/>
      <c r="W22" s="10"/>
      <c r="X22" s="10">
        <v>138</v>
      </c>
      <c r="Y22" s="10">
        <v>101</v>
      </c>
      <c r="Z22" s="10">
        <v>10</v>
      </c>
      <c r="AA22" s="10"/>
      <c r="AB22" s="10"/>
    </row>
    <row r="23" ht="20" customHeight="1" spans="1:28">
      <c r="A23" s="39">
        <v>45881</v>
      </c>
      <c r="B23" s="10">
        <v>7782</v>
      </c>
      <c r="C23" s="10">
        <v>6410</v>
      </c>
      <c r="D23" s="10">
        <v>743</v>
      </c>
      <c r="E23" s="11">
        <f t="shared" si="8"/>
        <v>9.54767411976356</v>
      </c>
      <c r="F23" s="10">
        <f t="shared" si="7"/>
        <v>629</v>
      </c>
      <c r="G23" s="11">
        <f t="shared" si="9"/>
        <v>8.08275507581599</v>
      </c>
      <c r="H23" s="10">
        <v>103</v>
      </c>
      <c r="I23" s="10">
        <v>17</v>
      </c>
      <c r="J23" s="10"/>
      <c r="K23" s="10"/>
      <c r="L23" s="10">
        <v>3</v>
      </c>
      <c r="M23" s="10"/>
      <c r="N23" s="10"/>
      <c r="O23" s="10"/>
      <c r="P23" s="10"/>
      <c r="Q23" s="10">
        <v>67</v>
      </c>
      <c r="R23" s="10"/>
      <c r="S23" s="10">
        <v>165</v>
      </c>
      <c r="T23" s="10"/>
      <c r="U23" s="10"/>
      <c r="V23" s="10"/>
      <c r="W23" s="10"/>
      <c r="X23" s="10">
        <v>214</v>
      </c>
      <c r="Y23" s="10">
        <v>45</v>
      </c>
      <c r="Z23" s="10">
        <v>15</v>
      </c>
      <c r="AA23" s="10"/>
      <c r="AB23" s="10"/>
    </row>
    <row r="24" s="23" customFormat="1" ht="20" customHeight="1" spans="1:29">
      <c r="A24" s="51">
        <v>45882</v>
      </c>
      <c r="B24" s="40">
        <v>9961</v>
      </c>
      <c r="C24" s="40">
        <v>8888</v>
      </c>
      <c r="D24" s="40">
        <v>612</v>
      </c>
      <c r="E24" s="52">
        <f t="shared" si="8"/>
        <v>6.14396144965365</v>
      </c>
      <c r="F24" s="40">
        <f t="shared" si="7"/>
        <v>461</v>
      </c>
      <c r="G24" s="52">
        <f t="shared" si="9"/>
        <v>4.62804939263126</v>
      </c>
      <c r="H24" s="40">
        <v>80</v>
      </c>
      <c r="I24" s="40">
        <v>5</v>
      </c>
      <c r="J24" s="40"/>
      <c r="K24" s="40"/>
      <c r="L24" s="40"/>
      <c r="M24" s="40"/>
      <c r="N24" s="40"/>
      <c r="O24" s="40"/>
      <c r="P24" s="40"/>
      <c r="Q24" s="40">
        <v>56</v>
      </c>
      <c r="R24" s="40"/>
      <c r="S24" s="40">
        <v>142</v>
      </c>
      <c r="T24" s="40"/>
      <c r="U24" s="40"/>
      <c r="V24" s="40"/>
      <c r="W24" s="40"/>
      <c r="X24" s="40">
        <v>74</v>
      </c>
      <c r="Y24" s="40">
        <v>17</v>
      </c>
      <c r="Z24" s="40">
        <v>87</v>
      </c>
      <c r="AA24" s="40"/>
      <c r="AB24" s="40"/>
      <c r="AC24" s="70"/>
    </row>
    <row r="25" ht="20" customHeight="1" spans="1:28">
      <c r="A25" s="39">
        <v>45883</v>
      </c>
      <c r="B25" s="10">
        <v>8592</v>
      </c>
      <c r="C25" s="10">
        <v>7888</v>
      </c>
      <c r="D25" s="10">
        <v>361</v>
      </c>
      <c r="E25" s="11">
        <f t="shared" si="8"/>
        <v>4.20158286778399</v>
      </c>
      <c r="F25" s="10">
        <f t="shared" si="7"/>
        <v>343</v>
      </c>
      <c r="G25" s="11">
        <f t="shared" si="9"/>
        <v>3.99208566108007</v>
      </c>
      <c r="H25" s="10">
        <v>56</v>
      </c>
      <c r="I25" s="10">
        <v>10</v>
      </c>
      <c r="J25" s="10"/>
      <c r="K25" s="10"/>
      <c r="L25" s="10"/>
      <c r="M25" s="10"/>
      <c r="N25" s="10"/>
      <c r="O25" s="10"/>
      <c r="P25" s="10"/>
      <c r="Q25" s="10">
        <v>13</v>
      </c>
      <c r="R25" s="10"/>
      <c r="S25" s="10">
        <v>67</v>
      </c>
      <c r="T25" s="10"/>
      <c r="U25" s="10"/>
      <c r="V25" s="10"/>
      <c r="W25" s="10"/>
      <c r="X25" s="10">
        <v>53</v>
      </c>
      <c r="Y25" s="10">
        <v>9</v>
      </c>
      <c r="Z25" s="10">
        <v>135</v>
      </c>
      <c r="AA25" s="10"/>
      <c r="AB25" s="10"/>
    </row>
    <row r="26" ht="20" customHeight="1" spans="1:28">
      <c r="A26" s="84">
        <v>45884</v>
      </c>
      <c r="B26" s="85" t="s">
        <v>92</v>
      </c>
      <c r="C26" s="86"/>
      <c r="D26" s="86"/>
      <c r="E26" s="86" t="e">
        <f t="shared" si="8"/>
        <v>#VALUE!</v>
      </c>
      <c r="F26" s="86" t="e">
        <f t="shared" si="7"/>
        <v>#VALUE!</v>
      </c>
      <c r="G26" s="86" t="e">
        <f t="shared" si="9"/>
        <v>#VALUE!</v>
      </c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92"/>
    </row>
    <row r="27" ht="20" customHeight="1" spans="1:28">
      <c r="A27" s="84">
        <v>45884</v>
      </c>
      <c r="B27" s="85" t="s">
        <v>92</v>
      </c>
      <c r="C27" s="86"/>
      <c r="D27" s="86"/>
      <c r="E27" s="86"/>
      <c r="F27" s="86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92"/>
    </row>
    <row r="28" ht="20" customHeight="1" spans="1:28">
      <c r="A28" s="42" t="s">
        <v>40</v>
      </c>
      <c r="B28" s="43">
        <f>SUM(B21:B27)</f>
        <v>36823</v>
      </c>
      <c r="C28" s="43">
        <f>SUM(C21:C27)</f>
        <v>32864</v>
      </c>
      <c r="D28" s="43">
        <f>SUM(D21:D27)</f>
        <v>2372</v>
      </c>
      <c r="E28" s="44"/>
      <c r="F28" s="43">
        <f>SUM(F21:F25)</f>
        <v>1587</v>
      </c>
      <c r="G28" s="44">
        <f>SUM(G21:G25)</f>
        <v>18.1712349045082</v>
      </c>
      <c r="H28" s="43">
        <f t="shared" ref="B28:AB28" si="10">SUM(H21:H27)</f>
        <v>446</v>
      </c>
      <c r="I28" s="43">
        <f t="shared" si="10"/>
        <v>32</v>
      </c>
      <c r="J28" s="43">
        <f t="shared" si="10"/>
        <v>0</v>
      </c>
      <c r="K28" s="43">
        <f t="shared" si="10"/>
        <v>0</v>
      </c>
      <c r="L28" s="43">
        <f t="shared" si="10"/>
        <v>105</v>
      </c>
      <c r="M28" s="43">
        <f t="shared" si="10"/>
        <v>0</v>
      </c>
      <c r="N28" s="43">
        <f t="shared" si="10"/>
        <v>0</v>
      </c>
      <c r="O28" s="43">
        <f t="shared" si="10"/>
        <v>0</v>
      </c>
      <c r="P28" s="43">
        <f t="shared" si="10"/>
        <v>0</v>
      </c>
      <c r="Q28" s="43">
        <f t="shared" si="10"/>
        <v>142</v>
      </c>
      <c r="R28" s="43">
        <f t="shared" si="10"/>
        <v>0</v>
      </c>
      <c r="S28" s="43">
        <f t="shared" si="10"/>
        <v>466</v>
      </c>
      <c r="T28" s="43">
        <f t="shared" si="10"/>
        <v>0</v>
      </c>
      <c r="U28" s="43">
        <f t="shared" si="10"/>
        <v>0</v>
      </c>
      <c r="V28" s="43">
        <f t="shared" si="10"/>
        <v>0</v>
      </c>
      <c r="W28" s="43">
        <f t="shared" si="10"/>
        <v>0</v>
      </c>
      <c r="X28" s="43">
        <f t="shared" si="10"/>
        <v>479</v>
      </c>
      <c r="Y28" s="43">
        <f t="shared" si="10"/>
        <v>172</v>
      </c>
      <c r="Z28" s="43">
        <f t="shared" si="10"/>
        <v>247</v>
      </c>
      <c r="AA28" s="43">
        <f t="shared" si="10"/>
        <v>0</v>
      </c>
      <c r="AB28" s="43">
        <f t="shared" si="10"/>
        <v>0</v>
      </c>
    </row>
    <row r="29" ht="20" customHeight="1" spans="1:29">
      <c r="A29" s="45" t="s">
        <v>84</v>
      </c>
      <c r="B29" s="46"/>
      <c r="C29" s="47">
        <f>C28/$B$28*100</f>
        <v>89.2485674714173</v>
      </c>
      <c r="D29" s="47">
        <f>D28/$B$28*100</f>
        <v>6.44162615756457</v>
      </c>
      <c r="E29" s="47"/>
      <c r="F29" s="47">
        <f t="shared" ref="D29:AB29" si="11">F28/$B$28*100</f>
        <v>4.30980637101811</v>
      </c>
      <c r="G29" s="47">
        <f t="shared" si="11"/>
        <v>0.0493475135228207</v>
      </c>
      <c r="H29" s="47">
        <f t="shared" si="11"/>
        <v>1.21119952203786</v>
      </c>
      <c r="I29" s="47">
        <f t="shared" si="11"/>
        <v>0.0869022078592184</v>
      </c>
      <c r="J29" s="47">
        <f t="shared" si="11"/>
        <v>0</v>
      </c>
      <c r="K29" s="47">
        <f t="shared" si="11"/>
        <v>0</v>
      </c>
      <c r="L29" s="47">
        <f t="shared" si="11"/>
        <v>0.28514786953806</v>
      </c>
      <c r="M29" s="47">
        <f t="shared" si="11"/>
        <v>0</v>
      </c>
      <c r="N29" s="47">
        <f t="shared" si="11"/>
        <v>0</v>
      </c>
      <c r="O29" s="47">
        <f t="shared" si="11"/>
        <v>0</v>
      </c>
      <c r="P29" s="47">
        <f t="shared" si="11"/>
        <v>0</v>
      </c>
      <c r="Q29" s="47">
        <f t="shared" si="11"/>
        <v>0.385628547375282</v>
      </c>
      <c r="R29" s="47">
        <f t="shared" si="11"/>
        <v>0</v>
      </c>
      <c r="S29" s="47">
        <f t="shared" si="11"/>
        <v>1.26551340194987</v>
      </c>
      <c r="T29" s="47">
        <f t="shared" si="11"/>
        <v>0</v>
      </c>
      <c r="U29" s="47">
        <f t="shared" si="11"/>
        <v>0</v>
      </c>
      <c r="V29" s="47">
        <f t="shared" si="11"/>
        <v>0</v>
      </c>
      <c r="W29" s="47">
        <f t="shared" si="11"/>
        <v>0</v>
      </c>
      <c r="X29" s="47">
        <f t="shared" si="11"/>
        <v>1.30081742389268</v>
      </c>
      <c r="Y29" s="47">
        <f t="shared" si="11"/>
        <v>0.467099367243299</v>
      </c>
      <c r="Z29" s="47">
        <f t="shared" si="11"/>
        <v>0.670776416913342</v>
      </c>
      <c r="AA29" s="47">
        <f t="shared" si="11"/>
        <v>0</v>
      </c>
      <c r="AB29" s="47">
        <f t="shared" si="11"/>
        <v>0</v>
      </c>
      <c r="AC29" s="69">
        <f>SUM(H29:AB29)</f>
        <v>5.6730847568096</v>
      </c>
    </row>
    <row r="30" ht="20" customHeight="1" spans="1:28">
      <c r="A30" s="48">
        <v>45886</v>
      </c>
      <c r="B30" s="49">
        <v>8547</v>
      </c>
      <c r="C30" s="49">
        <v>8242</v>
      </c>
      <c r="D30" s="49">
        <v>86</v>
      </c>
      <c r="E30" s="50">
        <f t="shared" ref="E30:E36" si="12">D30/B30*100</f>
        <v>1.00620100620101</v>
      </c>
      <c r="F30" s="49">
        <f t="shared" ref="F30:F36" si="13">B30-(C30+D30)</f>
        <v>219</v>
      </c>
      <c r="G30" s="50">
        <f t="shared" ref="G30:G36" si="14">F30/B30*100</f>
        <v>2.56230256230256</v>
      </c>
      <c r="H30" s="49">
        <v>34</v>
      </c>
      <c r="I30" s="49">
        <v>16</v>
      </c>
      <c r="J30" s="49"/>
      <c r="K30" s="49"/>
      <c r="L30" s="49"/>
      <c r="M30" s="49"/>
      <c r="N30" s="49"/>
      <c r="O30" s="49"/>
      <c r="P30" s="49"/>
      <c r="Q30" s="49">
        <v>16</v>
      </c>
      <c r="R30" s="49"/>
      <c r="S30" s="49">
        <v>66</v>
      </c>
      <c r="T30" s="49"/>
      <c r="U30" s="49"/>
      <c r="V30" s="49"/>
      <c r="W30" s="49"/>
      <c r="X30" s="49"/>
      <c r="Y30" s="49"/>
      <c r="Z30" s="49">
        <v>87</v>
      </c>
      <c r="AA30" s="49"/>
      <c r="AB30" s="49"/>
    </row>
    <row r="31" ht="20" customHeight="1" spans="1:28">
      <c r="A31" s="39">
        <v>45887</v>
      </c>
      <c r="B31" s="10">
        <v>6890</v>
      </c>
      <c r="C31" s="10">
        <v>6696</v>
      </c>
      <c r="D31" s="10">
        <v>89</v>
      </c>
      <c r="E31" s="11">
        <f t="shared" si="12"/>
        <v>1.29172714078374</v>
      </c>
      <c r="F31" s="10">
        <f t="shared" si="13"/>
        <v>105</v>
      </c>
      <c r="G31" s="11">
        <f t="shared" si="14"/>
        <v>1.52394775036284</v>
      </c>
      <c r="H31" s="10">
        <v>26</v>
      </c>
      <c r="I31" s="10">
        <v>19</v>
      </c>
      <c r="J31" s="10"/>
      <c r="K31" s="10"/>
      <c r="L31" s="10"/>
      <c r="M31" s="10"/>
      <c r="N31" s="10"/>
      <c r="O31" s="10"/>
      <c r="P31" s="10"/>
      <c r="Q31" s="10">
        <v>9</v>
      </c>
      <c r="R31" s="10"/>
      <c r="S31" s="10">
        <v>32</v>
      </c>
      <c r="T31" s="10"/>
      <c r="U31" s="10"/>
      <c r="V31" s="10"/>
      <c r="W31" s="10"/>
      <c r="X31" s="10"/>
      <c r="Y31" s="10">
        <v>2</v>
      </c>
      <c r="Z31" s="10">
        <v>17</v>
      </c>
      <c r="AA31" s="10"/>
      <c r="AB31" s="10"/>
    </row>
    <row r="32" ht="20" customHeight="1" spans="1:28">
      <c r="A32" s="39">
        <v>45888</v>
      </c>
      <c r="B32" s="10">
        <v>11334</v>
      </c>
      <c r="C32" s="10">
        <v>10733</v>
      </c>
      <c r="D32" s="10">
        <v>74</v>
      </c>
      <c r="E32" s="11">
        <f t="shared" si="12"/>
        <v>0.652902770425269</v>
      </c>
      <c r="F32" s="10">
        <f t="shared" si="13"/>
        <v>527</v>
      </c>
      <c r="G32" s="11">
        <f t="shared" si="14"/>
        <v>4.64972648667725</v>
      </c>
      <c r="H32" s="10">
        <v>59</v>
      </c>
      <c r="I32" s="10">
        <v>18</v>
      </c>
      <c r="J32" s="10"/>
      <c r="K32" s="10"/>
      <c r="L32" s="10">
        <v>143</v>
      </c>
      <c r="M32" s="10"/>
      <c r="N32" s="10"/>
      <c r="O32" s="10"/>
      <c r="P32" s="10"/>
      <c r="Q32" s="10">
        <v>154</v>
      </c>
      <c r="R32" s="10"/>
      <c r="S32" s="10">
        <v>106</v>
      </c>
      <c r="T32" s="10"/>
      <c r="U32" s="10"/>
      <c r="V32" s="10"/>
      <c r="W32" s="10"/>
      <c r="X32" s="10">
        <v>6</v>
      </c>
      <c r="Y32" s="10">
        <v>12</v>
      </c>
      <c r="Z32" s="10">
        <v>29</v>
      </c>
      <c r="AA32" s="10"/>
      <c r="AB32" s="10"/>
    </row>
    <row r="33" s="23" customFormat="1" ht="20" customHeight="1" spans="1:29">
      <c r="A33" s="51">
        <v>45889</v>
      </c>
      <c r="B33" s="58">
        <v>12010</v>
      </c>
      <c r="C33" s="58">
        <v>11516</v>
      </c>
      <c r="D33" s="58">
        <v>45</v>
      </c>
      <c r="E33" s="52">
        <f t="shared" si="12"/>
        <v>0.374687760199833</v>
      </c>
      <c r="F33" s="40">
        <f t="shared" si="13"/>
        <v>449</v>
      </c>
      <c r="G33" s="52">
        <f t="shared" si="14"/>
        <v>3.73855120732723</v>
      </c>
      <c r="H33" s="58">
        <v>55</v>
      </c>
      <c r="I33" s="58">
        <v>22</v>
      </c>
      <c r="J33" s="82"/>
      <c r="K33" s="82"/>
      <c r="L33" s="83">
        <v>32</v>
      </c>
      <c r="M33" s="83"/>
      <c r="N33" s="83"/>
      <c r="O33" s="83"/>
      <c r="P33" s="58"/>
      <c r="Q33" s="83">
        <v>155</v>
      </c>
      <c r="R33" s="83"/>
      <c r="S33" s="58">
        <v>78</v>
      </c>
      <c r="T33" s="83"/>
      <c r="U33" s="83"/>
      <c r="V33" s="83"/>
      <c r="W33" s="58"/>
      <c r="X33" s="58">
        <v>79</v>
      </c>
      <c r="Y33" s="58">
        <v>10</v>
      </c>
      <c r="Z33" s="58">
        <v>18</v>
      </c>
      <c r="AA33" s="83"/>
      <c r="AB33" s="82"/>
      <c r="AC33" s="70"/>
    </row>
    <row r="34" ht="20" customHeight="1" spans="1:28">
      <c r="A34" s="39">
        <v>45890</v>
      </c>
      <c r="B34" s="58">
        <v>12150</v>
      </c>
      <c r="C34" s="58">
        <v>11422</v>
      </c>
      <c r="D34" s="58">
        <v>204</v>
      </c>
      <c r="E34" s="11">
        <f t="shared" si="12"/>
        <v>1.67901234567901</v>
      </c>
      <c r="F34" s="10">
        <f t="shared" si="13"/>
        <v>524</v>
      </c>
      <c r="G34" s="11">
        <f t="shared" si="14"/>
        <v>4.31275720164609</v>
      </c>
      <c r="H34" s="59">
        <v>96</v>
      </c>
      <c r="I34" s="59">
        <v>19</v>
      </c>
      <c r="J34" s="63"/>
      <c r="K34" s="64"/>
      <c r="L34" s="64">
        <v>56</v>
      </c>
      <c r="M34" s="64"/>
      <c r="N34" s="64"/>
      <c r="O34" s="64"/>
      <c r="P34" s="59"/>
      <c r="Q34" s="64">
        <v>63</v>
      </c>
      <c r="R34" s="64">
        <v>209</v>
      </c>
      <c r="S34" s="59">
        <v>72</v>
      </c>
      <c r="T34" s="64"/>
      <c r="U34" s="64"/>
      <c r="V34" s="64"/>
      <c r="W34" s="59"/>
      <c r="X34" s="59">
        <v>1</v>
      </c>
      <c r="Y34" s="59">
        <v>3</v>
      </c>
      <c r="Z34" s="59">
        <v>5</v>
      </c>
      <c r="AA34" s="64"/>
      <c r="AB34" s="63"/>
    </row>
    <row r="35" ht="20" customHeight="1" spans="1:28">
      <c r="A35" s="39">
        <v>45891</v>
      </c>
      <c r="B35" s="58">
        <v>11276</v>
      </c>
      <c r="C35" s="58">
        <v>10723</v>
      </c>
      <c r="D35" s="58">
        <v>271</v>
      </c>
      <c r="E35" s="11">
        <f t="shared" si="12"/>
        <v>2.40333451578574</v>
      </c>
      <c r="F35" s="10">
        <f t="shared" si="13"/>
        <v>282</v>
      </c>
      <c r="G35" s="11">
        <f t="shared" si="14"/>
        <v>2.50088683930472</v>
      </c>
      <c r="H35" s="59">
        <v>119</v>
      </c>
      <c r="I35" s="59">
        <v>11</v>
      </c>
      <c r="J35" s="63"/>
      <c r="K35" s="63"/>
      <c r="L35" s="64">
        <v>61</v>
      </c>
      <c r="M35" s="64"/>
      <c r="N35" s="64"/>
      <c r="O35" s="64"/>
      <c r="P35" s="59"/>
      <c r="Q35" s="64">
        <v>12</v>
      </c>
      <c r="R35" s="64"/>
      <c r="S35" s="59">
        <v>73</v>
      </c>
      <c r="T35" s="64"/>
      <c r="U35" s="64"/>
      <c r="V35" s="64"/>
      <c r="W35" s="59"/>
      <c r="X35" s="59"/>
      <c r="Y35" s="59">
        <v>3</v>
      </c>
      <c r="Z35" s="59">
        <v>3</v>
      </c>
      <c r="AA35" s="64"/>
      <c r="AB35" s="63"/>
    </row>
    <row r="36" ht="20" customHeight="1" spans="1:32">
      <c r="A36" s="39">
        <v>45892</v>
      </c>
      <c r="B36" s="58">
        <v>14379</v>
      </c>
      <c r="C36" s="58">
        <v>13789</v>
      </c>
      <c r="D36" s="58">
        <v>312</v>
      </c>
      <c r="E36" s="11">
        <f t="shared" si="12"/>
        <v>2.16983100354684</v>
      </c>
      <c r="F36" s="10">
        <f t="shared" si="13"/>
        <v>278</v>
      </c>
      <c r="G36" s="11">
        <f t="shared" si="14"/>
        <v>1.93337506085263</v>
      </c>
      <c r="H36" s="59">
        <v>80</v>
      </c>
      <c r="I36" s="59">
        <v>3</v>
      </c>
      <c r="J36" s="63"/>
      <c r="K36" s="63"/>
      <c r="L36" s="64"/>
      <c r="M36" s="64"/>
      <c r="N36" s="64"/>
      <c r="O36" s="64"/>
      <c r="P36" s="59">
        <v>22</v>
      </c>
      <c r="Q36" s="64">
        <v>10</v>
      </c>
      <c r="R36" s="64"/>
      <c r="S36" s="59">
        <v>120</v>
      </c>
      <c r="T36" s="64"/>
      <c r="U36" s="64"/>
      <c r="V36" s="64"/>
      <c r="W36" s="59"/>
      <c r="X36" s="59"/>
      <c r="Y36" s="59"/>
      <c r="Z36" s="59">
        <v>43</v>
      </c>
      <c r="AA36" s="64"/>
      <c r="AB36" s="63"/>
      <c r="AF36">
        <v>2296</v>
      </c>
    </row>
    <row r="37" ht="20" customHeight="1" spans="1:28">
      <c r="A37" s="42" t="s">
        <v>40</v>
      </c>
      <c r="B37" s="56">
        <f>SUM(B30:B36)</f>
        <v>76586</v>
      </c>
      <c r="C37" s="56">
        <f>SUM(C30:C36)</f>
        <v>73121</v>
      </c>
      <c r="D37" s="56">
        <f>SUM(D30:D36)</f>
        <v>1081</v>
      </c>
      <c r="E37" s="56"/>
      <c r="F37" s="56">
        <f>SUM(F30:F36)</f>
        <v>2384</v>
      </c>
      <c r="G37" s="57">
        <f>SUM(G30:G36)</f>
        <v>21.2215471084733</v>
      </c>
      <c r="H37" s="56">
        <f>SUM(H30:H36)</f>
        <v>469</v>
      </c>
      <c r="I37" s="56">
        <f>SUM(I30:I36)</f>
        <v>108</v>
      </c>
      <c r="J37" s="56">
        <f t="shared" ref="C37:AB37" si="15">SUM(J30:J36)</f>
        <v>0</v>
      </c>
      <c r="K37" s="56">
        <f t="shared" si="15"/>
        <v>0</v>
      </c>
      <c r="L37" s="56">
        <f t="shared" si="15"/>
        <v>292</v>
      </c>
      <c r="M37" s="56">
        <f t="shared" si="15"/>
        <v>0</v>
      </c>
      <c r="N37" s="56">
        <f t="shared" si="15"/>
        <v>0</v>
      </c>
      <c r="O37" s="56">
        <f t="shared" si="15"/>
        <v>0</v>
      </c>
      <c r="P37" s="56">
        <f t="shared" si="15"/>
        <v>22</v>
      </c>
      <c r="Q37" s="56">
        <f t="shared" si="15"/>
        <v>419</v>
      </c>
      <c r="R37" s="56">
        <f t="shared" si="15"/>
        <v>209</v>
      </c>
      <c r="S37" s="56">
        <f t="shared" si="15"/>
        <v>547</v>
      </c>
      <c r="T37" s="56">
        <f t="shared" si="15"/>
        <v>0</v>
      </c>
      <c r="U37" s="56">
        <f t="shared" si="15"/>
        <v>0</v>
      </c>
      <c r="V37" s="56">
        <f t="shared" si="15"/>
        <v>0</v>
      </c>
      <c r="W37" s="56">
        <f t="shared" si="15"/>
        <v>0</v>
      </c>
      <c r="X37" s="56">
        <f t="shared" si="15"/>
        <v>86</v>
      </c>
      <c r="Y37" s="56">
        <f t="shared" si="15"/>
        <v>30</v>
      </c>
      <c r="Z37" s="56">
        <f t="shared" si="15"/>
        <v>202</v>
      </c>
      <c r="AA37" s="56">
        <f t="shared" si="15"/>
        <v>0</v>
      </c>
      <c r="AB37" s="56">
        <f t="shared" si="15"/>
        <v>0</v>
      </c>
    </row>
    <row r="38" ht="20" customHeight="1" spans="1:32">
      <c r="A38" s="45" t="s">
        <v>84</v>
      </c>
      <c r="B38" s="46"/>
      <c r="C38" s="47">
        <f>C37/$B$37*100</f>
        <v>95.4756744052438</v>
      </c>
      <c r="D38" s="47">
        <f>D37/$B$37*100</f>
        <v>1.41148512783015</v>
      </c>
      <c r="E38" s="47"/>
      <c r="F38" s="47">
        <f>F37/$B$37*100</f>
        <v>3.11284046692607</v>
      </c>
      <c r="G38" s="47">
        <f t="shared" ref="D38:AB38" si="16">G37/$B$37*100</f>
        <v>0.0277094339807188</v>
      </c>
      <c r="H38" s="47">
        <f t="shared" si="16"/>
        <v>0.612383464340741</v>
      </c>
      <c r="I38" s="47">
        <f t="shared" si="16"/>
        <v>0.141017940615778</v>
      </c>
      <c r="J38" s="47">
        <f t="shared" si="16"/>
        <v>0</v>
      </c>
      <c r="K38" s="47">
        <f t="shared" si="16"/>
        <v>0</v>
      </c>
      <c r="L38" s="47">
        <f t="shared" si="16"/>
        <v>0.381270728331549</v>
      </c>
      <c r="M38" s="47">
        <f t="shared" si="16"/>
        <v>0</v>
      </c>
      <c r="N38" s="47">
        <f t="shared" si="16"/>
        <v>0</v>
      </c>
      <c r="O38" s="47">
        <f t="shared" si="16"/>
        <v>0</v>
      </c>
      <c r="P38" s="47">
        <f t="shared" si="16"/>
        <v>0.028725876792103</v>
      </c>
      <c r="Q38" s="47">
        <f t="shared" si="16"/>
        <v>0.547097380722325</v>
      </c>
      <c r="R38" s="47">
        <f t="shared" si="16"/>
        <v>0.272895829524978</v>
      </c>
      <c r="S38" s="47">
        <f t="shared" si="16"/>
        <v>0.71422975478547</v>
      </c>
      <c r="T38" s="47">
        <f t="shared" si="16"/>
        <v>0</v>
      </c>
      <c r="U38" s="47">
        <f t="shared" si="16"/>
        <v>0</v>
      </c>
      <c r="V38" s="47">
        <f t="shared" si="16"/>
        <v>0</v>
      </c>
      <c r="W38" s="47">
        <f t="shared" si="16"/>
        <v>0</v>
      </c>
      <c r="X38" s="47">
        <f t="shared" si="16"/>
        <v>0.112292063823675</v>
      </c>
      <c r="Y38" s="47">
        <f t="shared" si="16"/>
        <v>0.0391716501710495</v>
      </c>
      <c r="Z38" s="47">
        <f t="shared" si="16"/>
        <v>0.2637557778184</v>
      </c>
      <c r="AA38" s="47">
        <f t="shared" si="16"/>
        <v>0</v>
      </c>
      <c r="AB38" s="47">
        <f t="shared" si="16"/>
        <v>0</v>
      </c>
      <c r="AC38" s="69">
        <f>SUM(H38:AB38)</f>
        <v>3.11284046692607</v>
      </c>
      <c r="AF38">
        <f>AF36*(1-2.5%)</f>
        <v>2238.6</v>
      </c>
    </row>
    <row r="39" ht="20" customHeight="1" spans="1:28">
      <c r="A39" s="48">
        <v>45893</v>
      </c>
      <c r="B39" s="49"/>
      <c r="C39" s="49"/>
      <c r="D39" s="49"/>
      <c r="E39" s="50" t="e">
        <f t="shared" ref="E39:E45" si="17">D39/B39*100</f>
        <v>#DIV/0!</v>
      </c>
      <c r="F39" s="49">
        <f t="shared" ref="F39:F45" si="18">B39-(C39+D39)</f>
        <v>0</v>
      </c>
      <c r="G39" s="50" t="e">
        <f t="shared" ref="G39:G45" si="19">F39/B39*100</f>
        <v>#DIV/0!</v>
      </c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</row>
    <row r="40" ht="20" customHeight="1" spans="1:28">
      <c r="A40" s="39">
        <v>45894</v>
      </c>
      <c r="B40" s="58">
        <v>15667</v>
      </c>
      <c r="C40" s="58">
        <v>14501</v>
      </c>
      <c r="D40" s="58">
        <v>304</v>
      </c>
      <c r="E40" s="11">
        <f t="shared" si="17"/>
        <v>1.94038424714368</v>
      </c>
      <c r="F40" s="10">
        <f t="shared" si="18"/>
        <v>862</v>
      </c>
      <c r="G40" s="11">
        <f t="shared" si="19"/>
        <v>5.50201059551924</v>
      </c>
      <c r="H40" s="59">
        <v>195</v>
      </c>
      <c r="I40" s="59">
        <v>26</v>
      </c>
      <c r="J40" s="63"/>
      <c r="K40" s="64"/>
      <c r="L40" s="64">
        <v>387</v>
      </c>
      <c r="M40" s="64"/>
      <c r="N40" s="64"/>
      <c r="O40" s="64"/>
      <c r="P40" s="59"/>
      <c r="Q40" s="64">
        <v>9</v>
      </c>
      <c r="R40" s="64"/>
      <c r="S40" s="59">
        <v>127</v>
      </c>
      <c r="T40" s="64"/>
      <c r="U40" s="64"/>
      <c r="V40" s="64"/>
      <c r="W40" s="59"/>
      <c r="X40" s="59">
        <v>134</v>
      </c>
      <c r="Y40" s="59">
        <v>22</v>
      </c>
      <c r="Z40" s="59">
        <v>12</v>
      </c>
      <c r="AA40" s="64"/>
      <c r="AB40" s="63"/>
    </row>
    <row r="41" ht="20" customHeight="1" spans="1:28">
      <c r="A41" s="39">
        <v>45895</v>
      </c>
      <c r="B41" s="58">
        <v>12685</v>
      </c>
      <c r="C41" s="58">
        <v>12156</v>
      </c>
      <c r="D41" s="58">
        <v>112</v>
      </c>
      <c r="E41" s="11">
        <f t="shared" si="17"/>
        <v>0.882932597556169</v>
      </c>
      <c r="F41" s="10">
        <f t="shared" si="18"/>
        <v>417</v>
      </c>
      <c r="G41" s="11">
        <f t="shared" si="19"/>
        <v>3.28734726054395</v>
      </c>
      <c r="H41" s="59">
        <v>38</v>
      </c>
      <c r="I41" s="59">
        <v>9</v>
      </c>
      <c r="J41" s="63"/>
      <c r="K41" s="64"/>
      <c r="L41" s="64">
        <v>245</v>
      </c>
      <c r="M41" s="64"/>
      <c r="N41" s="64"/>
      <c r="O41" s="64"/>
      <c r="P41" s="59"/>
      <c r="Q41" s="64">
        <v>8</v>
      </c>
      <c r="R41" s="64"/>
      <c r="S41" s="59">
        <v>106</v>
      </c>
      <c r="T41" s="64"/>
      <c r="U41" s="64"/>
      <c r="V41" s="64"/>
      <c r="W41" s="59"/>
      <c r="X41" s="59"/>
      <c r="Y41" s="59">
        <v>10</v>
      </c>
      <c r="Z41" s="59">
        <v>1</v>
      </c>
      <c r="AA41" s="64"/>
      <c r="AB41" s="63"/>
    </row>
    <row r="42" s="23" customFormat="1" ht="20" customHeight="1" spans="1:29">
      <c r="A42" s="51">
        <v>45896</v>
      </c>
      <c r="B42" s="58">
        <v>13285</v>
      </c>
      <c r="C42" s="58">
        <v>12221</v>
      </c>
      <c r="D42" s="58">
        <v>415</v>
      </c>
      <c r="E42" s="52">
        <f t="shared" si="17"/>
        <v>3.12382386149793</v>
      </c>
      <c r="F42" s="40">
        <f t="shared" si="18"/>
        <v>649</v>
      </c>
      <c r="G42" s="52">
        <f t="shared" si="19"/>
        <v>4.88520888219797</v>
      </c>
      <c r="H42" s="58">
        <v>126</v>
      </c>
      <c r="I42" s="58">
        <v>38</v>
      </c>
      <c r="J42" s="82"/>
      <c r="K42" s="83"/>
      <c r="L42" s="83">
        <v>181</v>
      </c>
      <c r="M42" s="83"/>
      <c r="N42" s="83"/>
      <c r="O42" s="83"/>
      <c r="P42" s="58"/>
      <c r="Q42" s="83">
        <v>70</v>
      </c>
      <c r="R42" s="83"/>
      <c r="S42" s="58">
        <v>151</v>
      </c>
      <c r="T42" s="83"/>
      <c r="U42" s="83"/>
      <c r="V42" s="83"/>
      <c r="W42" s="58"/>
      <c r="X42" s="58">
        <v>42</v>
      </c>
      <c r="Y42" s="58">
        <v>25</v>
      </c>
      <c r="Z42" s="58">
        <v>16</v>
      </c>
      <c r="AA42" s="83"/>
      <c r="AB42" s="82"/>
      <c r="AC42" s="70"/>
    </row>
    <row r="43" ht="20" customHeight="1" spans="1:29">
      <c r="A43" s="39">
        <v>45897</v>
      </c>
      <c r="B43" s="87">
        <v>12634</v>
      </c>
      <c r="C43" s="87">
        <v>11597</v>
      </c>
      <c r="D43" s="87">
        <v>201</v>
      </c>
      <c r="E43" s="11">
        <f t="shared" si="17"/>
        <v>1.5909450688618</v>
      </c>
      <c r="F43" s="88">
        <f t="shared" si="18"/>
        <v>836</v>
      </c>
      <c r="G43" s="89">
        <f t="shared" si="19"/>
        <v>6.61706506252968</v>
      </c>
      <c r="H43" s="90">
        <v>80</v>
      </c>
      <c r="I43" s="90">
        <v>33</v>
      </c>
      <c r="J43" s="91"/>
      <c r="K43" s="91"/>
      <c r="L43" s="91">
        <v>309</v>
      </c>
      <c r="M43" s="91"/>
      <c r="N43" s="91"/>
      <c r="O43" s="91"/>
      <c r="P43" s="90"/>
      <c r="Q43" s="91">
        <v>43</v>
      </c>
      <c r="R43" s="91"/>
      <c r="S43" s="90">
        <v>218</v>
      </c>
      <c r="T43" s="91"/>
      <c r="U43" s="91"/>
      <c r="V43" s="91"/>
      <c r="W43" s="90"/>
      <c r="X43" s="90">
        <v>56</v>
      </c>
      <c r="Y43" s="90">
        <v>83</v>
      </c>
      <c r="Z43" s="90">
        <v>14</v>
      </c>
      <c r="AA43" s="91"/>
      <c r="AB43" s="63"/>
      <c r="AC43" s="93"/>
    </row>
    <row r="44" ht="20" customHeight="1" spans="1:28">
      <c r="A44" s="39">
        <v>45898</v>
      </c>
      <c r="B44" s="87">
        <v>12518</v>
      </c>
      <c r="C44" s="87">
        <v>11773</v>
      </c>
      <c r="D44" s="87">
        <v>345</v>
      </c>
      <c r="E44" s="11">
        <f t="shared" si="17"/>
        <v>2.75603131490653</v>
      </c>
      <c r="F44" s="88">
        <f t="shared" si="18"/>
        <v>400</v>
      </c>
      <c r="G44" s="89">
        <f t="shared" si="19"/>
        <v>3.19539862597859</v>
      </c>
      <c r="H44" s="90">
        <v>64</v>
      </c>
      <c r="I44" s="90">
        <v>30</v>
      </c>
      <c r="J44" s="91"/>
      <c r="K44" s="91"/>
      <c r="L44" s="91">
        <v>147</v>
      </c>
      <c r="M44" s="91"/>
      <c r="N44" s="91"/>
      <c r="O44" s="91"/>
      <c r="P44" s="90"/>
      <c r="Q44" s="91">
        <v>12</v>
      </c>
      <c r="R44" s="91"/>
      <c r="S44" s="90">
        <v>103</v>
      </c>
      <c r="T44" s="91"/>
      <c r="U44" s="91"/>
      <c r="V44" s="91"/>
      <c r="W44" s="90"/>
      <c r="X44" s="90">
        <v>18</v>
      </c>
      <c r="Y44" s="90">
        <v>16</v>
      </c>
      <c r="Z44" s="90">
        <v>10</v>
      </c>
      <c r="AA44" s="91"/>
      <c r="AB44" s="63"/>
    </row>
    <row r="45" ht="20" customHeight="1" spans="1:28">
      <c r="A45" s="39">
        <v>45899</v>
      </c>
      <c r="B45" s="87">
        <v>9290</v>
      </c>
      <c r="C45" s="87">
        <v>8841</v>
      </c>
      <c r="D45" s="87">
        <v>130</v>
      </c>
      <c r="E45" s="11">
        <f t="shared" si="17"/>
        <v>1.39935414424112</v>
      </c>
      <c r="F45" s="88">
        <f t="shared" si="18"/>
        <v>319</v>
      </c>
      <c r="G45" s="89">
        <f t="shared" si="19"/>
        <v>3.43379978471475</v>
      </c>
      <c r="H45" s="90">
        <v>67</v>
      </c>
      <c r="I45" s="90">
        <v>25</v>
      </c>
      <c r="J45" s="91"/>
      <c r="K45" s="91"/>
      <c r="L45" s="91">
        <v>85</v>
      </c>
      <c r="M45" s="91"/>
      <c r="N45" s="91"/>
      <c r="O45" s="91"/>
      <c r="P45" s="90"/>
      <c r="Q45" s="91">
        <v>15</v>
      </c>
      <c r="R45" s="91"/>
      <c r="S45" s="90">
        <v>86</v>
      </c>
      <c r="T45" s="91"/>
      <c r="U45" s="91"/>
      <c r="V45" s="91"/>
      <c r="W45" s="90"/>
      <c r="X45" s="90">
        <v>21</v>
      </c>
      <c r="Y45" s="90">
        <v>15</v>
      </c>
      <c r="Z45" s="90">
        <v>5</v>
      </c>
      <c r="AA45" s="91"/>
      <c r="AB45" s="63"/>
    </row>
    <row r="46" ht="22" customHeight="1" spans="1:28">
      <c r="A46" s="42" t="s">
        <v>40</v>
      </c>
      <c r="B46" s="56">
        <f t="shared" ref="B46:AB46" si="20">SUM(B39:B45)</f>
        <v>76079</v>
      </c>
      <c r="C46" s="56">
        <f t="shared" si="20"/>
        <v>71089</v>
      </c>
      <c r="D46" s="56">
        <f t="shared" si="20"/>
        <v>1507</v>
      </c>
      <c r="E46" s="56" t="e">
        <f t="shared" si="20"/>
        <v>#DIV/0!</v>
      </c>
      <c r="F46" s="56">
        <f t="shared" si="20"/>
        <v>3483</v>
      </c>
      <c r="G46" s="56" t="e">
        <f t="shared" si="20"/>
        <v>#DIV/0!</v>
      </c>
      <c r="H46" s="56">
        <f t="shared" si="20"/>
        <v>570</v>
      </c>
      <c r="I46" s="56">
        <f t="shared" si="20"/>
        <v>161</v>
      </c>
      <c r="J46" s="56">
        <f t="shared" si="20"/>
        <v>0</v>
      </c>
      <c r="K46" s="56">
        <f t="shared" si="20"/>
        <v>0</v>
      </c>
      <c r="L46" s="56">
        <f t="shared" si="20"/>
        <v>1354</v>
      </c>
      <c r="M46" s="56">
        <f t="shared" si="20"/>
        <v>0</v>
      </c>
      <c r="N46" s="56">
        <f t="shared" si="20"/>
        <v>0</v>
      </c>
      <c r="O46" s="56">
        <f t="shared" si="20"/>
        <v>0</v>
      </c>
      <c r="P46" s="56">
        <f t="shared" si="20"/>
        <v>0</v>
      </c>
      <c r="Q46" s="56">
        <f t="shared" si="20"/>
        <v>157</v>
      </c>
      <c r="R46" s="56">
        <f t="shared" si="20"/>
        <v>0</v>
      </c>
      <c r="S46" s="56">
        <f t="shared" si="20"/>
        <v>791</v>
      </c>
      <c r="T46" s="56">
        <f t="shared" si="20"/>
        <v>0</v>
      </c>
      <c r="U46" s="56">
        <f t="shared" si="20"/>
        <v>0</v>
      </c>
      <c r="V46" s="56">
        <f t="shared" si="20"/>
        <v>0</v>
      </c>
      <c r="W46" s="56">
        <f t="shared" si="20"/>
        <v>0</v>
      </c>
      <c r="X46" s="56">
        <f t="shared" si="20"/>
        <v>271</v>
      </c>
      <c r="Y46" s="56">
        <f t="shared" si="20"/>
        <v>171</v>
      </c>
      <c r="Z46" s="56">
        <f t="shared" si="20"/>
        <v>58</v>
      </c>
      <c r="AA46" s="56">
        <f t="shared" si="20"/>
        <v>0</v>
      </c>
      <c r="AB46" s="56">
        <f t="shared" si="20"/>
        <v>0</v>
      </c>
    </row>
    <row r="47" ht="22" customHeight="1" spans="1:29">
      <c r="A47" s="45" t="s">
        <v>84</v>
      </c>
      <c r="B47" s="46"/>
      <c r="C47" s="47">
        <f>C46/$B$46*100</f>
        <v>93.4410284046846</v>
      </c>
      <c r="D47" s="47">
        <f>D46/$B$46*100</f>
        <v>1.98083571024856</v>
      </c>
      <c r="E47" s="47" t="e">
        <f>E46/$B$46*100</f>
        <v>#DIV/0!</v>
      </c>
      <c r="F47" s="47">
        <f>F46/$B$46*100</f>
        <v>4.57813588506684</v>
      </c>
      <c r="G47" s="47" t="e">
        <f>G46/$B$46*100</f>
        <v>#DIV/0!</v>
      </c>
      <c r="H47" s="47">
        <f>H46/$B$46*100</f>
        <v>0.749221204274504</v>
      </c>
      <c r="I47" s="47">
        <f>I46/$B$46*100</f>
        <v>0.211622129628413</v>
      </c>
      <c r="J47" s="47">
        <f>J46/$B$46*100</f>
        <v>0</v>
      </c>
      <c r="K47" s="47">
        <f>K46/$B$46*100</f>
        <v>0</v>
      </c>
      <c r="L47" s="47">
        <f>L46/$B$46*100</f>
        <v>1.7797289659433</v>
      </c>
      <c r="M47" s="47">
        <f>M46/$B$46*100</f>
        <v>0</v>
      </c>
      <c r="N47" s="47">
        <f>N46/$B$46*100</f>
        <v>0</v>
      </c>
      <c r="O47" s="47">
        <f>O46/$B$46*100</f>
        <v>0</v>
      </c>
      <c r="P47" s="47">
        <f>P46/$B$46*100</f>
        <v>0</v>
      </c>
      <c r="Q47" s="47">
        <f>Q46/$B$46*100</f>
        <v>0.206364436966837</v>
      </c>
      <c r="R47" s="47">
        <f>R46/$B$46*100</f>
        <v>0</v>
      </c>
      <c r="S47" s="47">
        <f>S46/$B$46*100</f>
        <v>1.03970872382655</v>
      </c>
      <c r="T47" s="47">
        <f>T46/$B$46*100</f>
        <v>0</v>
      </c>
      <c r="U47" s="47">
        <f>U46/$B$46*100</f>
        <v>0</v>
      </c>
      <c r="V47" s="47">
        <f>V46/$B$46*100</f>
        <v>0</v>
      </c>
      <c r="W47" s="47">
        <f>W46/$B$46*100</f>
        <v>0</v>
      </c>
      <c r="X47" s="47">
        <f>X46/$B$46*100</f>
        <v>0.356208677821738</v>
      </c>
      <c r="Y47" s="47">
        <f>Y46/$B$46*100</f>
        <v>0.224766361282351</v>
      </c>
      <c r="Z47" s="47">
        <f>Z46/$B$46*100</f>
        <v>0.0762365435928443</v>
      </c>
      <c r="AA47" s="47">
        <f>AA46/$B$46*100</f>
        <v>0</v>
      </c>
      <c r="AB47" s="47">
        <f>AB46/$B$46*100</f>
        <v>0</v>
      </c>
      <c r="AC47" s="69">
        <f>SUM(H47:AB47)</f>
        <v>4.64385704333653</v>
      </c>
    </row>
    <row r="48" ht="20" customHeight="1" spans="1:28">
      <c r="A48" s="48">
        <v>45900</v>
      </c>
      <c r="B48" s="49"/>
      <c r="C48" s="49"/>
      <c r="D48" s="49"/>
      <c r="E48" s="50" t="e">
        <f>D48/B48*100</f>
        <v>#DIV/0!</v>
      </c>
      <c r="F48" s="49">
        <f>B48-(C48+D48)</f>
        <v>0</v>
      </c>
      <c r="G48" s="50" t="e">
        <f>F48/B48*100</f>
        <v>#DIV/0!</v>
      </c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</row>
    <row r="49" ht="36" customHeight="1" spans="1:28">
      <c r="A49" s="12" t="s">
        <v>40</v>
      </c>
      <c r="B49" s="13">
        <f>B46+B37+B28+B19+B10</f>
        <v>267149</v>
      </c>
      <c r="C49" s="13">
        <f t="shared" ref="C49:AB49" si="21">C46+C37+C28+C19+C10</f>
        <v>247269</v>
      </c>
      <c r="D49" s="13">
        <f t="shared" si="21"/>
        <v>9657</v>
      </c>
      <c r="E49" s="13" t="e">
        <f t="shared" si="21"/>
        <v>#DIV/0!</v>
      </c>
      <c r="F49" s="13">
        <f t="shared" si="21"/>
        <v>10764</v>
      </c>
      <c r="G49" s="13" t="e">
        <f t="shared" si="21"/>
        <v>#DIV/0!</v>
      </c>
      <c r="H49" s="13">
        <f t="shared" si="21"/>
        <v>2083</v>
      </c>
      <c r="I49" s="13">
        <f t="shared" si="21"/>
        <v>608</v>
      </c>
      <c r="J49" s="13">
        <f t="shared" si="21"/>
        <v>0</v>
      </c>
      <c r="K49" s="13">
        <f t="shared" si="21"/>
        <v>0</v>
      </c>
      <c r="L49" s="13">
        <f t="shared" si="21"/>
        <v>1764</v>
      </c>
      <c r="M49" s="13">
        <f t="shared" si="21"/>
        <v>0</v>
      </c>
      <c r="N49" s="13">
        <f t="shared" si="21"/>
        <v>0</v>
      </c>
      <c r="O49" s="13">
        <f t="shared" si="21"/>
        <v>0</v>
      </c>
      <c r="P49" s="13">
        <f t="shared" si="21"/>
        <v>587</v>
      </c>
      <c r="Q49" s="13">
        <f t="shared" si="21"/>
        <v>751</v>
      </c>
      <c r="R49" s="13">
        <f t="shared" si="21"/>
        <v>209</v>
      </c>
      <c r="S49" s="13">
        <f t="shared" si="21"/>
        <v>3005</v>
      </c>
      <c r="T49" s="13">
        <f t="shared" si="21"/>
        <v>0</v>
      </c>
      <c r="U49" s="13">
        <f t="shared" si="21"/>
        <v>0</v>
      </c>
      <c r="V49" s="13">
        <f t="shared" si="21"/>
        <v>0</v>
      </c>
      <c r="W49" s="13">
        <f t="shared" si="21"/>
        <v>0</v>
      </c>
      <c r="X49" s="13">
        <f t="shared" si="21"/>
        <v>840</v>
      </c>
      <c r="Y49" s="13">
        <f t="shared" si="21"/>
        <v>823</v>
      </c>
      <c r="Z49" s="13">
        <f t="shared" si="21"/>
        <v>644</v>
      </c>
      <c r="AA49" s="13">
        <f t="shared" si="21"/>
        <v>0</v>
      </c>
      <c r="AB49" s="13">
        <f t="shared" si="21"/>
        <v>0</v>
      </c>
    </row>
    <row r="50" ht="45" customHeight="1" spans="1:28">
      <c r="A50" s="17"/>
      <c r="B50" s="17"/>
      <c r="C50" s="11">
        <f>C49/B49*100</f>
        <v>92.5584598856818</v>
      </c>
      <c r="D50" s="11">
        <f>D49/B49*100</f>
        <v>3.61483666418366</v>
      </c>
      <c r="E50" s="11"/>
      <c r="F50" s="11">
        <f>F49/B49*100</f>
        <v>4.02921216250108</v>
      </c>
      <c r="G50" s="60" t="s">
        <v>86</v>
      </c>
      <c r="H50" s="11">
        <f>H49/$B$49*100</f>
        <v>0.779714691052559</v>
      </c>
      <c r="I50" s="11">
        <f>I49/$B$49*100</f>
        <v>0.22758834957271</v>
      </c>
      <c r="J50" s="11">
        <f>J49/$B$49*100</f>
        <v>0</v>
      </c>
      <c r="K50" s="11">
        <f>K49/$B$49*100</f>
        <v>0</v>
      </c>
      <c r="L50" s="11">
        <f>L49/B49*100</f>
        <v>0.660305672115561</v>
      </c>
      <c r="M50" s="11">
        <f>M49/B49*100</f>
        <v>0</v>
      </c>
      <c r="N50" s="11">
        <f>N49/B49*100</f>
        <v>0</v>
      </c>
      <c r="O50" s="11">
        <f>O49/B49*100</f>
        <v>0</v>
      </c>
      <c r="P50" s="11">
        <f>P49/$B$49*100</f>
        <v>0.219727567761811</v>
      </c>
      <c r="Q50" s="11">
        <f>Q49/$B$49*100</f>
        <v>0.281116530475502</v>
      </c>
      <c r="R50" s="11">
        <f>R49/$B$49*100</f>
        <v>0.0782334951656192</v>
      </c>
      <c r="S50" s="11">
        <f>S49/$B$49*100</f>
        <v>1.12484044484539</v>
      </c>
      <c r="T50" s="11">
        <f>T49/$B$49*100</f>
        <v>0</v>
      </c>
      <c r="U50" s="11">
        <f>U49/$B$49*100</f>
        <v>0</v>
      </c>
      <c r="V50" s="11">
        <f>V49/$B$49*100</f>
        <v>0</v>
      </c>
      <c r="W50" s="11">
        <f>W49/$B$49*100</f>
        <v>0</v>
      </c>
      <c r="X50" s="11">
        <f>X49/$B$49*100</f>
        <v>0.314431272435981</v>
      </c>
      <c r="Y50" s="11">
        <f>Y49/B49*100</f>
        <v>0.308067782398587</v>
      </c>
      <c r="Z50" s="11">
        <f>Z49/$B$49*100</f>
        <v>0.241063975534252</v>
      </c>
      <c r="AA50" s="11">
        <f>AA49/$B$49*100</f>
        <v>0</v>
      </c>
      <c r="AB50" s="11">
        <f>AB49/$B$49*100</f>
        <v>0</v>
      </c>
    </row>
    <row r="51" ht="22" customHeight="1" spans="7:30">
      <c r="G51" s="61" t="s">
        <v>87</v>
      </c>
      <c r="H51" s="62">
        <v>0.5</v>
      </c>
      <c r="I51" s="62">
        <v>0.7</v>
      </c>
      <c r="J51" s="62">
        <v>0.1</v>
      </c>
      <c r="K51" s="62">
        <v>0.1</v>
      </c>
      <c r="L51" s="62">
        <v>0.7</v>
      </c>
      <c r="M51" s="62">
        <v>0.1</v>
      </c>
      <c r="N51" s="62">
        <v>0.1</v>
      </c>
      <c r="O51" s="62">
        <v>0.1</v>
      </c>
      <c r="P51" s="62">
        <v>0.3</v>
      </c>
      <c r="Q51" s="62">
        <v>0.1</v>
      </c>
      <c r="R51" s="62">
        <v>0.1</v>
      </c>
      <c r="S51" s="62">
        <v>1</v>
      </c>
      <c r="T51" s="62">
        <v>0.1</v>
      </c>
      <c r="U51" s="62">
        <v>0.1</v>
      </c>
      <c r="V51" s="62">
        <v>0.1</v>
      </c>
      <c r="W51" s="62">
        <v>0.1</v>
      </c>
      <c r="X51" s="62">
        <v>0.1</v>
      </c>
      <c r="Y51" s="62">
        <v>0.3</v>
      </c>
      <c r="Z51" s="62">
        <v>0.1</v>
      </c>
      <c r="AA51" s="62">
        <v>0.1</v>
      </c>
      <c r="AB51" s="62">
        <v>0.1</v>
      </c>
      <c r="AC51" s="74">
        <f>SUM(H51:AB51)</f>
        <v>5</v>
      </c>
      <c r="AD51" s="75">
        <f>SUM(H50:AB50)</f>
        <v>4.23508978135797</v>
      </c>
    </row>
    <row r="52" ht="21" customHeight="1" spans="7:28">
      <c r="G52" s="18" t="s">
        <v>88</v>
      </c>
      <c r="H52" s="11">
        <f t="shared" ref="H52:AB52" si="22">H51-H50</f>
        <v>-0.279714691052559</v>
      </c>
      <c r="I52" s="11">
        <f t="shared" si="22"/>
        <v>0.47241165042729</v>
      </c>
      <c r="J52" s="11">
        <f t="shared" si="22"/>
        <v>0.1</v>
      </c>
      <c r="K52" s="11">
        <f t="shared" si="22"/>
        <v>0.1</v>
      </c>
      <c r="L52" s="11">
        <f t="shared" si="22"/>
        <v>0.0396943278844391</v>
      </c>
      <c r="M52" s="11">
        <f t="shared" si="22"/>
        <v>0.1</v>
      </c>
      <c r="N52" s="11">
        <f t="shared" si="22"/>
        <v>0.1</v>
      </c>
      <c r="O52" s="11">
        <f t="shared" si="22"/>
        <v>0.1</v>
      </c>
      <c r="P52" s="11">
        <f t="shared" si="22"/>
        <v>0.0802724322381892</v>
      </c>
      <c r="Q52" s="11">
        <f t="shared" si="22"/>
        <v>-0.181116530475502</v>
      </c>
      <c r="R52" s="11">
        <f t="shared" si="22"/>
        <v>0.0217665048343808</v>
      </c>
      <c r="S52" s="11">
        <f t="shared" si="22"/>
        <v>-0.124840444845386</v>
      </c>
      <c r="T52" s="11">
        <f t="shared" si="22"/>
        <v>0.1</v>
      </c>
      <c r="U52" s="11">
        <f t="shared" si="22"/>
        <v>0.1</v>
      </c>
      <c r="V52" s="11">
        <f t="shared" si="22"/>
        <v>0.1</v>
      </c>
      <c r="W52" s="11">
        <f t="shared" si="22"/>
        <v>0.1</v>
      </c>
      <c r="X52" s="11">
        <f t="shared" si="22"/>
        <v>-0.214431272435981</v>
      </c>
      <c r="Y52" s="11">
        <f t="shared" si="22"/>
        <v>-0.00806778239858658</v>
      </c>
      <c r="Z52" s="11">
        <f t="shared" si="22"/>
        <v>-0.141063975534252</v>
      </c>
      <c r="AA52" s="11">
        <f t="shared" si="22"/>
        <v>0.1</v>
      </c>
      <c r="AB52" s="11">
        <f t="shared" si="22"/>
        <v>0.1</v>
      </c>
    </row>
    <row r="53" spans="8:28"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</row>
  </sheetData>
  <mergeCells count="21">
    <mergeCell ref="X1:Z1"/>
    <mergeCell ref="AA1:AB1"/>
    <mergeCell ref="X2:Z2"/>
    <mergeCell ref="AA2:AB2"/>
    <mergeCell ref="X3:Z3"/>
    <mergeCell ref="AA3:AB3"/>
    <mergeCell ref="B4:W4"/>
    <mergeCell ref="X4:AB4"/>
    <mergeCell ref="H5:AB5"/>
    <mergeCell ref="B18:AB18"/>
    <mergeCell ref="B26:AB26"/>
    <mergeCell ref="B27:AB27"/>
    <mergeCell ref="A1:A4"/>
    <mergeCell ref="A5:A7"/>
    <mergeCell ref="B5:B7"/>
    <mergeCell ref="C5:C7"/>
    <mergeCell ref="D5:D7"/>
    <mergeCell ref="E5:E7"/>
    <mergeCell ref="F5:F7"/>
    <mergeCell ref="G5:G7"/>
    <mergeCell ref="B1:W3"/>
  </mergeCells>
  <conditionalFormatting sqref="H50:K50">
    <cfRule type="cellIs" dxfId="0" priority="16" operator="lessThan">
      <formula>$J$51</formula>
    </cfRule>
    <cfRule type="cellIs" dxfId="1" priority="17" operator="greaterThan">
      <formula>$J$51</formula>
    </cfRule>
  </conditionalFormatting>
  <conditionalFormatting sqref="L50:O50">
    <cfRule type="cellIs" dxfId="0" priority="12" operator="lessThan">
      <formula>$M$51</formula>
    </cfRule>
    <cfRule type="cellIs" dxfId="1" priority="13" operator="greaterThan">
      <formula>$M$51</formula>
    </cfRule>
  </conditionalFormatting>
  <conditionalFormatting sqref="P50:R50">
    <cfRule type="cellIs" dxfId="0" priority="10" operator="lessThan">
      <formula>$Q$51</formula>
    </cfRule>
    <cfRule type="cellIs" dxfId="1" priority="11" operator="greaterThan">
      <formula>$Q$51</formula>
    </cfRule>
  </conditionalFormatting>
  <conditionalFormatting sqref="S50:X50">
    <cfRule type="cellIs" dxfId="0" priority="8" operator="lessThan">
      <formula>$X$51</formula>
    </cfRule>
    <cfRule type="cellIs" dxfId="1" priority="9" operator="greaterThan">
      <formula>$X$51</formula>
    </cfRule>
  </conditionalFormatting>
  <conditionalFormatting sqref="Y50">
    <cfRule type="cellIs" dxfId="0" priority="6" operator="lessThan">
      <formula>$Y$51</formula>
    </cfRule>
    <cfRule type="cellIs" dxfId="1" priority="7" operator="greaterThan">
      <formula>$Y$51</formula>
    </cfRule>
  </conditionalFormatting>
  <conditionalFormatting sqref="Z50:AB50">
    <cfRule type="cellIs" dxfId="0" priority="4" operator="lessThan">
      <formula>$AA$51</formula>
    </cfRule>
    <cfRule type="cellIs" dxfId="1" priority="5" operator="greaterThan">
      <formula>$AA$51</formula>
    </cfRule>
  </conditionalFormatting>
  <conditionalFormatting sqref="H52">
    <cfRule type="cellIs" dxfId="1" priority="3" operator="lessThan">
      <formula>0</formula>
    </cfRule>
  </conditionalFormatting>
  <conditionalFormatting sqref="H52:AB52">
    <cfRule type="cellIs" dxfId="3" priority="1" operator="greaterThan">
      <formula>0</formula>
    </cfRule>
    <cfRule type="cellIs" dxfId="2" priority="2" operator="lessThan">
      <formula>0</formula>
    </cfRule>
  </conditionalFormatting>
  <pageMargins left="0.251388888888889" right="0.251388888888889" top="0.197222222222222" bottom="0.251388888888889" header="0.298611111111111" footer="0.298611111111111"/>
  <pageSetup paperSize="9" scale="50" orientation="landscape" horizontalDpi="600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D52"/>
  <sheetViews>
    <sheetView zoomScale="85" zoomScaleNormal="85" zoomScalePageLayoutView="85" workbookViewId="0">
      <pane xSplit="1" ySplit="7" topLeftCell="B8" activePane="bottomRight" state="frozen"/>
      <selection/>
      <selection pane="topRight"/>
      <selection pane="bottomLeft"/>
      <selection pane="bottomRight" activeCell="AE3" sqref="AE3"/>
    </sheetView>
  </sheetViews>
  <sheetFormatPr defaultColWidth="9.14285714285714" defaultRowHeight="15"/>
  <cols>
    <col min="1" max="1" width="13.7142857142857" customWidth="1"/>
    <col min="2" max="7" width="10.952380952381" customWidth="1"/>
    <col min="8" max="28" width="8.71428571428571" customWidth="1"/>
    <col min="29" max="29" width="9.14285714285714" style="25"/>
    <col min="30" max="30" width="12.8571428571429"/>
  </cols>
  <sheetData>
    <row r="1" ht="20" customHeight="1" spans="1:28">
      <c r="A1" s="1"/>
      <c r="B1" s="76" t="s">
        <v>82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20" t="s">
        <v>83</v>
      </c>
      <c r="Y1" s="20"/>
      <c r="Z1" s="20"/>
      <c r="AA1" s="21" t="s">
        <v>77</v>
      </c>
      <c r="AB1" s="21"/>
    </row>
    <row r="2" ht="15.75" spans="1:28">
      <c r="A2" s="1"/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20" t="s">
        <v>91</v>
      </c>
      <c r="Y2" s="20"/>
      <c r="Z2" s="20"/>
      <c r="AA2" s="167" t="s">
        <v>89</v>
      </c>
      <c r="AB2" s="21"/>
    </row>
    <row r="3" ht="22" customHeight="1" spans="1:28">
      <c r="A3" s="1"/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20" t="s">
        <v>79</v>
      </c>
      <c r="Y3" s="20"/>
      <c r="Z3" s="20"/>
      <c r="AA3" s="22">
        <v>45607</v>
      </c>
      <c r="AB3" s="21"/>
    </row>
    <row r="4" ht="23.25" spans="1:28">
      <c r="A4" s="1"/>
      <c r="B4" s="78" t="s">
        <v>80</v>
      </c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1" t="s">
        <v>8</v>
      </c>
      <c r="Y4" s="1"/>
      <c r="Z4" s="1"/>
      <c r="AA4" s="1"/>
      <c r="AB4" s="1"/>
    </row>
    <row r="5" spans="1:28">
      <c r="A5" s="34" t="s">
        <v>81</v>
      </c>
      <c r="B5" s="34" t="s">
        <v>12</v>
      </c>
      <c r="C5" s="35" t="s">
        <v>13</v>
      </c>
      <c r="D5" s="35" t="s">
        <v>14</v>
      </c>
      <c r="E5" s="36" t="s">
        <v>90</v>
      </c>
      <c r="F5" s="35" t="s">
        <v>16</v>
      </c>
      <c r="G5" s="34" t="s">
        <v>17</v>
      </c>
      <c r="H5" s="34" t="s">
        <v>18</v>
      </c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</row>
    <row r="6" spans="1:28">
      <c r="A6" s="34"/>
      <c r="B6" s="34"/>
      <c r="C6" s="35"/>
      <c r="D6" s="35"/>
      <c r="E6" s="37"/>
      <c r="F6" s="35"/>
      <c r="G6" s="34"/>
      <c r="H6" s="34">
        <v>1</v>
      </c>
      <c r="I6" s="34">
        <v>2</v>
      </c>
      <c r="J6" s="34">
        <v>3</v>
      </c>
      <c r="K6" s="34">
        <v>4</v>
      </c>
      <c r="L6" s="34">
        <v>5</v>
      </c>
      <c r="M6" s="34">
        <v>6</v>
      </c>
      <c r="N6" s="34">
        <v>7</v>
      </c>
      <c r="O6" s="34">
        <v>8</v>
      </c>
      <c r="P6" s="34">
        <v>9</v>
      </c>
      <c r="Q6" s="34">
        <v>10</v>
      </c>
      <c r="R6" s="34">
        <v>11</v>
      </c>
      <c r="S6" s="34">
        <v>12</v>
      </c>
      <c r="T6" s="34">
        <v>13</v>
      </c>
      <c r="U6" s="34">
        <v>14</v>
      </c>
      <c r="V6" s="34">
        <v>15</v>
      </c>
      <c r="W6" s="34">
        <v>16</v>
      </c>
      <c r="X6" s="34">
        <v>17</v>
      </c>
      <c r="Y6" s="34">
        <v>18</v>
      </c>
      <c r="Z6" s="34">
        <v>19</v>
      </c>
      <c r="AA6" s="34">
        <v>20</v>
      </c>
      <c r="AB6" s="34">
        <v>21</v>
      </c>
    </row>
    <row r="7" spans="1:28">
      <c r="A7" s="34"/>
      <c r="B7" s="34"/>
      <c r="C7" s="35"/>
      <c r="D7" s="35"/>
      <c r="E7" s="38"/>
      <c r="F7" s="35"/>
      <c r="G7" s="34"/>
      <c r="H7" s="34" t="s">
        <v>19</v>
      </c>
      <c r="I7" s="34" t="s">
        <v>20</v>
      </c>
      <c r="J7" s="34" t="s">
        <v>21</v>
      </c>
      <c r="K7" s="34" t="s">
        <v>22</v>
      </c>
      <c r="L7" s="34" t="s">
        <v>23</v>
      </c>
      <c r="M7" s="34" t="s">
        <v>24</v>
      </c>
      <c r="N7" s="34" t="s">
        <v>25</v>
      </c>
      <c r="O7" s="34" t="s">
        <v>26</v>
      </c>
      <c r="P7" s="34" t="s">
        <v>27</v>
      </c>
      <c r="Q7" s="34" t="s">
        <v>28</v>
      </c>
      <c r="R7" s="34" t="s">
        <v>29</v>
      </c>
      <c r="S7" s="34" t="s">
        <v>30</v>
      </c>
      <c r="T7" s="34" t="s">
        <v>31</v>
      </c>
      <c r="U7" s="34" t="s">
        <v>32</v>
      </c>
      <c r="V7" s="34" t="s">
        <v>33</v>
      </c>
      <c r="W7" s="34" t="s">
        <v>34</v>
      </c>
      <c r="X7" s="34" t="s">
        <v>35</v>
      </c>
      <c r="Y7" s="34" t="s">
        <v>36</v>
      </c>
      <c r="Z7" s="34" t="s">
        <v>37</v>
      </c>
      <c r="AA7" s="34" t="s">
        <v>38</v>
      </c>
      <c r="AB7" s="34" t="s">
        <v>39</v>
      </c>
    </row>
    <row r="8" ht="20" customHeight="1" spans="1:28">
      <c r="A8" s="39">
        <v>45901</v>
      </c>
      <c r="B8" s="10">
        <v>10978</v>
      </c>
      <c r="C8" s="10">
        <v>10362</v>
      </c>
      <c r="D8" s="10">
        <v>160</v>
      </c>
      <c r="E8" s="11">
        <f t="shared" ref="E8:E13" si="0">D8/B8*100</f>
        <v>1.45746037529605</v>
      </c>
      <c r="F8" s="40">
        <f t="shared" ref="F8:F13" si="1">B8-(C8+D8)</f>
        <v>456</v>
      </c>
      <c r="G8" s="11">
        <f>F8/B8*100</f>
        <v>4.15376206959373</v>
      </c>
      <c r="H8" s="10">
        <v>23</v>
      </c>
      <c r="I8" s="10">
        <v>30</v>
      </c>
      <c r="J8" s="10"/>
      <c r="K8" s="10"/>
      <c r="L8" s="10">
        <v>221</v>
      </c>
      <c r="M8" s="10"/>
      <c r="N8" s="10"/>
      <c r="O8" s="10"/>
      <c r="P8" s="10"/>
      <c r="Q8" s="10">
        <v>48</v>
      </c>
      <c r="R8" s="10"/>
      <c r="S8" s="10">
        <v>107</v>
      </c>
      <c r="T8" s="10"/>
      <c r="U8" s="10"/>
      <c r="V8" s="10"/>
      <c r="W8" s="10"/>
      <c r="X8" s="10">
        <v>1</v>
      </c>
      <c r="Y8" s="10">
        <v>13</v>
      </c>
      <c r="Z8" s="10">
        <v>13</v>
      </c>
      <c r="AA8" s="10" t="s">
        <v>93</v>
      </c>
      <c r="AB8" s="10"/>
    </row>
    <row r="9" ht="20" customHeight="1" spans="1:28">
      <c r="A9" s="39">
        <v>45902</v>
      </c>
      <c r="B9" s="10">
        <v>11564</v>
      </c>
      <c r="C9" s="10">
        <v>10203</v>
      </c>
      <c r="D9" s="10">
        <v>121</v>
      </c>
      <c r="E9" s="11">
        <f t="shared" si="0"/>
        <v>1.04635074368731</v>
      </c>
      <c r="F9" s="40">
        <f t="shared" si="1"/>
        <v>1240</v>
      </c>
      <c r="G9" s="11">
        <f>F9/B9*100</f>
        <v>10.722933241093</v>
      </c>
      <c r="H9" s="10">
        <v>26</v>
      </c>
      <c r="I9" s="10">
        <v>57</v>
      </c>
      <c r="J9" s="10"/>
      <c r="K9" s="10"/>
      <c r="L9" s="10">
        <v>1000</v>
      </c>
      <c r="M9" s="10"/>
      <c r="N9" s="10"/>
      <c r="O9" s="10"/>
      <c r="P9" s="10"/>
      <c r="Q9" s="10">
        <v>66</v>
      </c>
      <c r="R9" s="10"/>
      <c r="S9" s="10">
        <v>65</v>
      </c>
      <c r="T9" s="10"/>
      <c r="U9" s="10"/>
      <c r="V9" s="10"/>
      <c r="W9" s="10"/>
      <c r="X9" s="10"/>
      <c r="Y9" s="10">
        <v>21</v>
      </c>
      <c r="Z9" s="10">
        <v>5</v>
      </c>
      <c r="AA9" s="10"/>
      <c r="AB9" s="10"/>
    </row>
    <row r="10" ht="20" customHeight="1" spans="1:28">
      <c r="A10" s="39">
        <v>45903</v>
      </c>
      <c r="B10" s="10">
        <v>15899</v>
      </c>
      <c r="C10" s="10">
        <v>13162</v>
      </c>
      <c r="D10" s="10">
        <v>375</v>
      </c>
      <c r="E10" s="11">
        <f t="shared" si="0"/>
        <v>2.35863890810743</v>
      </c>
      <c r="F10" s="40">
        <f t="shared" si="1"/>
        <v>2362</v>
      </c>
      <c r="G10" s="11">
        <f>F10/B10*100</f>
        <v>14.8562802691993</v>
      </c>
      <c r="H10" s="10">
        <v>60</v>
      </c>
      <c r="I10" s="10">
        <v>64</v>
      </c>
      <c r="J10" s="10"/>
      <c r="K10" s="10"/>
      <c r="L10" s="10">
        <v>1355</v>
      </c>
      <c r="M10" s="10"/>
      <c r="N10" s="10"/>
      <c r="O10" s="10"/>
      <c r="P10" s="10"/>
      <c r="Q10" s="10">
        <v>311</v>
      </c>
      <c r="R10" s="10"/>
      <c r="S10" s="10">
        <v>164</v>
      </c>
      <c r="T10" s="10"/>
      <c r="U10" s="10"/>
      <c r="V10" s="10"/>
      <c r="W10" s="10"/>
      <c r="X10" s="10">
        <v>374</v>
      </c>
      <c r="Y10" s="10">
        <v>28</v>
      </c>
      <c r="Z10" s="10">
        <v>6</v>
      </c>
      <c r="AA10" s="10"/>
      <c r="AB10" s="10"/>
    </row>
    <row r="11" ht="20" customHeight="1" spans="1:28">
      <c r="A11" s="39">
        <v>45904</v>
      </c>
      <c r="B11" s="10">
        <v>16134</v>
      </c>
      <c r="C11" s="10">
        <v>15038</v>
      </c>
      <c r="D11" s="10">
        <v>160</v>
      </c>
      <c r="E11" s="11">
        <f t="shared" si="0"/>
        <v>0.991694558076113</v>
      </c>
      <c r="F11" s="40">
        <f t="shared" si="1"/>
        <v>936</v>
      </c>
      <c r="G11" s="11">
        <f>F11/B11*100</f>
        <v>5.80141316474526</v>
      </c>
      <c r="H11" s="10">
        <v>24</v>
      </c>
      <c r="I11" s="10">
        <v>26</v>
      </c>
      <c r="J11" s="10"/>
      <c r="K11" s="10"/>
      <c r="L11" s="10">
        <v>745</v>
      </c>
      <c r="M11" s="10"/>
      <c r="N11" s="10"/>
      <c r="O11" s="10"/>
      <c r="P11" s="10"/>
      <c r="Q11" s="10">
        <v>7</v>
      </c>
      <c r="R11" s="10"/>
      <c r="S11" s="10">
        <v>108</v>
      </c>
      <c r="T11" s="10"/>
      <c r="U11" s="10"/>
      <c r="V11" s="10"/>
      <c r="W11" s="10"/>
      <c r="X11" s="10"/>
      <c r="Y11" s="10">
        <v>24</v>
      </c>
      <c r="Z11" s="10">
        <v>2</v>
      </c>
      <c r="AA11" s="10"/>
      <c r="AB11" s="10"/>
    </row>
    <row r="12" ht="20" customHeight="1" spans="1:28">
      <c r="A12" s="39">
        <v>45905</v>
      </c>
      <c r="B12" s="10">
        <v>11960</v>
      </c>
      <c r="C12" s="10">
        <v>9933</v>
      </c>
      <c r="D12" s="10">
        <v>134</v>
      </c>
      <c r="E12" s="11">
        <f t="shared" si="0"/>
        <v>1.12040133779264</v>
      </c>
      <c r="F12" s="40">
        <f t="shared" si="1"/>
        <v>1893</v>
      </c>
      <c r="G12" s="11">
        <f>F12/B12*100</f>
        <v>15.8277591973244</v>
      </c>
      <c r="H12" s="10">
        <v>30</v>
      </c>
      <c r="I12" s="10">
        <v>6</v>
      </c>
      <c r="J12" s="10"/>
      <c r="K12" s="10"/>
      <c r="L12" s="10">
        <v>1743</v>
      </c>
      <c r="M12" s="10"/>
      <c r="N12" s="10"/>
      <c r="O12" s="10"/>
      <c r="P12" s="10"/>
      <c r="Q12" s="10">
        <v>3</v>
      </c>
      <c r="R12" s="10"/>
      <c r="S12" s="10">
        <v>66</v>
      </c>
      <c r="T12" s="10"/>
      <c r="U12" s="10"/>
      <c r="V12" s="10"/>
      <c r="W12" s="10"/>
      <c r="X12" s="10"/>
      <c r="Y12" s="10">
        <v>39</v>
      </c>
      <c r="Z12" s="10">
        <v>6</v>
      </c>
      <c r="AA12" s="10"/>
      <c r="AB12" s="10"/>
    </row>
    <row r="13" ht="20" customHeight="1" spans="1:28">
      <c r="A13" s="39">
        <v>45906</v>
      </c>
      <c r="B13" s="10">
        <v>12754</v>
      </c>
      <c r="C13" s="10">
        <v>11459</v>
      </c>
      <c r="D13" s="10">
        <v>166</v>
      </c>
      <c r="E13" s="11">
        <f t="shared" si="0"/>
        <v>1.30155245413204</v>
      </c>
      <c r="F13" s="40">
        <f t="shared" si="1"/>
        <v>1129</v>
      </c>
      <c r="G13" s="11">
        <f t="shared" ref="G13:G22" si="2">F13/B13*100</f>
        <v>8.85212482358476</v>
      </c>
      <c r="H13" s="10">
        <v>27</v>
      </c>
      <c r="I13" s="10">
        <v>46</v>
      </c>
      <c r="J13" s="10"/>
      <c r="K13" s="10"/>
      <c r="L13" s="10">
        <v>887</v>
      </c>
      <c r="M13" s="10"/>
      <c r="N13" s="10"/>
      <c r="O13" s="10"/>
      <c r="P13" s="10"/>
      <c r="Q13" s="10">
        <v>108</v>
      </c>
      <c r="R13" s="10"/>
      <c r="S13" s="10"/>
      <c r="T13" s="10"/>
      <c r="U13" s="10"/>
      <c r="V13" s="10"/>
      <c r="W13" s="10"/>
      <c r="X13" s="10"/>
      <c r="Y13" s="10">
        <v>8</v>
      </c>
      <c r="Z13" s="10">
        <v>53</v>
      </c>
      <c r="AA13" s="10"/>
      <c r="AB13" s="10"/>
    </row>
    <row r="14" ht="20" customHeight="1" spans="1:28">
      <c r="A14" s="42" t="s">
        <v>40</v>
      </c>
      <c r="B14" s="43">
        <f t="shared" ref="B14:AB14" si="3">SUM(B8:B13)</f>
        <v>79289</v>
      </c>
      <c r="C14" s="43">
        <f t="shared" si="3"/>
        <v>70157</v>
      </c>
      <c r="D14" s="43">
        <f t="shared" si="3"/>
        <v>1116</v>
      </c>
      <c r="E14" s="44">
        <f t="shared" si="3"/>
        <v>8.27609837709158</v>
      </c>
      <c r="F14" s="43">
        <f t="shared" si="3"/>
        <v>8016</v>
      </c>
      <c r="G14" s="43">
        <f t="shared" si="3"/>
        <v>60.2142727655405</v>
      </c>
      <c r="H14" s="43">
        <f t="shared" si="3"/>
        <v>190</v>
      </c>
      <c r="I14" s="43">
        <f t="shared" si="3"/>
        <v>229</v>
      </c>
      <c r="J14" s="43">
        <f t="shared" si="3"/>
        <v>0</v>
      </c>
      <c r="K14" s="43">
        <f t="shared" si="3"/>
        <v>0</v>
      </c>
      <c r="L14" s="43">
        <f t="shared" si="3"/>
        <v>5951</v>
      </c>
      <c r="M14" s="43">
        <f t="shared" si="3"/>
        <v>0</v>
      </c>
      <c r="N14" s="43">
        <f t="shared" si="3"/>
        <v>0</v>
      </c>
      <c r="O14" s="43">
        <f t="shared" si="3"/>
        <v>0</v>
      </c>
      <c r="P14" s="43">
        <f t="shared" si="3"/>
        <v>0</v>
      </c>
      <c r="Q14" s="43">
        <f t="shared" si="3"/>
        <v>543</v>
      </c>
      <c r="R14" s="43">
        <f t="shared" si="3"/>
        <v>0</v>
      </c>
      <c r="S14" s="43">
        <f t="shared" si="3"/>
        <v>510</v>
      </c>
      <c r="T14" s="43">
        <f t="shared" si="3"/>
        <v>0</v>
      </c>
      <c r="U14" s="43">
        <f t="shared" si="3"/>
        <v>0</v>
      </c>
      <c r="V14" s="43">
        <f t="shared" si="3"/>
        <v>0</v>
      </c>
      <c r="W14" s="43">
        <f t="shared" si="3"/>
        <v>0</v>
      </c>
      <c r="X14" s="43">
        <f t="shared" si="3"/>
        <v>375</v>
      </c>
      <c r="Y14" s="43">
        <f t="shared" si="3"/>
        <v>133</v>
      </c>
      <c r="Z14" s="43">
        <f t="shared" si="3"/>
        <v>85</v>
      </c>
      <c r="AA14" s="43">
        <f t="shared" si="3"/>
        <v>0</v>
      </c>
      <c r="AB14" s="43">
        <f t="shared" si="3"/>
        <v>0</v>
      </c>
    </row>
    <row r="15" ht="20" customHeight="1" spans="1:29">
      <c r="A15" s="45" t="s">
        <v>84</v>
      </c>
      <c r="B15" s="46"/>
      <c r="C15" s="47">
        <f>C14/$B$14*100</f>
        <v>88.4826394581846</v>
      </c>
      <c r="D15" s="47">
        <f>D14/$B$14*100</f>
        <v>1.40750923835589</v>
      </c>
      <c r="E15" s="47">
        <f>E14/$B$14*100</f>
        <v>0.0104378897162174</v>
      </c>
      <c r="F15" s="47">
        <f>F14/$B$14*100</f>
        <v>10.1098513034595</v>
      </c>
      <c r="G15" s="47">
        <f>G14/$B$14*100</f>
        <v>0.075942782435824</v>
      </c>
      <c r="H15" s="47">
        <f>H14/$B$14*100</f>
        <v>0.239629709039085</v>
      </c>
      <c r="I15" s="47">
        <f>I14/$B$14*100</f>
        <v>0.288816859841844</v>
      </c>
      <c r="J15" s="47">
        <f>J14/$B$14*100</f>
        <v>0</v>
      </c>
      <c r="K15" s="47">
        <f>K14/$B$14*100</f>
        <v>0</v>
      </c>
      <c r="L15" s="47">
        <f>L14/$B$14*100</f>
        <v>7.50545472890313</v>
      </c>
      <c r="M15" s="47">
        <f>M14/$B$14*100</f>
        <v>0</v>
      </c>
      <c r="N15" s="47">
        <f>N14/$B$14*100</f>
        <v>0</v>
      </c>
      <c r="O15" s="47">
        <f>O14/$B$14*100</f>
        <v>0</v>
      </c>
      <c r="P15" s="47">
        <f>P14/$B$14*100</f>
        <v>0</v>
      </c>
      <c r="Q15" s="47">
        <f>Q14/$B$14*100</f>
        <v>0.684836484253806</v>
      </c>
      <c r="R15" s="47">
        <f>R14/$B$14*100</f>
        <v>0</v>
      </c>
      <c r="S15" s="47">
        <f>S14/$B$14*100</f>
        <v>0.643216587420702</v>
      </c>
      <c r="T15" s="47">
        <f>T14/$B$14*100</f>
        <v>0</v>
      </c>
      <c r="U15" s="47">
        <f>U14/$B$14*100</f>
        <v>0</v>
      </c>
      <c r="V15" s="47">
        <f>V14/$B$14*100</f>
        <v>0</v>
      </c>
      <c r="W15" s="47">
        <f>W14/$B$14*100</f>
        <v>0</v>
      </c>
      <c r="X15" s="47">
        <f>X14/$B$14*100</f>
        <v>0.472953373103457</v>
      </c>
      <c r="Y15" s="47">
        <f>Y14/$B$14*100</f>
        <v>0.167740796327359</v>
      </c>
      <c r="Z15" s="47">
        <f>Z14/$B$14*100</f>
        <v>0.107202764570117</v>
      </c>
      <c r="AA15" s="47">
        <f>AA14/$B$14*100</f>
        <v>0</v>
      </c>
      <c r="AB15" s="47">
        <f>AB14/$B$14*100</f>
        <v>0</v>
      </c>
      <c r="AC15" s="69">
        <f>SUM(H15:AB15)</f>
        <v>10.1098513034595</v>
      </c>
    </row>
    <row r="16" ht="20" customHeight="1" spans="1:28">
      <c r="A16" s="48">
        <v>45907</v>
      </c>
      <c r="B16" s="49"/>
      <c r="C16" s="49"/>
      <c r="D16" s="49"/>
      <c r="E16" s="50" t="e">
        <f t="shared" ref="E16:E23" si="4">D16/B16*100</f>
        <v>#DIV/0!</v>
      </c>
      <c r="F16" s="49">
        <f t="shared" ref="F16:F22" si="5">B16-(C16+D16)</f>
        <v>0</v>
      </c>
      <c r="G16" s="50" t="e">
        <f t="shared" si="2"/>
        <v>#DIV/0!</v>
      </c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</row>
    <row r="17" ht="20" customHeight="1" spans="1:28">
      <c r="A17" s="51">
        <v>45908</v>
      </c>
      <c r="B17" s="10">
        <v>20305</v>
      </c>
      <c r="C17" s="10">
        <v>18898</v>
      </c>
      <c r="D17" s="10">
        <v>318</v>
      </c>
      <c r="E17" s="11">
        <f t="shared" si="4"/>
        <v>1.5661167200197</v>
      </c>
      <c r="F17" s="10">
        <f t="shared" si="5"/>
        <v>1089</v>
      </c>
      <c r="G17" s="11">
        <f t="shared" si="2"/>
        <v>5.36321103176558</v>
      </c>
      <c r="H17" s="10">
        <v>55</v>
      </c>
      <c r="I17" s="10">
        <v>29</v>
      </c>
      <c r="J17" s="10"/>
      <c r="K17" s="10"/>
      <c r="L17" s="10">
        <v>847</v>
      </c>
      <c r="M17" s="10"/>
      <c r="N17" s="10"/>
      <c r="O17" s="10"/>
      <c r="P17" s="10"/>
      <c r="Q17" s="10">
        <v>17</v>
      </c>
      <c r="R17" s="10"/>
      <c r="S17" s="10">
        <v>91</v>
      </c>
      <c r="T17" s="10"/>
      <c r="U17" s="10"/>
      <c r="V17" s="10"/>
      <c r="W17" s="10"/>
      <c r="X17" s="10"/>
      <c r="Y17" s="10">
        <v>35</v>
      </c>
      <c r="Z17" s="10">
        <v>15</v>
      </c>
      <c r="AA17" s="10"/>
      <c r="AB17" s="10"/>
    </row>
    <row r="18" ht="20" customHeight="1" spans="1:28">
      <c r="A18" s="51">
        <v>45909</v>
      </c>
      <c r="B18" s="10">
        <v>13013</v>
      </c>
      <c r="C18" s="10">
        <v>11930</v>
      </c>
      <c r="D18" s="10">
        <v>212</v>
      </c>
      <c r="E18" s="11">
        <f t="shared" si="4"/>
        <v>1.62914009067855</v>
      </c>
      <c r="F18" s="10">
        <f t="shared" si="5"/>
        <v>871</v>
      </c>
      <c r="G18" s="11">
        <f t="shared" si="2"/>
        <v>6.69330669330669</v>
      </c>
      <c r="H18" s="10">
        <v>78</v>
      </c>
      <c r="I18" s="10">
        <v>23</v>
      </c>
      <c r="J18" s="10"/>
      <c r="K18" s="10"/>
      <c r="L18" s="10">
        <v>659</v>
      </c>
      <c r="M18" s="10"/>
      <c r="N18" s="10"/>
      <c r="O18" s="10"/>
      <c r="P18" s="10"/>
      <c r="Q18" s="10">
        <v>100</v>
      </c>
      <c r="R18" s="10"/>
      <c r="S18" s="10"/>
      <c r="T18" s="10"/>
      <c r="U18" s="10"/>
      <c r="V18" s="10"/>
      <c r="W18" s="10"/>
      <c r="X18" s="10"/>
      <c r="Y18" s="10">
        <v>11</v>
      </c>
      <c r="Z18" s="10"/>
      <c r="AA18" s="10"/>
      <c r="AB18" s="10"/>
    </row>
    <row r="19" s="23" customFormat="1" ht="20" customHeight="1" spans="1:29">
      <c r="A19" s="51">
        <v>45910</v>
      </c>
      <c r="B19" s="40">
        <v>13029</v>
      </c>
      <c r="C19" s="40">
        <v>12069</v>
      </c>
      <c r="D19" s="40">
        <v>287</v>
      </c>
      <c r="E19" s="11">
        <f t="shared" si="4"/>
        <v>2.20277841737662</v>
      </c>
      <c r="F19" s="40">
        <f t="shared" si="5"/>
        <v>673</v>
      </c>
      <c r="G19" s="52">
        <f t="shared" si="2"/>
        <v>5.16540026095633</v>
      </c>
      <c r="H19" s="40">
        <v>31</v>
      </c>
      <c r="I19" s="40">
        <v>22</v>
      </c>
      <c r="J19" s="40"/>
      <c r="K19" s="40"/>
      <c r="L19" s="40">
        <v>481</v>
      </c>
      <c r="M19" s="40"/>
      <c r="N19" s="40"/>
      <c r="O19" s="40"/>
      <c r="P19" s="40"/>
      <c r="Q19" s="40">
        <v>2</v>
      </c>
      <c r="R19" s="40"/>
      <c r="S19" s="40">
        <v>117</v>
      </c>
      <c r="T19" s="40"/>
      <c r="U19" s="40"/>
      <c r="V19" s="40"/>
      <c r="W19" s="40"/>
      <c r="X19" s="40">
        <v>6</v>
      </c>
      <c r="Y19" s="40">
        <v>7</v>
      </c>
      <c r="Z19" s="40">
        <v>7</v>
      </c>
      <c r="AA19" s="40"/>
      <c r="AB19" s="40"/>
      <c r="AC19" s="70"/>
    </row>
    <row r="20" ht="20" customHeight="1" spans="1:28">
      <c r="A20" s="51">
        <v>45911</v>
      </c>
      <c r="B20" s="10">
        <v>9391</v>
      </c>
      <c r="C20" s="10">
        <v>7409</v>
      </c>
      <c r="D20" s="10">
        <v>130</v>
      </c>
      <c r="E20" s="11">
        <f t="shared" si="4"/>
        <v>1.38430412096688</v>
      </c>
      <c r="F20" s="40">
        <f t="shared" si="5"/>
        <v>1852</v>
      </c>
      <c r="G20" s="11">
        <f t="shared" si="2"/>
        <v>19.721009477159</v>
      </c>
      <c r="H20" s="10">
        <v>21</v>
      </c>
      <c r="I20" s="10">
        <v>9</v>
      </c>
      <c r="J20" s="10"/>
      <c r="K20" s="10"/>
      <c r="L20" s="10">
        <v>1702</v>
      </c>
      <c r="M20" s="10"/>
      <c r="N20" s="10"/>
      <c r="O20" s="10"/>
      <c r="P20" s="10"/>
      <c r="Q20" s="10">
        <v>26</v>
      </c>
      <c r="R20" s="10"/>
      <c r="S20" s="10">
        <v>87</v>
      </c>
      <c r="T20" s="10"/>
      <c r="U20" s="10"/>
      <c r="V20" s="10"/>
      <c r="W20" s="10"/>
      <c r="X20" s="10"/>
      <c r="Y20" s="10">
        <v>4</v>
      </c>
      <c r="Z20" s="10">
        <v>3</v>
      </c>
      <c r="AA20" s="10"/>
      <c r="AB20" s="10"/>
    </row>
    <row r="21" ht="20" customHeight="1" spans="1:28">
      <c r="A21" s="51">
        <v>45912</v>
      </c>
      <c r="B21" s="10">
        <v>12457</v>
      </c>
      <c r="C21" s="10">
        <v>11920</v>
      </c>
      <c r="D21" s="10">
        <v>82</v>
      </c>
      <c r="E21" s="11">
        <f t="shared" si="4"/>
        <v>0.658264429637955</v>
      </c>
      <c r="F21" s="40">
        <f t="shared" si="5"/>
        <v>455</v>
      </c>
      <c r="G21" s="11">
        <f t="shared" si="2"/>
        <v>3.65256482299109</v>
      </c>
      <c r="H21" s="10">
        <v>40</v>
      </c>
      <c r="I21" s="10"/>
      <c r="J21" s="10"/>
      <c r="K21" s="10"/>
      <c r="L21" s="10">
        <v>278</v>
      </c>
      <c r="M21" s="10"/>
      <c r="N21" s="10"/>
      <c r="O21" s="10"/>
      <c r="P21" s="10">
        <v>4</v>
      </c>
      <c r="Q21" s="10"/>
      <c r="R21" s="10"/>
      <c r="S21" s="10">
        <v>122</v>
      </c>
      <c r="T21" s="10"/>
      <c r="U21" s="10"/>
      <c r="V21" s="10"/>
      <c r="W21" s="10"/>
      <c r="X21" s="10"/>
      <c r="Y21" s="10">
        <v>5</v>
      </c>
      <c r="Z21" s="10">
        <v>6</v>
      </c>
      <c r="AA21" s="10"/>
      <c r="AB21" s="10"/>
    </row>
    <row r="22" ht="20" customHeight="1" spans="1:28">
      <c r="A22" s="51">
        <v>45913</v>
      </c>
      <c r="B22" s="10">
        <v>13830</v>
      </c>
      <c r="C22" s="10">
        <v>13524</v>
      </c>
      <c r="D22" s="10">
        <v>64</v>
      </c>
      <c r="E22" s="11">
        <f t="shared" si="4"/>
        <v>0.462762111352133</v>
      </c>
      <c r="F22" s="40">
        <f t="shared" si="5"/>
        <v>242</v>
      </c>
      <c r="G22" s="11">
        <f t="shared" si="2"/>
        <v>1.74981923355025</v>
      </c>
      <c r="H22" s="10">
        <v>74</v>
      </c>
      <c r="I22" s="10"/>
      <c r="J22" s="10"/>
      <c r="K22" s="10"/>
      <c r="L22" s="10">
        <v>5</v>
      </c>
      <c r="M22" s="10"/>
      <c r="N22" s="10"/>
      <c r="O22" s="10"/>
      <c r="P22" s="10">
        <v>12</v>
      </c>
      <c r="Q22" s="10">
        <v>35</v>
      </c>
      <c r="R22" s="10"/>
      <c r="S22" s="10">
        <v>106</v>
      </c>
      <c r="T22" s="10"/>
      <c r="U22" s="10"/>
      <c r="V22" s="10"/>
      <c r="W22" s="10"/>
      <c r="X22" s="10"/>
      <c r="Y22" s="10"/>
      <c r="Z22" s="10">
        <v>10</v>
      </c>
      <c r="AA22" s="10"/>
      <c r="AB22" s="10"/>
    </row>
    <row r="23" ht="20" customHeight="1" spans="1:28">
      <c r="A23" s="42" t="s">
        <v>40</v>
      </c>
      <c r="B23" s="43">
        <f t="shared" ref="B23:AB23" si="6">SUM(B16:B22)</f>
        <v>82025</v>
      </c>
      <c r="C23" s="43">
        <f t="shared" si="6"/>
        <v>75750</v>
      </c>
      <c r="D23" s="43">
        <f t="shared" si="6"/>
        <v>1093</v>
      </c>
      <c r="E23" s="44">
        <f t="shared" si="4"/>
        <v>1.33252057299604</v>
      </c>
      <c r="F23" s="43">
        <f t="shared" si="6"/>
        <v>5182</v>
      </c>
      <c r="G23" s="43" t="e">
        <f t="shared" si="6"/>
        <v>#DIV/0!</v>
      </c>
      <c r="H23" s="43">
        <f t="shared" si="6"/>
        <v>299</v>
      </c>
      <c r="I23" s="43">
        <f t="shared" si="6"/>
        <v>83</v>
      </c>
      <c r="J23" s="43">
        <f t="shared" si="6"/>
        <v>0</v>
      </c>
      <c r="K23" s="43">
        <f t="shared" si="6"/>
        <v>0</v>
      </c>
      <c r="L23" s="43">
        <f t="shared" si="6"/>
        <v>3972</v>
      </c>
      <c r="M23" s="43">
        <f t="shared" si="6"/>
        <v>0</v>
      </c>
      <c r="N23" s="43">
        <f t="shared" si="6"/>
        <v>0</v>
      </c>
      <c r="O23" s="43">
        <f t="shared" si="6"/>
        <v>0</v>
      </c>
      <c r="P23" s="43">
        <f t="shared" si="6"/>
        <v>16</v>
      </c>
      <c r="Q23" s="43">
        <f t="shared" si="6"/>
        <v>180</v>
      </c>
      <c r="R23" s="43">
        <f t="shared" si="6"/>
        <v>0</v>
      </c>
      <c r="S23" s="43">
        <f t="shared" si="6"/>
        <v>523</v>
      </c>
      <c r="T23" s="43">
        <f t="shared" si="6"/>
        <v>0</v>
      </c>
      <c r="U23" s="43">
        <f t="shared" si="6"/>
        <v>0</v>
      </c>
      <c r="V23" s="43">
        <f t="shared" si="6"/>
        <v>0</v>
      </c>
      <c r="W23" s="43">
        <f t="shared" si="6"/>
        <v>0</v>
      </c>
      <c r="X23" s="43">
        <f t="shared" si="6"/>
        <v>6</v>
      </c>
      <c r="Y23" s="43">
        <f t="shared" si="6"/>
        <v>62</v>
      </c>
      <c r="Z23" s="43">
        <f t="shared" si="6"/>
        <v>41</v>
      </c>
      <c r="AA23" s="43">
        <f t="shared" si="6"/>
        <v>0</v>
      </c>
      <c r="AB23" s="43">
        <f t="shared" si="6"/>
        <v>0</v>
      </c>
    </row>
    <row r="24" ht="20" customHeight="1" spans="1:29">
      <c r="A24" s="45" t="s">
        <v>84</v>
      </c>
      <c r="B24" s="46"/>
      <c r="C24" s="47">
        <f>C23/$B$23*100</f>
        <v>92.3498933252057</v>
      </c>
      <c r="D24" s="47">
        <f>D23/$B$23*100</f>
        <v>1.33252057299604</v>
      </c>
      <c r="E24" s="47">
        <f>E23/$B$23*100</f>
        <v>0.00162452980554226</v>
      </c>
      <c r="F24" s="47">
        <f>F23/$B$23*100</f>
        <v>6.31758610179823</v>
      </c>
      <c r="G24" s="47" t="e">
        <f>G23/$B$23*100</f>
        <v>#DIV/0!</v>
      </c>
      <c r="H24" s="47">
        <f>H23/$B$23*100</f>
        <v>0.36452301127705</v>
      </c>
      <c r="I24" s="47">
        <f>I23/$B$23*100</f>
        <v>0.101188661993295</v>
      </c>
      <c r="J24" s="47">
        <f>J23/$B$23*100</f>
        <v>0</v>
      </c>
      <c r="K24" s="47">
        <f>K23/$B$23*100</f>
        <v>0</v>
      </c>
      <c r="L24" s="47">
        <f>L23/$B$23*100</f>
        <v>4.84242608960683</v>
      </c>
      <c r="M24" s="47">
        <f>M23/$B$23*100</f>
        <v>0</v>
      </c>
      <c r="N24" s="47">
        <f>N23/$B$23*100</f>
        <v>0</v>
      </c>
      <c r="O24" s="47">
        <f>O23/$B$23*100</f>
        <v>0</v>
      </c>
      <c r="P24" s="47">
        <f>P23/$B$23*100</f>
        <v>0.019506248095093</v>
      </c>
      <c r="Q24" s="47">
        <f>Q23/$B$23*100</f>
        <v>0.219445291069796</v>
      </c>
      <c r="R24" s="47">
        <f>R23/$B$23*100</f>
        <v>0</v>
      </c>
      <c r="S24" s="47">
        <f>S23/$B$23*100</f>
        <v>0.637610484608351</v>
      </c>
      <c r="T24" s="47">
        <f>T23/$B$23*100</f>
        <v>0</v>
      </c>
      <c r="U24" s="47">
        <f>U23/$B$23*100</f>
        <v>0</v>
      </c>
      <c r="V24" s="47">
        <f>V23/$B$23*100</f>
        <v>0</v>
      </c>
      <c r="W24" s="47">
        <f>W23/$B$23*100</f>
        <v>0</v>
      </c>
      <c r="X24" s="47">
        <f>X23/$B$23*100</f>
        <v>0.00731484303565986</v>
      </c>
      <c r="Y24" s="47">
        <f>Y23/$B$23*100</f>
        <v>0.0755867113684852</v>
      </c>
      <c r="Z24" s="47">
        <f>Z23/$B$23*100</f>
        <v>0.0499847607436757</v>
      </c>
      <c r="AA24" s="47">
        <f>AA23/$B$23*100</f>
        <v>0</v>
      </c>
      <c r="AB24" s="47">
        <f>AB23/$B$23*100</f>
        <v>0</v>
      </c>
      <c r="AC24" s="69">
        <f>SUM(H24:AB24)</f>
        <v>6.31758610179823</v>
      </c>
    </row>
    <row r="25" ht="20" customHeight="1" spans="1:28">
      <c r="A25" s="48">
        <v>45914</v>
      </c>
      <c r="B25" s="49"/>
      <c r="C25" s="49"/>
      <c r="D25" s="49"/>
      <c r="E25" s="50">
        <v>0</v>
      </c>
      <c r="F25" s="49">
        <f t="shared" ref="F25:F31" si="7">B25-(C25+D25)</f>
        <v>0</v>
      </c>
      <c r="G25" s="50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</row>
    <row r="26" ht="20" customHeight="1" spans="1:28">
      <c r="A26" s="51">
        <v>45915</v>
      </c>
      <c r="B26" s="10">
        <v>15012</v>
      </c>
      <c r="C26" s="10">
        <v>14439</v>
      </c>
      <c r="D26" s="10">
        <v>247</v>
      </c>
      <c r="E26" s="11">
        <f>D26/B26*100</f>
        <v>1.64535038635758</v>
      </c>
      <c r="F26" s="10">
        <f t="shared" si="7"/>
        <v>326</v>
      </c>
      <c r="G26" s="11">
        <f t="shared" ref="G26:G31" si="8">F26/B26*100</f>
        <v>2.17159605648814</v>
      </c>
      <c r="H26" s="10">
        <v>84</v>
      </c>
      <c r="I26" s="10"/>
      <c r="J26" s="10"/>
      <c r="K26" s="10"/>
      <c r="L26" s="10">
        <v>35</v>
      </c>
      <c r="M26" s="10"/>
      <c r="N26" s="10"/>
      <c r="O26" s="10"/>
      <c r="P26" s="10">
        <v>13</v>
      </c>
      <c r="Q26" s="10"/>
      <c r="R26" s="10"/>
      <c r="S26" s="10">
        <v>178</v>
      </c>
      <c r="T26" s="10"/>
      <c r="U26" s="10"/>
      <c r="V26" s="10"/>
      <c r="W26" s="10"/>
      <c r="X26" s="10"/>
      <c r="Y26" s="10"/>
      <c r="Z26" s="10">
        <v>16</v>
      </c>
      <c r="AA26" s="10"/>
      <c r="AB26" s="10"/>
    </row>
    <row r="27" ht="20" customHeight="1" spans="1:28">
      <c r="A27" s="51">
        <v>45916</v>
      </c>
      <c r="B27" s="10">
        <v>12241</v>
      </c>
      <c r="C27" s="10">
        <v>11813</v>
      </c>
      <c r="D27" s="10">
        <v>115</v>
      </c>
      <c r="E27" s="11">
        <f t="shared" ref="E26:E32" si="9">D27/B27*100</f>
        <v>0.939465729924026</v>
      </c>
      <c r="F27" s="10">
        <f t="shared" si="7"/>
        <v>313</v>
      </c>
      <c r="G27" s="11">
        <f t="shared" si="8"/>
        <v>2.5569806388367</v>
      </c>
      <c r="H27" s="10">
        <v>42</v>
      </c>
      <c r="I27" s="10"/>
      <c r="J27" s="10"/>
      <c r="K27" s="10"/>
      <c r="L27" s="10">
        <v>142</v>
      </c>
      <c r="M27" s="10"/>
      <c r="N27" s="10"/>
      <c r="O27" s="10"/>
      <c r="P27" s="10">
        <v>6</v>
      </c>
      <c r="Q27" s="10"/>
      <c r="R27" s="10"/>
      <c r="S27" s="10">
        <v>118</v>
      </c>
      <c r="T27" s="10"/>
      <c r="U27" s="10"/>
      <c r="V27" s="10"/>
      <c r="W27" s="10"/>
      <c r="X27" s="10"/>
      <c r="Y27" s="10"/>
      <c r="Z27" s="10">
        <v>5</v>
      </c>
      <c r="AA27" s="10"/>
      <c r="AB27" s="10"/>
    </row>
    <row r="28" customFormat="1" ht="20" customHeight="1" spans="1:29">
      <c r="A28" s="51">
        <v>45917</v>
      </c>
      <c r="B28" s="10">
        <v>11948</v>
      </c>
      <c r="C28" s="10">
        <v>11126</v>
      </c>
      <c r="D28" s="10">
        <v>117</v>
      </c>
      <c r="E28" s="11">
        <f t="shared" si="9"/>
        <v>0.979243388014731</v>
      </c>
      <c r="F28" s="10">
        <f t="shared" si="7"/>
        <v>705</v>
      </c>
      <c r="G28" s="11">
        <f t="shared" si="8"/>
        <v>5.90056913290927</v>
      </c>
      <c r="H28" s="10">
        <v>128</v>
      </c>
      <c r="I28" s="10"/>
      <c r="J28" s="10"/>
      <c r="K28" s="10"/>
      <c r="L28" s="10">
        <v>250</v>
      </c>
      <c r="M28" s="10"/>
      <c r="N28" s="10"/>
      <c r="O28" s="10"/>
      <c r="P28" s="10">
        <v>8</v>
      </c>
      <c r="Q28" s="10">
        <v>15</v>
      </c>
      <c r="R28" s="10">
        <v>169</v>
      </c>
      <c r="S28" s="10">
        <v>130</v>
      </c>
      <c r="T28" s="10"/>
      <c r="U28" s="10"/>
      <c r="V28" s="10"/>
      <c r="W28" s="10"/>
      <c r="X28" s="10"/>
      <c r="Y28" s="10">
        <v>5</v>
      </c>
      <c r="Z28" s="10"/>
      <c r="AA28" s="10"/>
      <c r="AB28" s="10"/>
      <c r="AC28" s="25"/>
    </row>
    <row r="29" customFormat="1" ht="20" customHeight="1" spans="1:29">
      <c r="A29" s="51">
        <v>45918</v>
      </c>
      <c r="B29" s="10">
        <v>10490</v>
      </c>
      <c r="C29" s="10">
        <v>10048</v>
      </c>
      <c r="D29" s="10">
        <v>128</v>
      </c>
      <c r="E29" s="11">
        <f t="shared" si="9"/>
        <v>1.22020972354623</v>
      </c>
      <c r="F29" s="10">
        <f t="shared" si="7"/>
        <v>314</v>
      </c>
      <c r="G29" s="11">
        <f t="shared" si="8"/>
        <v>2.99332697807436</v>
      </c>
      <c r="H29" s="10">
        <v>33</v>
      </c>
      <c r="I29" s="10">
        <v>23</v>
      </c>
      <c r="J29" s="10"/>
      <c r="K29" s="10"/>
      <c r="L29" s="10">
        <v>202</v>
      </c>
      <c r="M29" s="10"/>
      <c r="N29" s="10"/>
      <c r="O29" s="10"/>
      <c r="P29" s="10"/>
      <c r="Q29" s="10">
        <v>28</v>
      </c>
      <c r="R29" s="10"/>
      <c r="S29" s="10">
        <v>28</v>
      </c>
      <c r="T29" s="10"/>
      <c r="U29" s="10"/>
      <c r="V29" s="10"/>
      <c r="W29" s="10"/>
      <c r="X29" s="10"/>
      <c r="Y29" s="10"/>
      <c r="Z29" s="10"/>
      <c r="AA29" s="10"/>
      <c r="AB29" s="10"/>
      <c r="AC29" s="25"/>
    </row>
    <row r="30" s="23" customFormat="1" ht="20" customHeight="1" spans="1:29">
      <c r="A30" s="51">
        <v>45919</v>
      </c>
      <c r="B30" s="40">
        <v>10392</v>
      </c>
      <c r="C30" s="40">
        <v>9532</v>
      </c>
      <c r="D30" s="40">
        <v>151</v>
      </c>
      <c r="E30" s="11">
        <f t="shared" si="9"/>
        <v>1.45304080061586</v>
      </c>
      <c r="F30" s="10">
        <f t="shared" si="7"/>
        <v>709</v>
      </c>
      <c r="G30" s="11">
        <f t="shared" si="8"/>
        <v>6.8225558121632</v>
      </c>
      <c r="H30" s="40">
        <v>169</v>
      </c>
      <c r="I30" s="40">
        <v>137</v>
      </c>
      <c r="J30" s="40"/>
      <c r="K30" s="40"/>
      <c r="L30" s="40">
        <v>77</v>
      </c>
      <c r="M30" s="40"/>
      <c r="N30" s="40"/>
      <c r="O30" s="40"/>
      <c r="P30" s="40"/>
      <c r="Q30" s="40">
        <v>110</v>
      </c>
      <c r="R30" s="40"/>
      <c r="S30" s="40">
        <v>87</v>
      </c>
      <c r="T30" s="40"/>
      <c r="U30" s="40"/>
      <c r="V30" s="40"/>
      <c r="W30" s="40"/>
      <c r="X30" s="40">
        <v>111</v>
      </c>
      <c r="Y30" s="40">
        <v>9</v>
      </c>
      <c r="Z30" s="40">
        <v>9</v>
      </c>
      <c r="AA30" s="40"/>
      <c r="AB30" s="40"/>
      <c r="AC30" s="70"/>
    </row>
    <row r="31" ht="20" customHeight="1" spans="1:28">
      <c r="A31" s="51">
        <v>45920</v>
      </c>
      <c r="B31" s="10">
        <v>13040</v>
      </c>
      <c r="C31" s="10">
        <v>12790</v>
      </c>
      <c r="D31" s="10">
        <v>68</v>
      </c>
      <c r="E31" s="11">
        <f t="shared" si="9"/>
        <v>0.521472392638037</v>
      </c>
      <c r="F31" s="10">
        <f t="shared" si="7"/>
        <v>182</v>
      </c>
      <c r="G31" s="11">
        <f t="shared" si="8"/>
        <v>1.39570552147239</v>
      </c>
      <c r="H31" s="10">
        <v>33</v>
      </c>
      <c r="I31" s="10">
        <v>18</v>
      </c>
      <c r="J31" s="10"/>
      <c r="K31" s="10"/>
      <c r="L31" s="10">
        <v>74</v>
      </c>
      <c r="M31" s="10"/>
      <c r="N31" s="10"/>
      <c r="O31" s="10"/>
      <c r="P31" s="10"/>
      <c r="Q31" s="10">
        <v>5</v>
      </c>
      <c r="R31" s="10"/>
      <c r="S31" s="10">
        <v>52</v>
      </c>
      <c r="T31" s="10"/>
      <c r="U31" s="10"/>
      <c r="V31" s="10"/>
      <c r="W31" s="10"/>
      <c r="X31" s="10"/>
      <c r="Y31" s="10"/>
      <c r="Z31" s="10"/>
      <c r="AA31" s="10"/>
      <c r="AB31" s="10"/>
    </row>
    <row r="32" ht="20" customHeight="1" spans="1:28">
      <c r="A32" s="42" t="s">
        <v>40</v>
      </c>
      <c r="B32" s="43">
        <f>SUM(B25:B31)</f>
        <v>73123</v>
      </c>
      <c r="C32" s="43">
        <f t="shared" ref="C32:AB32" si="10">SUM(C25:C31)</f>
        <v>69748</v>
      </c>
      <c r="D32" s="43">
        <f t="shared" si="10"/>
        <v>826</v>
      </c>
      <c r="E32" s="44">
        <f t="shared" si="9"/>
        <v>1.12960354471233</v>
      </c>
      <c r="F32" s="43">
        <f>SUM(F25:F31)</f>
        <v>2549</v>
      </c>
      <c r="G32" s="44">
        <f>SUM(G25:G31)</f>
        <v>21.8407341399441</v>
      </c>
      <c r="H32" s="43">
        <f t="shared" si="10"/>
        <v>489</v>
      </c>
      <c r="I32" s="43">
        <f t="shared" si="10"/>
        <v>178</v>
      </c>
      <c r="J32" s="43">
        <f t="shared" si="10"/>
        <v>0</v>
      </c>
      <c r="K32" s="43">
        <f t="shared" si="10"/>
        <v>0</v>
      </c>
      <c r="L32" s="43">
        <f t="shared" si="10"/>
        <v>780</v>
      </c>
      <c r="M32" s="43">
        <f t="shared" si="10"/>
        <v>0</v>
      </c>
      <c r="N32" s="43">
        <f t="shared" si="10"/>
        <v>0</v>
      </c>
      <c r="O32" s="43">
        <f t="shared" si="10"/>
        <v>0</v>
      </c>
      <c r="P32" s="43">
        <f t="shared" si="10"/>
        <v>27</v>
      </c>
      <c r="Q32" s="43">
        <f t="shared" si="10"/>
        <v>158</v>
      </c>
      <c r="R32" s="43">
        <f t="shared" si="10"/>
        <v>169</v>
      </c>
      <c r="S32" s="43">
        <f t="shared" si="10"/>
        <v>593</v>
      </c>
      <c r="T32" s="43">
        <f t="shared" si="10"/>
        <v>0</v>
      </c>
      <c r="U32" s="43">
        <f t="shared" si="10"/>
        <v>0</v>
      </c>
      <c r="V32" s="43">
        <f t="shared" si="10"/>
        <v>0</v>
      </c>
      <c r="W32" s="43">
        <f t="shared" si="10"/>
        <v>0</v>
      </c>
      <c r="X32" s="43">
        <f t="shared" si="10"/>
        <v>111</v>
      </c>
      <c r="Y32" s="43">
        <f t="shared" si="10"/>
        <v>14</v>
      </c>
      <c r="Z32" s="43">
        <f t="shared" si="10"/>
        <v>30</v>
      </c>
      <c r="AA32" s="43">
        <f t="shared" si="10"/>
        <v>0</v>
      </c>
      <c r="AB32" s="43">
        <f t="shared" si="10"/>
        <v>0</v>
      </c>
    </row>
    <row r="33" ht="20" customHeight="1" spans="1:29">
      <c r="A33" s="45" t="s">
        <v>84</v>
      </c>
      <c r="B33" s="46"/>
      <c r="C33" s="47">
        <f>C32/$B$32*100</f>
        <v>95.3844891484212</v>
      </c>
      <c r="D33" s="47">
        <f>D32/$B$32*100</f>
        <v>1.12960354471233</v>
      </c>
      <c r="E33" s="47"/>
      <c r="F33" s="47">
        <f>F32/$B$32*100</f>
        <v>3.48590730686651</v>
      </c>
      <c r="G33" s="47">
        <f>G32/$B$32*100</f>
        <v>0.0298684875346253</v>
      </c>
      <c r="H33" s="47">
        <f>H32/$B$32*100</f>
        <v>0.668736238939868</v>
      </c>
      <c r="I33" s="47">
        <f>I32/$B$32*100</f>
        <v>0.243425461209195</v>
      </c>
      <c r="J33" s="47">
        <f>J32/$B$32*100</f>
        <v>0</v>
      </c>
      <c r="K33" s="47">
        <f>K32/$B$32*100</f>
        <v>0</v>
      </c>
      <c r="L33" s="47">
        <f>L32/$B$32*100</f>
        <v>1.06669584125378</v>
      </c>
      <c r="M33" s="47">
        <f>M32/$B$32*100</f>
        <v>0</v>
      </c>
      <c r="N33" s="47">
        <f>N32/$B$32*100</f>
        <v>0</v>
      </c>
      <c r="O33" s="47">
        <f>O32/$B$32*100</f>
        <v>0</v>
      </c>
      <c r="P33" s="47">
        <f>P32/$B$32*100</f>
        <v>0.0369240868126308</v>
      </c>
      <c r="Q33" s="47">
        <f>Q32/$B$32*100</f>
        <v>0.216074285792432</v>
      </c>
      <c r="R33" s="47">
        <f>R32/$B$32*100</f>
        <v>0.231117432271652</v>
      </c>
      <c r="S33" s="47">
        <f>S32/$B$32*100</f>
        <v>0.810962351107039</v>
      </c>
      <c r="T33" s="47">
        <f>T32/$B$32*100</f>
        <v>0</v>
      </c>
      <c r="U33" s="47">
        <f>U32/$B$32*100</f>
        <v>0</v>
      </c>
      <c r="V33" s="47">
        <f>V32/$B$32*100</f>
        <v>0</v>
      </c>
      <c r="W33" s="47">
        <f>W32/$B$32*100</f>
        <v>0</v>
      </c>
      <c r="X33" s="47">
        <f>X32/$B$32*100</f>
        <v>0.151799023563038</v>
      </c>
      <c r="Y33" s="47">
        <f>Y32/$B$32*100</f>
        <v>0.0191458227917345</v>
      </c>
      <c r="Z33" s="47">
        <f>Z32/$B$32*100</f>
        <v>0.0410267631251453</v>
      </c>
      <c r="AA33" s="47">
        <f>AA32/$B$32*100</f>
        <v>0</v>
      </c>
      <c r="AB33" s="47">
        <f>AB32/$B$32*100</f>
        <v>0</v>
      </c>
      <c r="AC33" s="69">
        <f>SUM(H33:AB33)</f>
        <v>3.48590730686651</v>
      </c>
    </row>
    <row r="34" ht="20" customHeight="1" spans="1:28">
      <c r="A34" s="48">
        <v>45921</v>
      </c>
      <c r="B34" s="49"/>
      <c r="C34" s="49"/>
      <c r="D34" s="49"/>
      <c r="E34" s="50" t="e">
        <f t="shared" ref="E34:E41" si="11">D34/B34*100</f>
        <v>#DIV/0!</v>
      </c>
      <c r="F34" s="49">
        <f t="shared" ref="F34:F40" si="12">B34-(C34+D34)</f>
        <v>0</v>
      </c>
      <c r="G34" s="50" t="e">
        <f t="shared" ref="G34:G40" si="13">F34/B34*100</f>
        <v>#DIV/0!</v>
      </c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</row>
    <row r="35" ht="20" customHeight="1" spans="1:28">
      <c r="A35" s="51">
        <v>45922</v>
      </c>
      <c r="B35" s="10">
        <v>12985</v>
      </c>
      <c r="C35" s="10">
        <v>12353</v>
      </c>
      <c r="D35" s="10">
        <v>140</v>
      </c>
      <c r="E35" s="11">
        <f t="shared" si="11"/>
        <v>1.07816711590297</v>
      </c>
      <c r="F35" s="10">
        <f t="shared" si="12"/>
        <v>492</v>
      </c>
      <c r="G35" s="11">
        <f t="shared" si="13"/>
        <v>3.78898729303042</v>
      </c>
      <c r="H35" s="10">
        <v>46</v>
      </c>
      <c r="I35" s="10">
        <v>144</v>
      </c>
      <c r="J35" s="10"/>
      <c r="K35" s="10"/>
      <c r="L35" s="10">
        <v>153</v>
      </c>
      <c r="M35" s="10"/>
      <c r="N35" s="10"/>
      <c r="O35" s="10"/>
      <c r="P35" s="10"/>
      <c r="Q35" s="10">
        <v>43</v>
      </c>
      <c r="R35" s="10"/>
      <c r="S35" s="10">
        <v>80</v>
      </c>
      <c r="T35" s="10"/>
      <c r="U35" s="10"/>
      <c r="V35" s="10"/>
      <c r="W35" s="10"/>
      <c r="X35" s="10">
        <v>11</v>
      </c>
      <c r="Y35" s="10">
        <v>9</v>
      </c>
      <c r="Z35" s="10">
        <v>6</v>
      </c>
      <c r="AA35" s="10"/>
      <c r="AB35" s="10"/>
    </row>
    <row r="36" ht="20" customHeight="1" spans="1:28">
      <c r="A36" s="51">
        <v>45923</v>
      </c>
      <c r="B36" s="10">
        <v>14247</v>
      </c>
      <c r="C36" s="10">
        <v>13402</v>
      </c>
      <c r="D36" s="10">
        <v>107</v>
      </c>
      <c r="E36" s="11">
        <f t="shared" si="11"/>
        <v>0.751035305678388</v>
      </c>
      <c r="F36" s="10">
        <f t="shared" si="12"/>
        <v>738</v>
      </c>
      <c r="G36" s="11">
        <f t="shared" si="13"/>
        <v>5.18003790271636</v>
      </c>
      <c r="H36" s="10">
        <v>31</v>
      </c>
      <c r="I36" s="10">
        <v>23</v>
      </c>
      <c r="J36" s="10"/>
      <c r="K36" s="10"/>
      <c r="L36" s="10">
        <v>627</v>
      </c>
      <c r="M36" s="10"/>
      <c r="N36" s="10"/>
      <c r="O36" s="10"/>
      <c r="P36" s="10"/>
      <c r="Q36" s="10"/>
      <c r="R36" s="10"/>
      <c r="S36" s="10">
        <v>51</v>
      </c>
      <c r="T36" s="10"/>
      <c r="U36" s="10"/>
      <c r="V36" s="10"/>
      <c r="W36" s="10"/>
      <c r="X36" s="10"/>
      <c r="Y36" s="10">
        <v>5</v>
      </c>
      <c r="Z36" s="10">
        <v>1</v>
      </c>
      <c r="AA36" s="10"/>
      <c r="AB36" s="10"/>
    </row>
    <row r="37" s="23" customFormat="1" ht="20" customHeight="1" spans="1:29">
      <c r="A37" s="51">
        <v>45924</v>
      </c>
      <c r="B37" s="58">
        <v>11960</v>
      </c>
      <c r="C37" s="58">
        <v>11272</v>
      </c>
      <c r="D37" s="58">
        <v>87</v>
      </c>
      <c r="E37" s="52">
        <f t="shared" si="11"/>
        <v>0.72742474916388</v>
      </c>
      <c r="F37" s="40">
        <f t="shared" si="12"/>
        <v>601</v>
      </c>
      <c r="G37" s="52">
        <f t="shared" si="13"/>
        <v>5.02508361204013</v>
      </c>
      <c r="H37" s="58">
        <v>31</v>
      </c>
      <c r="I37" s="58">
        <v>20</v>
      </c>
      <c r="J37" s="82"/>
      <c r="K37" s="82"/>
      <c r="L37" s="83">
        <v>60</v>
      </c>
      <c r="M37" s="83"/>
      <c r="N37" s="83"/>
      <c r="O37" s="83"/>
      <c r="P37" s="58"/>
      <c r="Q37" s="83">
        <v>453</v>
      </c>
      <c r="R37" s="83"/>
      <c r="S37" s="58">
        <v>28</v>
      </c>
      <c r="T37" s="83"/>
      <c r="U37" s="83"/>
      <c r="V37" s="83"/>
      <c r="W37" s="58"/>
      <c r="X37" s="58"/>
      <c r="Y37" s="58"/>
      <c r="Z37" s="58">
        <v>9</v>
      </c>
      <c r="AA37" s="83"/>
      <c r="AB37" s="82"/>
      <c r="AC37" s="70"/>
    </row>
    <row r="38" ht="20" customHeight="1" spans="1:28">
      <c r="A38" s="51">
        <v>45925</v>
      </c>
      <c r="B38" s="58">
        <v>13910</v>
      </c>
      <c r="C38" s="58">
        <v>13253</v>
      </c>
      <c r="D38" s="58">
        <v>246</v>
      </c>
      <c r="E38" s="11">
        <f t="shared" si="11"/>
        <v>1.76851186196981</v>
      </c>
      <c r="F38" s="10">
        <f t="shared" si="12"/>
        <v>411</v>
      </c>
      <c r="G38" s="11">
        <f t="shared" si="13"/>
        <v>2.95470884255931</v>
      </c>
      <c r="H38" s="59">
        <v>28</v>
      </c>
      <c r="I38" s="59">
        <v>74</v>
      </c>
      <c r="J38" s="63"/>
      <c r="K38" s="64"/>
      <c r="L38" s="64">
        <v>10</v>
      </c>
      <c r="M38" s="64"/>
      <c r="N38" s="64"/>
      <c r="O38" s="64"/>
      <c r="P38" s="59"/>
      <c r="Q38" s="64">
        <v>8</v>
      </c>
      <c r="R38" s="64"/>
      <c r="S38" s="59">
        <v>54</v>
      </c>
      <c r="T38" s="64"/>
      <c r="U38" s="64"/>
      <c r="V38" s="64"/>
      <c r="W38" s="59"/>
      <c r="X38" s="59"/>
      <c r="Y38" s="59">
        <v>104</v>
      </c>
      <c r="Z38" s="59">
        <v>31</v>
      </c>
      <c r="AA38" s="64"/>
      <c r="AB38" s="63"/>
    </row>
    <row r="39" ht="20" customHeight="1" spans="1:28">
      <c r="A39" s="51">
        <v>45926</v>
      </c>
      <c r="B39" s="58">
        <v>11156</v>
      </c>
      <c r="C39" s="58">
        <v>10377</v>
      </c>
      <c r="D39" s="58">
        <v>217</v>
      </c>
      <c r="E39" s="11">
        <f t="shared" si="11"/>
        <v>1.94514162782359</v>
      </c>
      <c r="F39" s="10">
        <f t="shared" si="12"/>
        <v>562</v>
      </c>
      <c r="G39" s="11">
        <f t="shared" si="13"/>
        <v>5.03764790247401</v>
      </c>
      <c r="H39" s="59">
        <v>16</v>
      </c>
      <c r="I39" s="59">
        <v>106</v>
      </c>
      <c r="J39" s="63"/>
      <c r="K39" s="63"/>
      <c r="L39" s="64">
        <v>97</v>
      </c>
      <c r="M39" s="64"/>
      <c r="N39" s="64"/>
      <c r="O39" s="64"/>
      <c r="P39" s="59"/>
      <c r="Q39" s="64"/>
      <c r="R39" s="64"/>
      <c r="S39" s="59">
        <v>151</v>
      </c>
      <c r="T39" s="64"/>
      <c r="U39" s="64"/>
      <c r="V39" s="64"/>
      <c r="W39" s="59"/>
      <c r="X39" s="59">
        <v>8</v>
      </c>
      <c r="Y39" s="59">
        <v>160</v>
      </c>
      <c r="Z39" s="59">
        <v>24</v>
      </c>
      <c r="AA39" s="64"/>
      <c r="AB39" s="63"/>
    </row>
    <row r="40" ht="20" customHeight="1" spans="1:28">
      <c r="A40" s="51">
        <v>45927</v>
      </c>
      <c r="B40" s="58">
        <v>12028</v>
      </c>
      <c r="C40" s="58">
        <v>11057</v>
      </c>
      <c r="D40" s="58">
        <v>331</v>
      </c>
      <c r="E40" s="11">
        <f t="shared" si="11"/>
        <v>2.75191220485534</v>
      </c>
      <c r="F40" s="10">
        <f t="shared" si="12"/>
        <v>640</v>
      </c>
      <c r="G40" s="11">
        <f t="shared" si="13"/>
        <v>5.32091785833056</v>
      </c>
      <c r="H40" s="59">
        <v>32</v>
      </c>
      <c r="I40" s="59">
        <v>77</v>
      </c>
      <c r="J40" s="63"/>
      <c r="K40" s="63"/>
      <c r="L40" s="64">
        <v>71</v>
      </c>
      <c r="M40" s="64"/>
      <c r="N40" s="64"/>
      <c r="O40" s="64"/>
      <c r="P40" s="59"/>
      <c r="Q40" s="64">
        <v>36</v>
      </c>
      <c r="R40" s="64"/>
      <c r="S40" s="59">
        <v>194</v>
      </c>
      <c r="T40" s="64"/>
      <c r="U40" s="64"/>
      <c r="V40" s="64"/>
      <c r="W40" s="59"/>
      <c r="X40" s="59">
        <v>3</v>
      </c>
      <c r="Y40" s="59">
        <v>227</v>
      </c>
      <c r="Z40" s="59"/>
      <c r="AA40" s="64"/>
      <c r="AB40" s="63"/>
    </row>
    <row r="41" ht="20" customHeight="1" spans="1:28">
      <c r="A41" s="42" t="s">
        <v>40</v>
      </c>
      <c r="B41" s="56">
        <f t="shared" ref="B41:AB41" si="14">SUM(B34:B40)</f>
        <v>76286</v>
      </c>
      <c r="C41" s="56">
        <f t="shared" si="14"/>
        <v>71714</v>
      </c>
      <c r="D41" s="56">
        <f t="shared" si="14"/>
        <v>1128</v>
      </c>
      <c r="E41" s="57">
        <f t="shared" si="11"/>
        <v>1.47864614739271</v>
      </c>
      <c r="F41" s="56">
        <f t="shared" si="14"/>
        <v>3444</v>
      </c>
      <c r="G41" s="57" t="e">
        <f t="shared" si="14"/>
        <v>#DIV/0!</v>
      </c>
      <c r="H41" s="56">
        <f t="shared" si="14"/>
        <v>184</v>
      </c>
      <c r="I41" s="56">
        <f t="shared" si="14"/>
        <v>444</v>
      </c>
      <c r="J41" s="56">
        <f t="shared" si="14"/>
        <v>0</v>
      </c>
      <c r="K41" s="56">
        <f t="shared" si="14"/>
        <v>0</v>
      </c>
      <c r="L41" s="56">
        <f t="shared" si="14"/>
        <v>1018</v>
      </c>
      <c r="M41" s="56">
        <f t="shared" si="14"/>
        <v>0</v>
      </c>
      <c r="N41" s="56">
        <f t="shared" si="14"/>
        <v>0</v>
      </c>
      <c r="O41" s="56">
        <f t="shared" si="14"/>
        <v>0</v>
      </c>
      <c r="P41" s="56">
        <f t="shared" si="14"/>
        <v>0</v>
      </c>
      <c r="Q41" s="56">
        <f t="shared" si="14"/>
        <v>540</v>
      </c>
      <c r="R41" s="56">
        <f t="shared" si="14"/>
        <v>0</v>
      </c>
      <c r="S41" s="56">
        <f t="shared" si="14"/>
        <v>558</v>
      </c>
      <c r="T41" s="56">
        <f t="shared" si="14"/>
        <v>0</v>
      </c>
      <c r="U41" s="56">
        <f t="shared" si="14"/>
        <v>0</v>
      </c>
      <c r="V41" s="56">
        <f t="shared" si="14"/>
        <v>0</v>
      </c>
      <c r="W41" s="56">
        <f t="shared" si="14"/>
        <v>0</v>
      </c>
      <c r="X41" s="56">
        <f t="shared" si="14"/>
        <v>22</v>
      </c>
      <c r="Y41" s="56">
        <f t="shared" si="14"/>
        <v>505</v>
      </c>
      <c r="Z41" s="56">
        <f t="shared" si="14"/>
        <v>71</v>
      </c>
      <c r="AA41" s="56">
        <f t="shared" si="14"/>
        <v>0</v>
      </c>
      <c r="AB41" s="56">
        <f t="shared" si="14"/>
        <v>0</v>
      </c>
    </row>
    <row r="42" ht="20" customHeight="1" spans="1:29">
      <c r="A42" s="45" t="s">
        <v>84</v>
      </c>
      <c r="B42" s="46"/>
      <c r="C42" s="47">
        <f>C41/$B$41*100</f>
        <v>94.0067640196104</v>
      </c>
      <c r="D42" s="47">
        <f>D41/$B$41*100</f>
        <v>1.47864614739271</v>
      </c>
      <c r="E42" s="47"/>
      <c r="F42" s="47">
        <f>F41/$B$41*100</f>
        <v>4.51458983299688</v>
      </c>
      <c r="G42" s="47" t="e">
        <f>G41/$B$41*100</f>
        <v>#DIV/0!</v>
      </c>
      <c r="H42" s="47">
        <f>H41/$B$41*100</f>
        <v>0.241197598510867</v>
      </c>
      <c r="I42" s="47">
        <f>I41/$B$41*100</f>
        <v>0.582020292058831</v>
      </c>
      <c r="J42" s="47">
        <f>J41/$B$41*100</f>
        <v>0</v>
      </c>
      <c r="K42" s="47">
        <f>K41/$B$41*100</f>
        <v>0</v>
      </c>
      <c r="L42" s="47">
        <f>L41/$B$41*100</f>
        <v>1.33445193089164</v>
      </c>
      <c r="M42" s="47">
        <f>M41/$B$41*100</f>
        <v>0</v>
      </c>
      <c r="N42" s="47">
        <f>N41/$B$41*100</f>
        <v>0</v>
      </c>
      <c r="O42" s="47">
        <f>O41/$B$41*100</f>
        <v>0</v>
      </c>
      <c r="P42" s="47">
        <f>P41/$B$41*100</f>
        <v>0</v>
      </c>
      <c r="Q42" s="47">
        <f>Q41/$B$41*100</f>
        <v>0.707862517368849</v>
      </c>
      <c r="R42" s="47">
        <f>R41/$B$41*100</f>
        <v>0</v>
      </c>
      <c r="S42" s="47">
        <f>S41/$B$41*100</f>
        <v>0.731457934614477</v>
      </c>
      <c r="T42" s="47">
        <f>T41/$B$41*100</f>
        <v>0</v>
      </c>
      <c r="U42" s="47">
        <f>U41/$B$41*100</f>
        <v>0</v>
      </c>
      <c r="V42" s="47">
        <f>V41/$B$41*100</f>
        <v>0</v>
      </c>
      <c r="W42" s="47">
        <f>W41/$B$41*100</f>
        <v>0</v>
      </c>
      <c r="X42" s="47">
        <f>X41/$B$41*100</f>
        <v>0.0288388433002124</v>
      </c>
      <c r="Y42" s="47">
        <f>Y41/$B$41*100</f>
        <v>0.661982539391238</v>
      </c>
      <c r="Z42" s="47">
        <f>Z41/$B$41*100</f>
        <v>0.0930708124688672</v>
      </c>
      <c r="AA42" s="47">
        <f>AA41/$B$41*100</f>
        <v>0</v>
      </c>
      <c r="AB42" s="47">
        <f>AB41/$B$41*100</f>
        <v>0</v>
      </c>
      <c r="AC42" s="69">
        <f>SUM(H42:AB42)</f>
        <v>4.38088246860499</v>
      </c>
    </row>
    <row r="43" ht="20" customHeight="1" spans="1:28">
      <c r="A43" s="48">
        <v>45928</v>
      </c>
      <c r="B43" s="49"/>
      <c r="C43" s="49"/>
      <c r="D43" s="49"/>
      <c r="E43" s="50" t="e">
        <f>D43/B43*100</f>
        <v>#DIV/0!</v>
      </c>
      <c r="F43" s="49">
        <f>B43-(C43+D43)</f>
        <v>0</v>
      </c>
      <c r="G43" s="50" t="e">
        <f>F43/B43*100</f>
        <v>#DIV/0!</v>
      </c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</row>
    <row r="44" ht="20" customHeight="1" spans="1:28">
      <c r="A44" s="39">
        <v>45929</v>
      </c>
      <c r="B44" s="58">
        <v>13245</v>
      </c>
      <c r="C44" s="58">
        <v>12462</v>
      </c>
      <c r="D44" s="58">
        <v>254</v>
      </c>
      <c r="E44" s="11">
        <f>D44/B44*100</f>
        <v>1.91770479426199</v>
      </c>
      <c r="F44" s="10">
        <f>B44-(C44+D44)</f>
        <v>529</v>
      </c>
      <c r="G44" s="11">
        <f>F44/B44*100</f>
        <v>3.99395998489996</v>
      </c>
      <c r="H44" s="59">
        <v>60</v>
      </c>
      <c r="I44" s="59">
        <v>60</v>
      </c>
      <c r="J44" s="63"/>
      <c r="K44" s="64"/>
      <c r="L44" s="64">
        <v>92</v>
      </c>
      <c r="M44" s="64"/>
      <c r="N44" s="64"/>
      <c r="O44" s="64"/>
      <c r="P44" s="59"/>
      <c r="Q44" s="64">
        <v>38</v>
      </c>
      <c r="R44" s="64"/>
      <c r="S44" s="59">
        <v>207</v>
      </c>
      <c r="T44" s="64"/>
      <c r="U44" s="64"/>
      <c r="V44" s="64"/>
      <c r="W44" s="59"/>
      <c r="X44" s="59"/>
      <c r="Y44" s="59">
        <v>53</v>
      </c>
      <c r="Z44" s="59">
        <v>19</v>
      </c>
      <c r="AA44" s="64"/>
      <c r="AB44" s="63"/>
    </row>
    <row r="45" ht="20" customHeight="1" spans="1:28">
      <c r="A45" s="39">
        <v>45930</v>
      </c>
      <c r="B45" s="58">
        <v>11992</v>
      </c>
      <c r="C45" s="58">
        <v>10894</v>
      </c>
      <c r="D45" s="58">
        <v>92</v>
      </c>
      <c r="E45" s="11">
        <f>D45/B45*100</f>
        <v>0.767178118745831</v>
      </c>
      <c r="F45" s="10">
        <f>B45-(C45+D45)</f>
        <v>1006</v>
      </c>
      <c r="G45" s="11">
        <f>F45/B45*100</f>
        <v>8.38892595063376</v>
      </c>
      <c r="H45" s="59">
        <v>94</v>
      </c>
      <c r="I45" s="59">
        <v>54</v>
      </c>
      <c r="J45" s="63"/>
      <c r="K45" s="64"/>
      <c r="L45" s="64">
        <v>152</v>
      </c>
      <c r="M45" s="64"/>
      <c r="N45" s="64"/>
      <c r="O45" s="64"/>
      <c r="P45" s="59"/>
      <c r="Q45" s="64"/>
      <c r="R45" s="64"/>
      <c r="S45" s="59">
        <v>670</v>
      </c>
      <c r="T45" s="64"/>
      <c r="U45" s="64"/>
      <c r="V45" s="64"/>
      <c r="W45" s="59"/>
      <c r="X45" s="59">
        <v>36</v>
      </c>
      <c r="Y45" s="59"/>
      <c r="Z45" s="59"/>
      <c r="AA45" s="64"/>
      <c r="AB45" s="63"/>
    </row>
    <row r="46" ht="22" customHeight="1" spans="1:28">
      <c r="A46" s="42" t="s">
        <v>40</v>
      </c>
      <c r="B46" s="56">
        <f t="shared" ref="B46:AB46" si="15">SUM(B43:B45)</f>
        <v>25237</v>
      </c>
      <c r="C46" s="56">
        <f t="shared" si="15"/>
        <v>23356</v>
      </c>
      <c r="D46" s="56">
        <f t="shared" si="15"/>
        <v>346</v>
      </c>
      <c r="E46" s="57" t="e">
        <f t="shared" si="15"/>
        <v>#DIV/0!</v>
      </c>
      <c r="F46" s="56">
        <f t="shared" si="15"/>
        <v>1535</v>
      </c>
      <c r="G46" s="56" t="e">
        <f t="shared" si="15"/>
        <v>#DIV/0!</v>
      </c>
      <c r="H46" s="56">
        <f t="shared" si="15"/>
        <v>154</v>
      </c>
      <c r="I46" s="56">
        <f t="shared" si="15"/>
        <v>114</v>
      </c>
      <c r="J46" s="56">
        <f t="shared" si="15"/>
        <v>0</v>
      </c>
      <c r="K46" s="56">
        <f t="shared" si="15"/>
        <v>0</v>
      </c>
      <c r="L46" s="56">
        <f t="shared" si="15"/>
        <v>244</v>
      </c>
      <c r="M46" s="56">
        <f t="shared" si="15"/>
        <v>0</v>
      </c>
      <c r="N46" s="56">
        <f t="shared" si="15"/>
        <v>0</v>
      </c>
      <c r="O46" s="56">
        <f t="shared" si="15"/>
        <v>0</v>
      </c>
      <c r="P46" s="56">
        <f t="shared" si="15"/>
        <v>0</v>
      </c>
      <c r="Q46" s="56">
        <f t="shared" si="15"/>
        <v>38</v>
      </c>
      <c r="R46" s="56">
        <f t="shared" si="15"/>
        <v>0</v>
      </c>
      <c r="S46" s="56">
        <f t="shared" si="15"/>
        <v>877</v>
      </c>
      <c r="T46" s="56">
        <f t="shared" si="15"/>
        <v>0</v>
      </c>
      <c r="U46" s="56">
        <f t="shared" si="15"/>
        <v>0</v>
      </c>
      <c r="V46" s="56">
        <f t="shared" si="15"/>
        <v>0</v>
      </c>
      <c r="W46" s="56">
        <f t="shared" si="15"/>
        <v>0</v>
      </c>
      <c r="X46" s="56">
        <f t="shared" si="15"/>
        <v>36</v>
      </c>
      <c r="Y46" s="56">
        <f t="shared" si="15"/>
        <v>53</v>
      </c>
      <c r="Z46" s="56">
        <f t="shared" si="15"/>
        <v>19</v>
      </c>
      <c r="AA46" s="56">
        <f t="shared" si="15"/>
        <v>0</v>
      </c>
      <c r="AB46" s="56">
        <f t="shared" si="15"/>
        <v>0</v>
      </c>
    </row>
    <row r="47" ht="22" customHeight="1" spans="1:29">
      <c r="A47" s="45" t="s">
        <v>84</v>
      </c>
      <c r="B47" s="46"/>
      <c r="C47" s="47">
        <f>C46/$B$46*100</f>
        <v>92.5466576851448</v>
      </c>
      <c r="D47" s="47">
        <f>D46/$B$46*100</f>
        <v>1.37100289257836</v>
      </c>
      <c r="E47" s="47" t="e">
        <f>E46/$B$46*100</f>
        <v>#DIV/0!</v>
      </c>
      <c r="F47" s="47">
        <f>F46/$B$46*100</f>
        <v>6.08233942227682</v>
      </c>
      <c r="G47" s="47" t="e">
        <f>G46/$B$46*100</f>
        <v>#DIV/0!</v>
      </c>
      <c r="H47" s="47">
        <f>H46/$B$46*100</f>
        <v>0.61021516028054</v>
      </c>
      <c r="I47" s="47">
        <f>I46/$B$46*100</f>
        <v>0.451717716051829</v>
      </c>
      <c r="J47" s="47">
        <f>J46/$B$46*100</f>
        <v>0</v>
      </c>
      <c r="K47" s="47">
        <f>K46/$B$46*100</f>
        <v>0</v>
      </c>
      <c r="L47" s="47">
        <f>L46/$B$46*100</f>
        <v>0.966834409795142</v>
      </c>
      <c r="M47" s="47">
        <f>M46/$B$46*100</f>
        <v>0</v>
      </c>
      <c r="N47" s="47">
        <f>N46/$B$46*100</f>
        <v>0</v>
      </c>
      <c r="O47" s="47">
        <f>O46/$B$46*100</f>
        <v>0</v>
      </c>
      <c r="P47" s="47">
        <f>P46/$B$46*100</f>
        <v>0</v>
      </c>
      <c r="Q47" s="47">
        <f>Q46/$B$46*100</f>
        <v>0.150572572017276</v>
      </c>
      <c r="R47" s="47">
        <f>R46/$B$46*100</f>
        <v>0</v>
      </c>
      <c r="S47" s="47">
        <f>S46/$B$46*100</f>
        <v>3.47505646471451</v>
      </c>
      <c r="T47" s="47">
        <f>T46/$B$46*100</f>
        <v>0</v>
      </c>
      <c r="U47" s="47">
        <f>U46/$B$46*100</f>
        <v>0</v>
      </c>
      <c r="V47" s="47">
        <f>V46/$B$46*100</f>
        <v>0</v>
      </c>
      <c r="W47" s="47">
        <f>W46/$B$46*100</f>
        <v>0</v>
      </c>
      <c r="X47" s="47">
        <f>X46/$B$46*100</f>
        <v>0.142647699805841</v>
      </c>
      <c r="Y47" s="47">
        <f>Y46/$B$46*100</f>
        <v>0.210009113603043</v>
      </c>
      <c r="Z47" s="47">
        <f>Z46/$B$46*100</f>
        <v>0.0752862860086381</v>
      </c>
      <c r="AA47" s="47">
        <f>AA46/$B$46*100</f>
        <v>0</v>
      </c>
      <c r="AB47" s="47">
        <f>AB46/$B$46*100</f>
        <v>0</v>
      </c>
      <c r="AC47" s="69">
        <f>SUM(H47:AB47)</f>
        <v>6.08233942227682</v>
      </c>
    </row>
    <row r="48" ht="36" customHeight="1" spans="1:28">
      <c r="A48" s="12" t="s">
        <v>40</v>
      </c>
      <c r="B48" s="13">
        <f>B46+B41+B32+B23+B14</f>
        <v>335960</v>
      </c>
      <c r="C48" s="13">
        <f>C46+C41+C32+C23+C14</f>
        <v>310725</v>
      </c>
      <c r="D48" s="13">
        <f>D46+D41+D32+D23+D14</f>
        <v>4509</v>
      </c>
      <c r="E48" s="14">
        <f>D48/B48*100</f>
        <v>1.34212406238838</v>
      </c>
      <c r="F48" s="13">
        <f>F46+F41+F32+F23+F14</f>
        <v>20726</v>
      </c>
      <c r="G48" s="14">
        <f>F48/B48*100</f>
        <v>6.16918680795333</v>
      </c>
      <c r="H48" s="13">
        <f>H46+H41+H32+H23+H14</f>
        <v>1316</v>
      </c>
      <c r="I48" s="13">
        <f>I46+I41+I32+I23+I14</f>
        <v>1048</v>
      </c>
      <c r="J48" s="13">
        <f t="shared" ref="B48:AB48" si="16">J46+J41+J32+J23+J14</f>
        <v>0</v>
      </c>
      <c r="K48" s="13">
        <f t="shared" si="16"/>
        <v>0</v>
      </c>
      <c r="L48" s="13">
        <f t="shared" si="16"/>
        <v>11965</v>
      </c>
      <c r="M48" s="13">
        <f t="shared" si="16"/>
        <v>0</v>
      </c>
      <c r="N48" s="13">
        <f t="shared" si="16"/>
        <v>0</v>
      </c>
      <c r="O48" s="13">
        <f t="shared" si="16"/>
        <v>0</v>
      </c>
      <c r="P48" s="13">
        <f t="shared" si="16"/>
        <v>43</v>
      </c>
      <c r="Q48" s="13">
        <f t="shared" si="16"/>
        <v>1459</v>
      </c>
      <c r="R48" s="13">
        <f t="shared" si="16"/>
        <v>169</v>
      </c>
      <c r="S48" s="13">
        <f t="shared" si="16"/>
        <v>3061</v>
      </c>
      <c r="T48" s="13">
        <f t="shared" si="16"/>
        <v>0</v>
      </c>
      <c r="U48" s="13">
        <f t="shared" si="16"/>
        <v>0</v>
      </c>
      <c r="V48" s="13">
        <f t="shared" si="16"/>
        <v>0</v>
      </c>
      <c r="W48" s="13">
        <f t="shared" si="16"/>
        <v>0</v>
      </c>
      <c r="X48" s="13">
        <f t="shared" si="16"/>
        <v>550</v>
      </c>
      <c r="Y48" s="13">
        <f t="shared" si="16"/>
        <v>767</v>
      </c>
      <c r="Z48" s="13">
        <f t="shared" si="16"/>
        <v>246</v>
      </c>
      <c r="AA48" s="13">
        <f t="shared" si="16"/>
        <v>0</v>
      </c>
      <c r="AB48" s="13">
        <f t="shared" si="16"/>
        <v>0</v>
      </c>
    </row>
    <row r="49" ht="45" customHeight="1" spans="1:28">
      <c r="A49" s="17"/>
      <c r="B49" s="17"/>
      <c r="C49" s="11">
        <f>C48/B48*100</f>
        <v>92.4886891296583</v>
      </c>
      <c r="D49" s="11">
        <f>D48/B48*100</f>
        <v>1.34212406238838</v>
      </c>
      <c r="E49" s="11" t="s">
        <v>94</v>
      </c>
      <c r="F49" s="11">
        <f>F48/B48*100</f>
        <v>6.16918680795333</v>
      </c>
      <c r="G49" s="60" t="s">
        <v>86</v>
      </c>
      <c r="H49" s="11">
        <f>H48/$B$48*100</f>
        <v>0.391713299202286</v>
      </c>
      <c r="I49" s="11">
        <f>I48/$B$48*100</f>
        <v>0.311941897844982</v>
      </c>
      <c r="J49" s="11">
        <f>J48/$B$48*100</f>
        <v>0</v>
      </c>
      <c r="K49" s="11">
        <f>K48/$B$48*100</f>
        <v>0</v>
      </c>
      <c r="L49" s="11">
        <f>L48/B48*100</f>
        <v>3.56143588522443</v>
      </c>
      <c r="M49" s="11">
        <f>M48/B48*100</f>
        <v>0</v>
      </c>
      <c r="N49" s="11">
        <f>N48/B48*100</f>
        <v>0</v>
      </c>
      <c r="O49" s="11">
        <f>O48/B48*100</f>
        <v>0</v>
      </c>
      <c r="P49" s="11">
        <f>P48/$B$48*100</f>
        <v>0.0127991427550899</v>
      </c>
      <c r="Q49" s="11">
        <f>Q48/$B$48*100</f>
        <v>0.434277890225027</v>
      </c>
      <c r="R49" s="11">
        <f>R48/$B$48*100</f>
        <v>0.05030360757233</v>
      </c>
      <c r="S49" s="11">
        <f>S48/$B$48*100</f>
        <v>0.911120371472794</v>
      </c>
      <c r="T49" s="11">
        <f>T48/$B$48*100</f>
        <v>0</v>
      </c>
      <c r="U49" s="11">
        <f>U48/$B$48*100</f>
        <v>0</v>
      </c>
      <c r="V49" s="11">
        <f>V48/$B$48*100</f>
        <v>0</v>
      </c>
      <c r="W49" s="11">
        <f>W48/$B$48*100</f>
        <v>0</v>
      </c>
      <c r="X49" s="11">
        <f>X48/$B$48*100</f>
        <v>0.16370996547208</v>
      </c>
      <c r="Y49" s="11">
        <f>Y48/B48*100</f>
        <v>0.228300988212882</v>
      </c>
      <c r="Z49" s="11">
        <f>Z48/$B$48*100</f>
        <v>0.0732230027384212</v>
      </c>
      <c r="AA49" s="11">
        <f>AA48/$B$48*100</f>
        <v>0</v>
      </c>
      <c r="AB49" s="11">
        <f>AB48/$B$48*100</f>
        <v>0</v>
      </c>
    </row>
    <row r="50" ht="22" customHeight="1" spans="7:30">
      <c r="G50" s="61" t="s">
        <v>87</v>
      </c>
      <c r="H50" s="62">
        <v>0.5</v>
      </c>
      <c r="I50" s="62">
        <v>0.7</v>
      </c>
      <c r="J50" s="62">
        <v>0.1</v>
      </c>
      <c r="K50" s="62">
        <v>0.1</v>
      </c>
      <c r="L50" s="62">
        <v>0.7</v>
      </c>
      <c r="M50" s="62">
        <v>0.1</v>
      </c>
      <c r="N50" s="62">
        <v>0.1</v>
      </c>
      <c r="O50" s="62">
        <v>0.1</v>
      </c>
      <c r="P50" s="62">
        <v>0.3</v>
      </c>
      <c r="Q50" s="62">
        <v>0.1</v>
      </c>
      <c r="R50" s="62">
        <v>0.1</v>
      </c>
      <c r="S50" s="62">
        <v>1</v>
      </c>
      <c r="T50" s="62">
        <v>0.1</v>
      </c>
      <c r="U50" s="62">
        <v>0.1</v>
      </c>
      <c r="V50" s="62">
        <v>0.1</v>
      </c>
      <c r="W50" s="62">
        <v>0.1</v>
      </c>
      <c r="X50" s="62">
        <v>0.1</v>
      </c>
      <c r="Y50" s="62">
        <v>0.3</v>
      </c>
      <c r="Z50" s="62">
        <v>0.1</v>
      </c>
      <c r="AA50" s="62">
        <v>0.1</v>
      </c>
      <c r="AB50" s="62">
        <v>0.1</v>
      </c>
      <c r="AC50" s="74">
        <f>SUM(H50:AB50)</f>
        <v>5</v>
      </c>
      <c r="AD50" s="75">
        <f>SUM(H49:AB49)</f>
        <v>6.13882605072032</v>
      </c>
    </row>
    <row r="51" ht="21" customHeight="1" spans="7:28">
      <c r="G51" s="18" t="s">
        <v>88</v>
      </c>
      <c r="H51" s="11">
        <f t="shared" ref="H51:AB51" si="17">H50-H49</f>
        <v>0.108286700797714</v>
      </c>
      <c r="I51" s="11">
        <f t="shared" si="17"/>
        <v>0.388058102155018</v>
      </c>
      <c r="J51" s="11">
        <f t="shared" si="17"/>
        <v>0.1</v>
      </c>
      <c r="K51" s="11">
        <f t="shared" si="17"/>
        <v>0.1</v>
      </c>
      <c r="L51" s="11">
        <f t="shared" si="17"/>
        <v>-2.86143588522443</v>
      </c>
      <c r="M51" s="11">
        <f t="shared" si="17"/>
        <v>0.1</v>
      </c>
      <c r="N51" s="11">
        <f t="shared" si="17"/>
        <v>0.1</v>
      </c>
      <c r="O51" s="11">
        <f t="shared" si="17"/>
        <v>0.1</v>
      </c>
      <c r="P51" s="11">
        <f t="shared" si="17"/>
        <v>0.28720085724491</v>
      </c>
      <c r="Q51" s="11">
        <f t="shared" si="17"/>
        <v>-0.334277890225027</v>
      </c>
      <c r="R51" s="11">
        <f t="shared" si="17"/>
        <v>0.04969639242767</v>
      </c>
      <c r="S51" s="11">
        <f t="shared" si="17"/>
        <v>0.0888796285272057</v>
      </c>
      <c r="T51" s="11">
        <f t="shared" si="17"/>
        <v>0.1</v>
      </c>
      <c r="U51" s="11">
        <f t="shared" si="17"/>
        <v>0.1</v>
      </c>
      <c r="V51" s="11">
        <f t="shared" si="17"/>
        <v>0.1</v>
      </c>
      <c r="W51" s="11">
        <f t="shared" si="17"/>
        <v>0.1</v>
      </c>
      <c r="X51" s="11">
        <f t="shared" si="17"/>
        <v>-0.06370996547208</v>
      </c>
      <c r="Y51" s="11">
        <f t="shared" si="17"/>
        <v>0.0716990117871175</v>
      </c>
      <c r="Z51" s="11">
        <f t="shared" si="17"/>
        <v>0.0267769972615788</v>
      </c>
      <c r="AA51" s="11">
        <f t="shared" si="17"/>
        <v>0.1</v>
      </c>
      <c r="AB51" s="11">
        <f t="shared" si="17"/>
        <v>0.1</v>
      </c>
    </row>
    <row r="52" spans="8:28"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</row>
  </sheetData>
  <mergeCells count="18">
    <mergeCell ref="X1:Z1"/>
    <mergeCell ref="AA1:AB1"/>
    <mergeCell ref="X2:Z2"/>
    <mergeCell ref="AA2:AB2"/>
    <mergeCell ref="X3:Z3"/>
    <mergeCell ref="AA3:AB3"/>
    <mergeCell ref="B4:W4"/>
    <mergeCell ref="X4:AB4"/>
    <mergeCell ref="H5:AB5"/>
    <mergeCell ref="A1:A4"/>
    <mergeCell ref="A5:A7"/>
    <mergeCell ref="B5:B7"/>
    <mergeCell ref="C5:C7"/>
    <mergeCell ref="D5:D7"/>
    <mergeCell ref="E5:E7"/>
    <mergeCell ref="F5:F7"/>
    <mergeCell ref="G5:G7"/>
    <mergeCell ref="B1:W3"/>
  </mergeCells>
  <conditionalFormatting sqref="H49:K49">
    <cfRule type="cellIs" dxfId="0" priority="14" operator="lessThan">
      <formula>$J$50</formula>
    </cfRule>
    <cfRule type="cellIs" dxfId="1" priority="15" operator="greaterThan">
      <formula>$J$50</formula>
    </cfRule>
  </conditionalFormatting>
  <conditionalFormatting sqref="L49:O49">
    <cfRule type="cellIs" dxfId="0" priority="12" operator="lessThan">
      <formula>$M$50</formula>
    </cfRule>
    <cfRule type="cellIs" dxfId="1" priority="13" operator="greaterThan">
      <formula>$M$50</formula>
    </cfRule>
  </conditionalFormatting>
  <conditionalFormatting sqref="P49:R49">
    <cfRule type="cellIs" dxfId="0" priority="10" operator="lessThan">
      <formula>$Q$50</formula>
    </cfRule>
    <cfRule type="cellIs" dxfId="1" priority="11" operator="greaterThan">
      <formula>$Q$50</formula>
    </cfRule>
  </conditionalFormatting>
  <conditionalFormatting sqref="S49:X49">
    <cfRule type="cellIs" dxfId="0" priority="8" operator="lessThan">
      <formula>$X$50</formula>
    </cfRule>
    <cfRule type="cellIs" dxfId="1" priority="9" operator="greaterThan">
      <formula>$X$50</formula>
    </cfRule>
  </conditionalFormatting>
  <conditionalFormatting sqref="Y49">
    <cfRule type="cellIs" dxfId="0" priority="6" operator="lessThan">
      <formula>$Y$50</formula>
    </cfRule>
    <cfRule type="cellIs" dxfId="1" priority="7" operator="greaterThan">
      <formula>$Y$50</formula>
    </cfRule>
  </conditionalFormatting>
  <conditionalFormatting sqref="Z49:AB49">
    <cfRule type="cellIs" dxfId="0" priority="4" operator="lessThan">
      <formula>$AA$50</formula>
    </cfRule>
    <cfRule type="cellIs" dxfId="1" priority="5" operator="greaterThan">
      <formula>$AA$50</formula>
    </cfRule>
  </conditionalFormatting>
  <conditionalFormatting sqref="H51">
    <cfRule type="cellIs" dxfId="1" priority="3" operator="lessThan">
      <formula>0</formula>
    </cfRule>
  </conditionalFormatting>
  <conditionalFormatting sqref="H51:AB51">
    <cfRule type="cellIs" dxfId="3" priority="1" operator="greaterThan">
      <formula>0</formula>
    </cfRule>
    <cfRule type="cellIs" dxfId="2" priority="2" operator="lessThan">
      <formula>0</formula>
    </cfRule>
  </conditionalFormatting>
  <pageMargins left="0.251388888888889" right="0.251388888888889" top="0.197222222222222" bottom="0.251388888888889" header="0.298611111111111" footer="0.298611111111111"/>
  <pageSetup paperSize="9" scale="50" orientation="landscape" horizontalDpi="600"/>
  <headerFooter/>
  <ignoredErrors>
    <ignoredError sqref="G23:G24" evalError="1"/>
    <ignoredError sqref="F25 H23:K23" emptyCellReference="1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D53"/>
  <sheetViews>
    <sheetView zoomScale="85" zoomScaleNormal="85" zoomScalePageLayoutView="85" workbookViewId="0">
      <pane xSplit="1" ySplit="7" topLeftCell="B25" activePane="bottomRight" state="frozen"/>
      <selection/>
      <selection pane="topRight"/>
      <selection pane="bottomLeft"/>
      <selection pane="bottomRight" activeCell="J47" sqref="J47"/>
    </sheetView>
  </sheetViews>
  <sheetFormatPr defaultColWidth="9.14285714285714" defaultRowHeight="15"/>
  <cols>
    <col min="1" max="1" width="13.7142857142857" customWidth="1"/>
    <col min="2" max="7" width="10.952380952381" customWidth="1"/>
    <col min="8" max="28" width="8.71428571428571" customWidth="1"/>
    <col min="29" max="29" width="9.14285714285714" style="25"/>
    <col min="30" max="30" width="12.8571428571429"/>
  </cols>
  <sheetData>
    <row r="1" ht="20" customHeight="1" spans="1:28">
      <c r="A1" s="1"/>
      <c r="B1" s="76" t="s">
        <v>82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20" t="s">
        <v>83</v>
      </c>
      <c r="Y1" s="20"/>
      <c r="Z1" s="20"/>
      <c r="AA1" s="21" t="s">
        <v>77</v>
      </c>
      <c r="AB1" s="21"/>
    </row>
    <row r="2" ht="15.75" spans="1:28">
      <c r="A2" s="1"/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20" t="s">
        <v>91</v>
      </c>
      <c r="Y2" s="20"/>
      <c r="Z2" s="20"/>
      <c r="AA2" s="167" t="s">
        <v>89</v>
      </c>
      <c r="AB2" s="21"/>
    </row>
    <row r="3" ht="22" customHeight="1" spans="1:28">
      <c r="A3" s="1"/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20" t="s">
        <v>79</v>
      </c>
      <c r="Y3" s="20"/>
      <c r="Z3" s="20"/>
      <c r="AA3" s="22">
        <v>45607</v>
      </c>
      <c r="AB3" s="21"/>
    </row>
    <row r="4" ht="23.25" spans="1:28">
      <c r="A4" s="1"/>
      <c r="B4" s="78" t="s">
        <v>80</v>
      </c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1" t="s">
        <v>8</v>
      </c>
      <c r="Y4" s="1"/>
      <c r="Z4" s="1"/>
      <c r="AA4" s="1"/>
      <c r="AB4" s="1"/>
    </row>
    <row r="5" spans="1:28">
      <c r="A5" s="34" t="s">
        <v>81</v>
      </c>
      <c r="B5" s="34" t="s">
        <v>12</v>
      </c>
      <c r="C5" s="35" t="s">
        <v>13</v>
      </c>
      <c r="D5" s="35" t="s">
        <v>14</v>
      </c>
      <c r="E5" s="36" t="s">
        <v>90</v>
      </c>
      <c r="F5" s="35" t="s">
        <v>16</v>
      </c>
      <c r="G5" s="34" t="s">
        <v>17</v>
      </c>
      <c r="H5" s="34" t="s">
        <v>18</v>
      </c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</row>
    <row r="6" spans="1:28">
      <c r="A6" s="34"/>
      <c r="B6" s="34"/>
      <c r="C6" s="35"/>
      <c r="D6" s="35"/>
      <c r="E6" s="37"/>
      <c r="F6" s="35"/>
      <c r="G6" s="34"/>
      <c r="H6" s="34">
        <v>1</v>
      </c>
      <c r="I6" s="34">
        <v>2</v>
      </c>
      <c r="J6" s="34">
        <v>3</v>
      </c>
      <c r="K6" s="34">
        <v>4</v>
      </c>
      <c r="L6" s="34">
        <v>5</v>
      </c>
      <c r="M6" s="34">
        <v>6</v>
      </c>
      <c r="N6" s="34">
        <v>7</v>
      </c>
      <c r="O6" s="34">
        <v>8</v>
      </c>
      <c r="P6" s="34">
        <v>9</v>
      </c>
      <c r="Q6" s="34">
        <v>10</v>
      </c>
      <c r="R6" s="34">
        <v>11</v>
      </c>
      <c r="S6" s="34">
        <v>12</v>
      </c>
      <c r="T6" s="34">
        <v>13</v>
      </c>
      <c r="U6" s="34">
        <v>14</v>
      </c>
      <c r="V6" s="34">
        <v>15</v>
      </c>
      <c r="W6" s="34">
        <v>16</v>
      </c>
      <c r="X6" s="34">
        <v>17</v>
      </c>
      <c r="Y6" s="34">
        <v>18</v>
      </c>
      <c r="Z6" s="34">
        <v>19</v>
      </c>
      <c r="AA6" s="34">
        <v>20</v>
      </c>
      <c r="AB6" s="34">
        <v>21</v>
      </c>
    </row>
    <row r="7" spans="1:28">
      <c r="A7" s="34"/>
      <c r="B7" s="34"/>
      <c r="C7" s="35"/>
      <c r="D7" s="35"/>
      <c r="E7" s="38"/>
      <c r="F7" s="35"/>
      <c r="G7" s="34"/>
      <c r="H7" s="34" t="s">
        <v>19</v>
      </c>
      <c r="I7" s="34" t="s">
        <v>20</v>
      </c>
      <c r="J7" s="34" t="s">
        <v>21</v>
      </c>
      <c r="K7" s="34" t="s">
        <v>22</v>
      </c>
      <c r="L7" s="34" t="s">
        <v>23</v>
      </c>
      <c r="M7" s="34" t="s">
        <v>24</v>
      </c>
      <c r="N7" s="34" t="s">
        <v>25</v>
      </c>
      <c r="O7" s="34" t="s">
        <v>26</v>
      </c>
      <c r="P7" s="34" t="s">
        <v>27</v>
      </c>
      <c r="Q7" s="34" t="s">
        <v>28</v>
      </c>
      <c r="R7" s="34" t="s">
        <v>29</v>
      </c>
      <c r="S7" s="34" t="s">
        <v>30</v>
      </c>
      <c r="T7" s="34" t="s">
        <v>31</v>
      </c>
      <c r="U7" s="34" t="s">
        <v>32</v>
      </c>
      <c r="V7" s="34" t="s">
        <v>33</v>
      </c>
      <c r="W7" s="34" t="s">
        <v>34</v>
      </c>
      <c r="X7" s="34" t="s">
        <v>35</v>
      </c>
      <c r="Y7" s="34" t="s">
        <v>36</v>
      </c>
      <c r="Z7" s="34" t="s">
        <v>37</v>
      </c>
      <c r="AA7" s="34" t="s">
        <v>38</v>
      </c>
      <c r="AB7" s="34" t="s">
        <v>39</v>
      </c>
    </row>
    <row r="8" ht="20" customHeight="1" spans="1:28">
      <c r="A8" s="39">
        <v>45931</v>
      </c>
      <c r="B8" s="10">
        <v>8381</v>
      </c>
      <c r="C8" s="10">
        <v>7602</v>
      </c>
      <c r="D8" s="10">
        <v>602</v>
      </c>
      <c r="E8" s="11">
        <f>D8/B8*100</f>
        <v>7.1829137334447</v>
      </c>
      <c r="F8" s="40">
        <f>B8-(C8+D8)</f>
        <v>177</v>
      </c>
      <c r="G8" s="11">
        <f>F8/B8*100</f>
        <v>2.11191981863739</v>
      </c>
      <c r="H8" s="10">
        <v>26</v>
      </c>
      <c r="I8" s="10">
        <v>13</v>
      </c>
      <c r="J8" s="10"/>
      <c r="K8" s="10"/>
      <c r="L8" s="10">
        <v>45</v>
      </c>
      <c r="M8" s="10"/>
      <c r="N8" s="10"/>
      <c r="O8" s="10"/>
      <c r="P8" s="10"/>
      <c r="Q8" s="10"/>
      <c r="R8" s="10"/>
      <c r="S8" s="10">
        <v>88</v>
      </c>
      <c r="T8" s="10"/>
      <c r="U8" s="10"/>
      <c r="V8" s="10"/>
      <c r="W8" s="10"/>
      <c r="X8" s="10"/>
      <c r="Y8" s="10"/>
      <c r="Z8" s="10">
        <v>5</v>
      </c>
      <c r="AA8" s="10"/>
      <c r="AB8" s="10"/>
    </row>
    <row r="9" ht="20" customHeight="1" spans="1:28">
      <c r="A9" s="79">
        <v>45932</v>
      </c>
      <c r="B9" s="80" t="s">
        <v>95</v>
      </c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</row>
    <row r="10" ht="20" customHeight="1" spans="1:28">
      <c r="A10" s="39">
        <v>45933</v>
      </c>
      <c r="B10" s="10">
        <v>13268</v>
      </c>
      <c r="C10" s="10">
        <v>12516</v>
      </c>
      <c r="D10" s="10">
        <v>265</v>
      </c>
      <c r="E10" s="11">
        <f>D10/B10*100</f>
        <v>1.99728670485378</v>
      </c>
      <c r="F10" s="40">
        <f>B10-(C10+D10)</f>
        <v>487</v>
      </c>
      <c r="G10" s="11">
        <f>F10/B10*100</f>
        <v>3.67048537835393</v>
      </c>
      <c r="H10" s="10">
        <v>50</v>
      </c>
      <c r="I10" s="10">
        <v>84</v>
      </c>
      <c r="J10" s="10"/>
      <c r="K10" s="10"/>
      <c r="L10" s="10">
        <v>200</v>
      </c>
      <c r="M10" s="10"/>
      <c r="N10" s="10"/>
      <c r="O10" s="10"/>
      <c r="P10" s="10"/>
      <c r="Q10" s="10">
        <v>8</v>
      </c>
      <c r="R10" s="10"/>
      <c r="S10" s="10">
        <v>198</v>
      </c>
      <c r="T10" s="10"/>
      <c r="U10" s="10"/>
      <c r="V10" s="10"/>
      <c r="W10" s="10"/>
      <c r="X10" s="10"/>
      <c r="Y10" s="10"/>
      <c r="Z10" s="10">
        <v>7</v>
      </c>
      <c r="AA10" s="10"/>
      <c r="AB10" s="10"/>
    </row>
    <row r="11" ht="20" customHeight="1" spans="1:28">
      <c r="A11" s="39">
        <v>45934</v>
      </c>
      <c r="B11" s="10">
        <v>15053</v>
      </c>
      <c r="C11" s="10">
        <v>13602</v>
      </c>
      <c r="D11" s="10">
        <v>1042</v>
      </c>
      <c r="E11" s="11">
        <f>D11/B11*100</f>
        <v>6.92220819770145</v>
      </c>
      <c r="F11" s="40">
        <f>B11-(C11+D11)</f>
        <v>409</v>
      </c>
      <c r="G11" s="11">
        <f>F11/B11*100</f>
        <v>2.71706636550854</v>
      </c>
      <c r="H11" s="10">
        <v>43</v>
      </c>
      <c r="I11" s="10">
        <v>49</v>
      </c>
      <c r="J11" s="10"/>
      <c r="K11" s="10"/>
      <c r="L11" s="10">
        <v>65</v>
      </c>
      <c r="M11" s="10"/>
      <c r="N11" s="10">
        <v>2</v>
      </c>
      <c r="O11" s="10"/>
      <c r="P11" s="10"/>
      <c r="Q11" s="10"/>
      <c r="R11" s="10"/>
      <c r="S11" s="10">
        <v>220</v>
      </c>
      <c r="T11" s="10"/>
      <c r="U11" s="10"/>
      <c r="V11" s="10"/>
      <c r="W11" s="10"/>
      <c r="X11" s="10">
        <v>27</v>
      </c>
      <c r="Y11" s="10"/>
      <c r="Z11" s="10">
        <v>3</v>
      </c>
      <c r="AA11" s="10"/>
      <c r="AB11" s="10"/>
    </row>
    <row r="12" ht="20" customHeight="1" spans="1:28">
      <c r="A12" s="42" t="s">
        <v>40</v>
      </c>
      <c r="B12" s="43">
        <f t="shared" ref="B12:AB12" si="0">SUM(B8:B11)</f>
        <v>36702</v>
      </c>
      <c r="C12" s="43">
        <f t="shared" si="0"/>
        <v>33720</v>
      </c>
      <c r="D12" s="43">
        <f t="shared" si="0"/>
        <v>1909</v>
      </c>
      <c r="E12" s="44">
        <f t="shared" si="0"/>
        <v>16.1024086359999</v>
      </c>
      <c r="F12" s="43">
        <f t="shared" si="0"/>
        <v>1073</v>
      </c>
      <c r="G12" s="43">
        <f t="shared" si="0"/>
        <v>8.49947156249986</v>
      </c>
      <c r="H12" s="43">
        <f t="shared" si="0"/>
        <v>119</v>
      </c>
      <c r="I12" s="43">
        <f t="shared" si="0"/>
        <v>146</v>
      </c>
      <c r="J12" s="43">
        <f t="shared" si="0"/>
        <v>0</v>
      </c>
      <c r="K12" s="43">
        <f t="shared" si="0"/>
        <v>0</v>
      </c>
      <c r="L12" s="43">
        <f t="shared" si="0"/>
        <v>310</v>
      </c>
      <c r="M12" s="43">
        <f t="shared" si="0"/>
        <v>0</v>
      </c>
      <c r="N12" s="43">
        <f t="shared" si="0"/>
        <v>2</v>
      </c>
      <c r="O12" s="43">
        <f t="shared" si="0"/>
        <v>0</v>
      </c>
      <c r="P12" s="43">
        <f t="shared" si="0"/>
        <v>0</v>
      </c>
      <c r="Q12" s="43">
        <f t="shared" si="0"/>
        <v>8</v>
      </c>
      <c r="R12" s="43">
        <f t="shared" si="0"/>
        <v>0</v>
      </c>
      <c r="S12" s="43">
        <f t="shared" si="0"/>
        <v>506</v>
      </c>
      <c r="T12" s="43">
        <f t="shared" si="0"/>
        <v>0</v>
      </c>
      <c r="U12" s="43">
        <f t="shared" si="0"/>
        <v>0</v>
      </c>
      <c r="V12" s="43">
        <f t="shared" si="0"/>
        <v>0</v>
      </c>
      <c r="W12" s="43">
        <f t="shared" si="0"/>
        <v>0</v>
      </c>
      <c r="X12" s="43">
        <f t="shared" si="0"/>
        <v>27</v>
      </c>
      <c r="Y12" s="43">
        <f t="shared" si="0"/>
        <v>0</v>
      </c>
      <c r="Z12" s="43">
        <f t="shared" si="0"/>
        <v>15</v>
      </c>
      <c r="AA12" s="43">
        <f t="shared" si="0"/>
        <v>0</v>
      </c>
      <c r="AB12" s="43">
        <f t="shared" si="0"/>
        <v>0</v>
      </c>
    </row>
    <row r="13" ht="20" customHeight="1" spans="1:29">
      <c r="A13" s="45" t="s">
        <v>84</v>
      </c>
      <c r="B13" s="46"/>
      <c r="C13" s="47">
        <f>C12/$B$12*100</f>
        <v>91.8751021742684</v>
      </c>
      <c r="D13" s="47">
        <f>D12/$B$12*100</f>
        <v>5.20135142499046</v>
      </c>
      <c r="E13" s="47">
        <f>E12/$B$12*100</f>
        <v>0.0438733819301399</v>
      </c>
      <c r="F13" s="47">
        <f>F12/$B$12*100</f>
        <v>2.9235464007411</v>
      </c>
      <c r="G13" s="47">
        <f>G12/$B$12*100</f>
        <v>0.0231580610389076</v>
      </c>
      <c r="H13" s="47">
        <f>H12/$B$12*100</f>
        <v>0.324233011824969</v>
      </c>
      <c r="I13" s="47">
        <f>I12/$B$12*100</f>
        <v>0.39779848509618</v>
      </c>
      <c r="J13" s="47">
        <f>J12/$B$12*100</f>
        <v>0</v>
      </c>
      <c r="K13" s="47">
        <f>K12/$B$12*100</f>
        <v>0</v>
      </c>
      <c r="L13" s="47">
        <f>L12/$B$12*100</f>
        <v>0.844640619039834</v>
      </c>
      <c r="M13" s="47">
        <f>M12/$B$12*100</f>
        <v>0</v>
      </c>
      <c r="N13" s="47">
        <f>N12/$B$12*100</f>
        <v>0.00544929431638603</v>
      </c>
      <c r="O13" s="47">
        <f>O12/$B$12*100</f>
        <v>0</v>
      </c>
      <c r="P13" s="47">
        <f>P12/$B$12*100</f>
        <v>0</v>
      </c>
      <c r="Q13" s="47">
        <f>Q12/$B$12*100</f>
        <v>0.0217971772655441</v>
      </c>
      <c r="R13" s="47">
        <f>R12/$B$12*100</f>
        <v>0</v>
      </c>
      <c r="S13" s="47">
        <f>S12/$B$12*100</f>
        <v>1.37867146204567</v>
      </c>
      <c r="T13" s="47">
        <f>T12/$B$12*100</f>
        <v>0</v>
      </c>
      <c r="U13" s="47">
        <f>U12/$B$12*100</f>
        <v>0</v>
      </c>
      <c r="V13" s="47">
        <f>V12/$B$12*100</f>
        <v>0</v>
      </c>
      <c r="W13" s="47">
        <f>W12/$B$12*100</f>
        <v>0</v>
      </c>
      <c r="X13" s="47">
        <f>X12/$B$12*100</f>
        <v>0.0735654732712114</v>
      </c>
      <c r="Y13" s="47">
        <f>Y12/$B$12*100</f>
        <v>0</v>
      </c>
      <c r="Z13" s="47">
        <f>Z12/$B$12*100</f>
        <v>0.0408697073728952</v>
      </c>
      <c r="AA13" s="47">
        <f>AA12/$B$12*100</f>
        <v>0</v>
      </c>
      <c r="AB13" s="47">
        <f>AB12/$B$12*100</f>
        <v>0</v>
      </c>
      <c r="AC13" s="69">
        <f>SUM(H13:AB13)</f>
        <v>3.08702523023268</v>
      </c>
    </row>
    <row r="14" ht="20" customHeight="1" spans="1:28">
      <c r="A14" s="48">
        <v>45935</v>
      </c>
      <c r="B14" s="49"/>
      <c r="C14" s="49"/>
      <c r="D14" s="49"/>
      <c r="E14" s="50" t="e">
        <f t="shared" ref="E14:E21" si="1">D14/B14*100</f>
        <v>#DIV/0!</v>
      </c>
      <c r="F14" s="49">
        <f t="shared" ref="F14:F20" si="2">B14-(C14+D14)</f>
        <v>0</v>
      </c>
      <c r="G14" s="50" t="e">
        <f t="shared" ref="G14:G20" si="3">F14/B14*100</f>
        <v>#DIV/0!</v>
      </c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</row>
    <row r="15" ht="20" customHeight="1" spans="1:28">
      <c r="A15" s="51">
        <v>45936</v>
      </c>
      <c r="B15" s="10">
        <v>9702</v>
      </c>
      <c r="C15" s="10">
        <v>8338</v>
      </c>
      <c r="D15" s="10">
        <v>1061</v>
      </c>
      <c r="E15" s="11">
        <f t="shared" si="1"/>
        <v>10.9358895073181</v>
      </c>
      <c r="F15" s="10">
        <f t="shared" si="2"/>
        <v>303</v>
      </c>
      <c r="G15" s="11">
        <f t="shared" si="3"/>
        <v>3.12306740878169</v>
      </c>
      <c r="H15" s="10">
        <v>37</v>
      </c>
      <c r="I15" s="10">
        <v>58</v>
      </c>
      <c r="J15" s="10"/>
      <c r="K15" s="10"/>
      <c r="L15" s="10">
        <v>104</v>
      </c>
      <c r="M15" s="10"/>
      <c r="N15" s="10"/>
      <c r="O15" s="10"/>
      <c r="P15" s="10"/>
      <c r="Q15" s="10"/>
      <c r="R15" s="10"/>
      <c r="S15" s="10">
        <v>104</v>
      </c>
      <c r="T15" s="10"/>
      <c r="U15" s="10"/>
      <c r="V15" s="10"/>
      <c r="W15" s="10"/>
      <c r="X15" s="10"/>
      <c r="Y15" s="10"/>
      <c r="Z15" s="10"/>
      <c r="AA15" s="10"/>
      <c r="AB15" s="10"/>
    </row>
    <row r="16" ht="20" customHeight="1" spans="1:28">
      <c r="A16" s="51">
        <v>45937</v>
      </c>
      <c r="B16" s="10">
        <v>8600</v>
      </c>
      <c r="C16" s="10">
        <v>7856</v>
      </c>
      <c r="D16" s="10">
        <v>376</v>
      </c>
      <c r="E16" s="11">
        <f t="shared" si="1"/>
        <v>4.37209302325581</v>
      </c>
      <c r="F16" s="10">
        <f t="shared" si="2"/>
        <v>368</v>
      </c>
      <c r="G16" s="11">
        <f t="shared" si="3"/>
        <v>4.27906976744186</v>
      </c>
      <c r="H16" s="10">
        <v>32</v>
      </c>
      <c r="I16" s="10">
        <v>94</v>
      </c>
      <c r="J16" s="10"/>
      <c r="K16" s="10"/>
      <c r="L16" s="10"/>
      <c r="M16" s="10"/>
      <c r="N16" s="10"/>
      <c r="O16" s="10">
        <v>20</v>
      </c>
      <c r="P16" s="10"/>
      <c r="Q16" s="10">
        <v>70</v>
      </c>
      <c r="R16" s="10"/>
      <c r="S16" s="10">
        <v>126</v>
      </c>
      <c r="T16" s="10"/>
      <c r="U16" s="10"/>
      <c r="V16" s="10"/>
      <c r="W16" s="10"/>
      <c r="X16" s="10">
        <v>26</v>
      </c>
      <c r="Y16" s="10"/>
      <c r="Z16" s="10"/>
      <c r="AA16" s="10"/>
      <c r="AB16" s="10"/>
    </row>
    <row r="17" s="23" customFormat="1" ht="20" customHeight="1" spans="1:29">
      <c r="A17" s="51">
        <v>45938</v>
      </c>
      <c r="B17" s="40">
        <v>9978</v>
      </c>
      <c r="C17" s="40">
        <v>8553</v>
      </c>
      <c r="D17" s="40">
        <v>385</v>
      </c>
      <c r="E17" s="11">
        <f t="shared" si="1"/>
        <v>3.85848867508519</v>
      </c>
      <c r="F17" s="40">
        <f t="shared" si="2"/>
        <v>1040</v>
      </c>
      <c r="G17" s="52">
        <f t="shared" si="3"/>
        <v>10.4229304469834</v>
      </c>
      <c r="H17" s="40">
        <v>191</v>
      </c>
      <c r="I17" s="40">
        <v>272</v>
      </c>
      <c r="J17" s="40"/>
      <c r="K17" s="40"/>
      <c r="L17" s="40"/>
      <c r="M17" s="40"/>
      <c r="N17" s="40">
        <v>6</v>
      </c>
      <c r="O17" s="40">
        <v>6</v>
      </c>
      <c r="P17" s="40"/>
      <c r="Q17" s="40">
        <v>170</v>
      </c>
      <c r="R17" s="40"/>
      <c r="S17" s="40">
        <v>265</v>
      </c>
      <c r="T17" s="40"/>
      <c r="U17" s="40"/>
      <c r="V17" s="40"/>
      <c r="W17" s="40"/>
      <c r="X17" s="40"/>
      <c r="Y17" s="40">
        <v>132</v>
      </c>
      <c r="Z17" s="40"/>
      <c r="AA17" s="40"/>
      <c r="AB17" s="40"/>
      <c r="AC17" s="70"/>
    </row>
    <row r="18" ht="20" customHeight="1" spans="1:28">
      <c r="A18" s="51">
        <v>45939</v>
      </c>
      <c r="B18" s="10">
        <v>8349</v>
      </c>
      <c r="C18" s="10">
        <v>7596</v>
      </c>
      <c r="D18" s="10">
        <v>300</v>
      </c>
      <c r="E18" s="11">
        <f t="shared" si="1"/>
        <v>3.59324469996407</v>
      </c>
      <c r="F18" s="40">
        <f t="shared" si="2"/>
        <v>453</v>
      </c>
      <c r="G18" s="11">
        <f t="shared" si="3"/>
        <v>5.42579949694574</v>
      </c>
      <c r="H18" s="10">
        <v>108</v>
      </c>
      <c r="I18" s="10">
        <v>60</v>
      </c>
      <c r="J18" s="10"/>
      <c r="K18" s="10"/>
      <c r="L18" s="10"/>
      <c r="M18" s="10"/>
      <c r="N18" s="10"/>
      <c r="O18" s="10"/>
      <c r="P18" s="10"/>
      <c r="Q18" s="10">
        <v>95</v>
      </c>
      <c r="R18" s="10"/>
      <c r="S18" s="10">
        <v>145</v>
      </c>
      <c r="T18" s="10"/>
      <c r="U18" s="10"/>
      <c r="V18" s="10"/>
      <c r="W18" s="10"/>
      <c r="X18" s="10"/>
      <c r="Y18" s="10">
        <v>45</v>
      </c>
      <c r="Z18" s="10"/>
      <c r="AA18" s="10"/>
      <c r="AB18" s="10"/>
    </row>
    <row r="19" ht="20" customHeight="1" spans="1:28">
      <c r="A19" s="51">
        <v>45940</v>
      </c>
      <c r="B19" s="10">
        <v>7311</v>
      </c>
      <c r="C19" s="10">
        <v>6652</v>
      </c>
      <c r="D19" s="10">
        <v>138</v>
      </c>
      <c r="E19" s="11">
        <f t="shared" si="1"/>
        <v>1.88756668034469</v>
      </c>
      <c r="F19" s="40">
        <f t="shared" si="2"/>
        <v>521</v>
      </c>
      <c r="G19" s="11">
        <f t="shared" si="3"/>
        <v>7.12624811927233</v>
      </c>
      <c r="H19" s="10">
        <v>58</v>
      </c>
      <c r="I19" s="10">
        <v>59</v>
      </c>
      <c r="J19" s="10"/>
      <c r="K19" s="10"/>
      <c r="L19" s="10">
        <v>261</v>
      </c>
      <c r="M19" s="10"/>
      <c r="N19" s="10"/>
      <c r="O19" s="10"/>
      <c r="P19" s="10">
        <v>23</v>
      </c>
      <c r="Q19" s="10"/>
      <c r="R19" s="10"/>
      <c r="S19" s="10">
        <v>113</v>
      </c>
      <c r="T19" s="10"/>
      <c r="U19" s="10"/>
      <c r="V19" s="10"/>
      <c r="W19" s="10"/>
      <c r="X19" s="10">
        <v>4</v>
      </c>
      <c r="Y19" s="10"/>
      <c r="Z19" s="10"/>
      <c r="AA19" s="10">
        <v>3</v>
      </c>
      <c r="AB19" s="10"/>
    </row>
    <row r="20" ht="20" customHeight="1" spans="1:28">
      <c r="A20" s="51">
        <v>45941</v>
      </c>
      <c r="B20" s="10">
        <v>8226</v>
      </c>
      <c r="C20" s="10">
        <v>7578</v>
      </c>
      <c r="D20" s="10">
        <v>266</v>
      </c>
      <c r="E20" s="11">
        <f t="shared" si="1"/>
        <v>3.23364940432774</v>
      </c>
      <c r="F20" s="40">
        <f t="shared" si="2"/>
        <v>382</v>
      </c>
      <c r="G20" s="11">
        <f t="shared" si="3"/>
        <v>4.64381230245563</v>
      </c>
      <c r="H20" s="10">
        <v>100</v>
      </c>
      <c r="I20" s="10">
        <v>63</v>
      </c>
      <c r="J20" s="10"/>
      <c r="K20" s="10"/>
      <c r="L20" s="10"/>
      <c r="M20" s="10"/>
      <c r="N20" s="10"/>
      <c r="O20" s="10"/>
      <c r="P20" s="10"/>
      <c r="Q20" s="10">
        <v>46</v>
      </c>
      <c r="R20" s="10"/>
      <c r="S20" s="10">
        <v>114</v>
      </c>
      <c r="T20" s="10"/>
      <c r="U20" s="10"/>
      <c r="V20" s="10"/>
      <c r="W20" s="10"/>
      <c r="X20" s="10">
        <v>8</v>
      </c>
      <c r="Y20" s="10">
        <v>51</v>
      </c>
      <c r="Z20" s="10"/>
      <c r="AA20" s="10"/>
      <c r="AB20" s="10"/>
    </row>
    <row r="21" ht="20" customHeight="1" spans="1:28">
      <c r="A21" s="42" t="s">
        <v>40</v>
      </c>
      <c r="B21" s="43">
        <f t="shared" ref="B21:AB21" si="4">SUM(B14:B20)</f>
        <v>52166</v>
      </c>
      <c r="C21" s="43">
        <f t="shared" si="4"/>
        <v>46573</v>
      </c>
      <c r="D21" s="43">
        <f t="shared" si="4"/>
        <v>2526</v>
      </c>
      <c r="E21" s="44">
        <f t="shared" si="1"/>
        <v>4.84223440555151</v>
      </c>
      <c r="F21" s="43">
        <f t="shared" si="4"/>
        <v>3067</v>
      </c>
      <c r="G21" s="43" t="e">
        <f t="shared" si="4"/>
        <v>#DIV/0!</v>
      </c>
      <c r="H21" s="43">
        <f t="shared" si="4"/>
        <v>526</v>
      </c>
      <c r="I21" s="43">
        <f t="shared" si="4"/>
        <v>606</v>
      </c>
      <c r="J21" s="43">
        <f t="shared" si="4"/>
        <v>0</v>
      </c>
      <c r="K21" s="43">
        <f t="shared" si="4"/>
        <v>0</v>
      </c>
      <c r="L21" s="43">
        <f t="shared" si="4"/>
        <v>365</v>
      </c>
      <c r="M21" s="43">
        <f t="shared" si="4"/>
        <v>0</v>
      </c>
      <c r="N21" s="43">
        <f t="shared" si="4"/>
        <v>6</v>
      </c>
      <c r="O21" s="43">
        <f t="shared" si="4"/>
        <v>26</v>
      </c>
      <c r="P21" s="43">
        <f t="shared" si="4"/>
        <v>23</v>
      </c>
      <c r="Q21" s="43">
        <f t="shared" si="4"/>
        <v>381</v>
      </c>
      <c r="R21" s="43">
        <f t="shared" si="4"/>
        <v>0</v>
      </c>
      <c r="S21" s="43">
        <f t="shared" si="4"/>
        <v>867</v>
      </c>
      <c r="T21" s="43">
        <f t="shared" si="4"/>
        <v>0</v>
      </c>
      <c r="U21" s="43">
        <f t="shared" si="4"/>
        <v>0</v>
      </c>
      <c r="V21" s="43">
        <f t="shared" si="4"/>
        <v>0</v>
      </c>
      <c r="W21" s="43">
        <f t="shared" si="4"/>
        <v>0</v>
      </c>
      <c r="X21" s="43">
        <f t="shared" si="4"/>
        <v>38</v>
      </c>
      <c r="Y21" s="43">
        <f t="shared" si="4"/>
        <v>228</v>
      </c>
      <c r="Z21" s="43">
        <f t="shared" si="4"/>
        <v>0</v>
      </c>
      <c r="AA21" s="43">
        <f t="shared" si="4"/>
        <v>3</v>
      </c>
      <c r="AB21" s="43">
        <f t="shared" si="4"/>
        <v>0</v>
      </c>
    </row>
    <row r="22" ht="20" customHeight="1" spans="1:29">
      <c r="A22" s="45" t="s">
        <v>84</v>
      </c>
      <c r="B22" s="46"/>
      <c r="C22" s="47">
        <f>C21/$B$21*100</f>
        <v>89.2784572326803</v>
      </c>
      <c r="D22" s="47">
        <f>D21/$B$21*100</f>
        <v>4.84223440555151</v>
      </c>
      <c r="E22" s="47">
        <f>E21/$B$21*100</f>
        <v>0.00928235710146745</v>
      </c>
      <c r="F22" s="47">
        <f>F21/$B$21*100</f>
        <v>5.8793083617682</v>
      </c>
      <c r="G22" s="47" t="e">
        <f>G21/$B$21*100</f>
        <v>#DIV/0!</v>
      </c>
      <c r="H22" s="47">
        <f>H21/$B$21*100</f>
        <v>1.0083195951386</v>
      </c>
      <c r="I22" s="47">
        <f>I21/$B$21*100</f>
        <v>1.16167618755511</v>
      </c>
      <c r="J22" s="47">
        <f>J21/$B$21*100</f>
        <v>0</v>
      </c>
      <c r="K22" s="47">
        <f>K21/$B$21*100</f>
        <v>0</v>
      </c>
      <c r="L22" s="47">
        <f>L21/$B$21*100</f>
        <v>0.699689452900357</v>
      </c>
      <c r="M22" s="47">
        <f>M21/$B$21*100</f>
        <v>0</v>
      </c>
      <c r="N22" s="47">
        <f>N21/$B$21*100</f>
        <v>0.0115017444312387</v>
      </c>
      <c r="O22" s="47">
        <f>O21/$B$21*100</f>
        <v>0.0498408925353679</v>
      </c>
      <c r="P22" s="47">
        <f>P21/$B$21*100</f>
        <v>0.0440900203197485</v>
      </c>
      <c r="Q22" s="47">
        <f>Q21/$B$21*100</f>
        <v>0.73036077138366</v>
      </c>
      <c r="R22" s="47">
        <f>R21/$B$21*100</f>
        <v>0</v>
      </c>
      <c r="S22" s="47">
        <f>S21/$B$21*100</f>
        <v>1.662002070314</v>
      </c>
      <c r="T22" s="47">
        <f>T21/$B$21*100</f>
        <v>0</v>
      </c>
      <c r="U22" s="47">
        <f>U21/$B$21*100</f>
        <v>0</v>
      </c>
      <c r="V22" s="47">
        <f>V21/$B$21*100</f>
        <v>0</v>
      </c>
      <c r="W22" s="47">
        <f>W21/$B$21*100</f>
        <v>0</v>
      </c>
      <c r="X22" s="47">
        <f>X21/$B$21*100</f>
        <v>0.0728443813978453</v>
      </c>
      <c r="Y22" s="47">
        <f>Y21/$B$21*100</f>
        <v>0.437066288387072</v>
      </c>
      <c r="Z22" s="47">
        <f>Z21/$B$21*100</f>
        <v>0</v>
      </c>
      <c r="AA22" s="47">
        <f>AA21/$B$21*100</f>
        <v>0.00575087221561937</v>
      </c>
      <c r="AB22" s="47">
        <f>AB21/$B$21*100</f>
        <v>0</v>
      </c>
      <c r="AC22" s="69">
        <f>SUM(H22:AB22)</f>
        <v>5.88314227657861</v>
      </c>
    </row>
    <row r="23" ht="20" customHeight="1" spans="1:28">
      <c r="A23" s="48">
        <v>45942</v>
      </c>
      <c r="B23" s="49"/>
      <c r="C23" s="49"/>
      <c r="D23" s="49"/>
      <c r="E23" s="50">
        <v>0</v>
      </c>
      <c r="F23" s="49">
        <f t="shared" ref="F23:F29" si="5">B23-(C23+D23)</f>
        <v>0</v>
      </c>
      <c r="G23" s="50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</row>
    <row r="24" ht="20" customHeight="1" spans="1:28">
      <c r="A24" s="51">
        <v>45943</v>
      </c>
      <c r="B24" s="10">
        <v>7196</v>
      </c>
      <c r="C24" s="10">
        <v>6194</v>
      </c>
      <c r="D24" s="10">
        <v>353</v>
      </c>
      <c r="E24" s="11">
        <f t="shared" ref="E24:E30" si="6">D24/B24*100</f>
        <v>4.90550305725403</v>
      </c>
      <c r="F24" s="10">
        <f t="shared" si="5"/>
        <v>649</v>
      </c>
      <c r="G24" s="11">
        <f t="shared" ref="G24:G29" si="7">F24/B24*100</f>
        <v>9.01889938854919</v>
      </c>
      <c r="H24" s="10">
        <v>91</v>
      </c>
      <c r="I24" s="10">
        <v>81</v>
      </c>
      <c r="J24" s="10"/>
      <c r="K24" s="10"/>
      <c r="L24" s="10"/>
      <c r="M24" s="10"/>
      <c r="N24" s="10"/>
      <c r="O24" s="10"/>
      <c r="P24" s="10"/>
      <c r="Q24" s="10">
        <v>260</v>
      </c>
      <c r="R24" s="10"/>
      <c r="S24" s="10">
        <v>178</v>
      </c>
      <c r="T24" s="10"/>
      <c r="U24" s="10"/>
      <c r="V24" s="10"/>
      <c r="W24" s="10"/>
      <c r="X24" s="10"/>
      <c r="Y24" s="10">
        <v>39</v>
      </c>
      <c r="Z24" s="10"/>
      <c r="AA24" s="10"/>
      <c r="AB24" s="10"/>
    </row>
    <row r="25" ht="20" customHeight="1" spans="1:28">
      <c r="A25" s="51">
        <v>45944</v>
      </c>
      <c r="B25" s="10">
        <v>7331</v>
      </c>
      <c r="C25" s="10">
        <v>6817</v>
      </c>
      <c r="D25" s="10">
        <v>86</v>
      </c>
      <c r="E25" s="11">
        <f t="shared" si="6"/>
        <v>1.17310053198745</v>
      </c>
      <c r="F25" s="10">
        <f t="shared" si="5"/>
        <v>428</v>
      </c>
      <c r="G25" s="11">
        <f t="shared" si="7"/>
        <v>5.83822125221661</v>
      </c>
      <c r="H25" s="10">
        <v>4</v>
      </c>
      <c r="I25" s="10">
        <v>118</v>
      </c>
      <c r="J25" s="10"/>
      <c r="K25" s="10"/>
      <c r="L25" s="10">
        <v>151</v>
      </c>
      <c r="M25" s="10"/>
      <c r="N25" s="10"/>
      <c r="O25" s="10"/>
      <c r="P25" s="10">
        <v>24</v>
      </c>
      <c r="Q25" s="10">
        <v>65</v>
      </c>
      <c r="R25" s="10"/>
      <c r="S25" s="10">
        <v>65</v>
      </c>
      <c r="T25" s="10"/>
      <c r="U25" s="10"/>
      <c r="V25" s="10"/>
      <c r="W25" s="10"/>
      <c r="X25" s="10"/>
      <c r="Y25" s="10">
        <v>1</v>
      </c>
      <c r="Z25" s="10"/>
      <c r="AA25" s="10"/>
      <c r="AB25" s="10"/>
    </row>
    <row r="26" customFormat="1" ht="20" customHeight="1" spans="1:29">
      <c r="A26" s="51">
        <v>45945</v>
      </c>
      <c r="B26" s="10">
        <v>6863</v>
      </c>
      <c r="C26" s="10">
        <v>6261</v>
      </c>
      <c r="D26" s="10">
        <v>256</v>
      </c>
      <c r="E26" s="11">
        <f t="shared" si="6"/>
        <v>3.73014716596241</v>
      </c>
      <c r="F26" s="10">
        <f t="shared" si="5"/>
        <v>346</v>
      </c>
      <c r="G26" s="11">
        <f t="shared" si="7"/>
        <v>5.04152702899607</v>
      </c>
      <c r="H26" s="10">
        <v>110</v>
      </c>
      <c r="I26" s="10">
        <v>40</v>
      </c>
      <c r="J26" s="10"/>
      <c r="K26" s="10"/>
      <c r="L26" s="10">
        <v>56</v>
      </c>
      <c r="M26" s="10"/>
      <c r="N26" s="10"/>
      <c r="O26" s="10"/>
      <c r="P26" s="10"/>
      <c r="Q26" s="10">
        <v>7</v>
      </c>
      <c r="R26" s="10"/>
      <c r="S26" s="10">
        <v>133</v>
      </c>
      <c r="T26" s="10"/>
      <c r="U26" s="10"/>
      <c r="V26" s="10"/>
      <c r="W26" s="10"/>
      <c r="X26" s="10"/>
      <c r="Y26" s="10"/>
      <c r="Z26" s="10"/>
      <c r="AA26" s="10"/>
      <c r="AB26" s="10"/>
      <c r="AC26" s="25"/>
    </row>
    <row r="27" customFormat="1" ht="20" customHeight="1" spans="1:29">
      <c r="A27" s="51">
        <v>45946</v>
      </c>
      <c r="B27" s="10">
        <v>9708</v>
      </c>
      <c r="C27" s="10">
        <v>8709</v>
      </c>
      <c r="D27" s="10">
        <v>516</v>
      </c>
      <c r="E27" s="11">
        <f t="shared" si="6"/>
        <v>5.31520395550062</v>
      </c>
      <c r="F27" s="10">
        <f t="shared" si="5"/>
        <v>483</v>
      </c>
      <c r="G27" s="11">
        <f t="shared" si="7"/>
        <v>4.97527812113721</v>
      </c>
      <c r="H27" s="10">
        <v>105</v>
      </c>
      <c r="I27" s="10">
        <v>20</v>
      </c>
      <c r="J27" s="10"/>
      <c r="K27" s="10"/>
      <c r="L27" s="10">
        <v>35</v>
      </c>
      <c r="M27" s="10"/>
      <c r="N27" s="10"/>
      <c r="O27" s="10"/>
      <c r="P27" s="10"/>
      <c r="Q27" s="10">
        <v>100</v>
      </c>
      <c r="R27" s="10"/>
      <c r="S27" s="10">
        <v>195</v>
      </c>
      <c r="T27" s="10"/>
      <c r="U27" s="10"/>
      <c r="V27" s="10"/>
      <c r="W27" s="10"/>
      <c r="X27" s="10"/>
      <c r="Y27" s="10">
        <v>28</v>
      </c>
      <c r="Z27" s="10"/>
      <c r="AA27" s="10"/>
      <c r="AB27" s="10"/>
      <c r="AC27" s="25"/>
    </row>
    <row r="28" s="23" customFormat="1" ht="20" customHeight="1" spans="1:29">
      <c r="A28" s="51">
        <v>45947</v>
      </c>
      <c r="B28" s="40">
        <v>6419</v>
      </c>
      <c r="C28" s="40">
        <v>5568</v>
      </c>
      <c r="D28" s="40">
        <v>630</v>
      </c>
      <c r="E28" s="11">
        <f t="shared" si="6"/>
        <v>9.81461286804798</v>
      </c>
      <c r="F28" s="10">
        <f t="shared" si="5"/>
        <v>221</v>
      </c>
      <c r="G28" s="11">
        <f t="shared" si="7"/>
        <v>3.4429038791089</v>
      </c>
      <c r="H28" s="40">
        <v>83</v>
      </c>
      <c r="I28" s="40">
        <v>25</v>
      </c>
      <c r="J28" s="40"/>
      <c r="K28" s="40"/>
      <c r="L28" s="40">
        <v>96</v>
      </c>
      <c r="M28" s="40"/>
      <c r="N28" s="40"/>
      <c r="O28" s="40"/>
      <c r="P28" s="40">
        <v>88</v>
      </c>
      <c r="Q28" s="40">
        <v>25</v>
      </c>
      <c r="R28" s="40"/>
      <c r="S28" s="40">
        <v>110</v>
      </c>
      <c r="T28" s="40"/>
      <c r="U28" s="40"/>
      <c r="V28" s="40"/>
      <c r="W28" s="40"/>
      <c r="X28" s="40"/>
      <c r="Y28" s="40"/>
      <c r="Z28" s="40">
        <v>3</v>
      </c>
      <c r="AA28" s="40"/>
      <c r="AB28" s="40"/>
      <c r="AC28" s="70"/>
    </row>
    <row r="29" ht="20" customHeight="1" spans="1:28">
      <c r="A29" s="51">
        <v>45948</v>
      </c>
      <c r="B29" s="10">
        <v>5090</v>
      </c>
      <c r="C29" s="10">
        <v>4553</v>
      </c>
      <c r="D29" s="10">
        <v>41</v>
      </c>
      <c r="E29" s="11">
        <f t="shared" si="6"/>
        <v>0.805500982318271</v>
      </c>
      <c r="F29" s="10">
        <f t="shared" si="5"/>
        <v>496</v>
      </c>
      <c r="G29" s="11">
        <f t="shared" si="7"/>
        <v>9.74459724950884</v>
      </c>
      <c r="H29" s="10">
        <v>72</v>
      </c>
      <c r="I29" s="10">
        <v>25</v>
      </c>
      <c r="J29" s="10"/>
      <c r="K29" s="10"/>
      <c r="L29" s="10"/>
      <c r="M29" s="10"/>
      <c r="N29" s="10"/>
      <c r="O29" s="10"/>
      <c r="P29" s="10">
        <v>66</v>
      </c>
      <c r="Q29" s="10">
        <v>68</v>
      </c>
      <c r="R29" s="10"/>
      <c r="S29" s="10">
        <v>227</v>
      </c>
      <c r="T29" s="10"/>
      <c r="U29" s="10"/>
      <c r="V29" s="10"/>
      <c r="W29" s="10"/>
      <c r="X29" s="10">
        <v>16</v>
      </c>
      <c r="Y29" s="10">
        <v>20</v>
      </c>
      <c r="Z29" s="10">
        <v>2</v>
      </c>
      <c r="AA29" s="10"/>
      <c r="AB29" s="10"/>
    </row>
    <row r="30" ht="20" customHeight="1" spans="1:28">
      <c r="A30" s="42" t="s">
        <v>40</v>
      </c>
      <c r="B30" s="43">
        <f t="shared" ref="B30:AB30" si="8">SUM(B23:B29)</f>
        <v>42607</v>
      </c>
      <c r="C30" s="43">
        <f t="shared" si="8"/>
        <v>38102</v>
      </c>
      <c r="D30" s="43">
        <f t="shared" si="8"/>
        <v>1882</v>
      </c>
      <c r="E30" s="44">
        <f t="shared" si="6"/>
        <v>4.4171145586406</v>
      </c>
      <c r="F30" s="43">
        <f t="shared" si="8"/>
        <v>2623</v>
      </c>
      <c r="G30" s="44">
        <f t="shared" si="8"/>
        <v>38.0614269195168</v>
      </c>
      <c r="H30" s="43">
        <f t="shared" si="8"/>
        <v>465</v>
      </c>
      <c r="I30" s="43">
        <f t="shared" si="8"/>
        <v>309</v>
      </c>
      <c r="J30" s="43">
        <f t="shared" si="8"/>
        <v>0</v>
      </c>
      <c r="K30" s="43">
        <f t="shared" si="8"/>
        <v>0</v>
      </c>
      <c r="L30" s="43">
        <f t="shared" si="8"/>
        <v>338</v>
      </c>
      <c r="M30" s="43">
        <f t="shared" si="8"/>
        <v>0</v>
      </c>
      <c r="N30" s="43">
        <f t="shared" si="8"/>
        <v>0</v>
      </c>
      <c r="O30" s="43">
        <f t="shared" si="8"/>
        <v>0</v>
      </c>
      <c r="P30" s="43">
        <f t="shared" si="8"/>
        <v>178</v>
      </c>
      <c r="Q30" s="43">
        <f t="shared" si="8"/>
        <v>525</v>
      </c>
      <c r="R30" s="43">
        <f t="shared" si="8"/>
        <v>0</v>
      </c>
      <c r="S30" s="43">
        <f t="shared" si="8"/>
        <v>908</v>
      </c>
      <c r="T30" s="43">
        <f t="shared" si="8"/>
        <v>0</v>
      </c>
      <c r="U30" s="43">
        <f t="shared" si="8"/>
        <v>0</v>
      </c>
      <c r="V30" s="43">
        <f t="shared" si="8"/>
        <v>0</v>
      </c>
      <c r="W30" s="43">
        <f t="shared" si="8"/>
        <v>0</v>
      </c>
      <c r="X30" s="43">
        <f t="shared" si="8"/>
        <v>16</v>
      </c>
      <c r="Y30" s="43">
        <f t="shared" si="8"/>
        <v>88</v>
      </c>
      <c r="Z30" s="43">
        <f t="shared" si="8"/>
        <v>5</v>
      </c>
      <c r="AA30" s="43">
        <f t="shared" si="8"/>
        <v>0</v>
      </c>
      <c r="AB30" s="43">
        <f t="shared" si="8"/>
        <v>0</v>
      </c>
    </row>
    <row r="31" ht="20" customHeight="1" spans="1:29">
      <c r="A31" s="45" t="s">
        <v>84</v>
      </c>
      <c r="B31" s="46"/>
      <c r="C31" s="47">
        <f>C30/$B$30*100</f>
        <v>89.4266200389607</v>
      </c>
      <c r="D31" s="47">
        <f>D30/$B$30*100</f>
        <v>4.4171145586406</v>
      </c>
      <c r="E31" s="47"/>
      <c r="F31" s="47">
        <f>F30/$B$30*100</f>
        <v>6.15626540239867</v>
      </c>
      <c r="G31" s="47">
        <f>G30/$B$30*100</f>
        <v>0.0893313937135138</v>
      </c>
      <c r="H31" s="47">
        <f>H30/$B$30*100</f>
        <v>1.09136996268219</v>
      </c>
      <c r="I31" s="47">
        <f>I30/$B$30*100</f>
        <v>0.725232942943648</v>
      </c>
      <c r="J31" s="47">
        <f>J30/$B$30*100</f>
        <v>0</v>
      </c>
      <c r="K31" s="47">
        <f>K30/$B$30*100</f>
        <v>0</v>
      </c>
      <c r="L31" s="47">
        <f>L30/$B$30*100</f>
        <v>0.793296876100171</v>
      </c>
      <c r="M31" s="47">
        <f>M30/$B$30*100</f>
        <v>0</v>
      </c>
      <c r="N31" s="47">
        <f>N30/$B$30*100</f>
        <v>0</v>
      </c>
      <c r="O31" s="47">
        <f>O30/$B$30*100</f>
        <v>0</v>
      </c>
      <c r="P31" s="47">
        <f>P30/$B$30*100</f>
        <v>0.417771727650386</v>
      </c>
      <c r="Q31" s="47">
        <f>Q30/$B$30*100</f>
        <v>1.23219189335086</v>
      </c>
      <c r="R31" s="47">
        <f>R30/$B$30*100</f>
        <v>0</v>
      </c>
      <c r="S31" s="47">
        <f>S30/$B$30*100</f>
        <v>2.13110521745253</v>
      </c>
      <c r="T31" s="47">
        <f>T30/$B$30*100</f>
        <v>0</v>
      </c>
      <c r="U31" s="47">
        <f>U30/$B$30*100</f>
        <v>0</v>
      </c>
      <c r="V31" s="47">
        <f>V30/$B$30*100</f>
        <v>0</v>
      </c>
      <c r="W31" s="47">
        <f>W30/$B$30*100</f>
        <v>0</v>
      </c>
      <c r="X31" s="47">
        <f>X30/$B$30*100</f>
        <v>0.0375525148449785</v>
      </c>
      <c r="Y31" s="47">
        <f>Y30/$B$30*100</f>
        <v>0.206538831647382</v>
      </c>
      <c r="Z31" s="47">
        <f>Z30/$B$30*100</f>
        <v>0.0117351608890558</v>
      </c>
      <c r="AA31" s="47">
        <f>AA30/$B$30*100</f>
        <v>0</v>
      </c>
      <c r="AB31" s="47">
        <f>AB30/$B$30*100</f>
        <v>0</v>
      </c>
      <c r="AC31" s="69">
        <f>SUM(H31:AB31)</f>
        <v>6.6467951275612</v>
      </c>
    </row>
    <row r="32" s="24" customFormat="1" ht="20" customHeight="1" spans="1:29">
      <c r="A32" s="53">
        <v>45949</v>
      </c>
      <c r="B32" s="54">
        <v>2301</v>
      </c>
      <c r="C32" s="54">
        <v>2088</v>
      </c>
      <c r="D32" s="54">
        <v>82</v>
      </c>
      <c r="E32" s="55">
        <f t="shared" ref="E32:E39" si="9">D32/B32*100</f>
        <v>3.56366797044763</v>
      </c>
      <c r="F32" s="54">
        <f t="shared" ref="F32:F38" si="10">B32-(C32+D32)</f>
        <v>131</v>
      </c>
      <c r="G32" s="55">
        <f t="shared" ref="G32:G38" si="11">F32/B32*100</f>
        <v>5.69317687961756</v>
      </c>
      <c r="H32" s="54">
        <v>6</v>
      </c>
      <c r="I32" s="54">
        <v>4</v>
      </c>
      <c r="J32" s="54"/>
      <c r="K32" s="54"/>
      <c r="L32" s="54"/>
      <c r="M32" s="54"/>
      <c r="N32" s="54"/>
      <c r="O32" s="54"/>
      <c r="P32" s="54"/>
      <c r="Q32" s="54">
        <v>17</v>
      </c>
      <c r="R32" s="54"/>
      <c r="S32" s="54">
        <v>72</v>
      </c>
      <c r="T32" s="54"/>
      <c r="U32" s="54"/>
      <c r="V32" s="54"/>
      <c r="W32" s="54"/>
      <c r="X32" s="54">
        <v>30</v>
      </c>
      <c r="Y32" s="54"/>
      <c r="Z32" s="54">
        <v>2</v>
      </c>
      <c r="AA32" s="54"/>
      <c r="AB32" s="54"/>
      <c r="AC32" s="71"/>
    </row>
    <row r="33" ht="20" customHeight="1" spans="1:28">
      <c r="A33" s="79">
        <v>45950</v>
      </c>
      <c r="B33" s="81" t="s">
        <v>96</v>
      </c>
      <c r="C33" s="81"/>
      <c r="D33" s="81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</row>
    <row r="34" ht="20" customHeight="1" spans="1:28">
      <c r="A34" s="79">
        <v>45951</v>
      </c>
      <c r="B34" s="81"/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</row>
    <row r="35" s="23" customFormat="1" ht="20" customHeight="1" spans="1:29">
      <c r="A35" s="79">
        <v>45952</v>
      </c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70"/>
    </row>
    <row r="36" ht="20" customHeight="1" spans="1:28">
      <c r="A36" s="79">
        <v>45953</v>
      </c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  <c r="AA36" s="81"/>
      <c r="AB36" s="81"/>
    </row>
    <row r="37" ht="20" customHeight="1" spans="1:28">
      <c r="A37" s="51">
        <v>45954</v>
      </c>
      <c r="B37" s="58">
        <v>7344</v>
      </c>
      <c r="C37" s="58">
        <v>6579</v>
      </c>
      <c r="D37" s="58">
        <v>113</v>
      </c>
      <c r="E37" s="11">
        <f t="shared" si="9"/>
        <v>1.53867102396514</v>
      </c>
      <c r="F37" s="10">
        <f t="shared" si="10"/>
        <v>652</v>
      </c>
      <c r="G37" s="11">
        <f t="shared" si="11"/>
        <v>8.87799564270152</v>
      </c>
      <c r="H37" s="59"/>
      <c r="I37" s="59"/>
      <c r="J37" s="63"/>
      <c r="K37" s="63"/>
      <c r="L37" s="64"/>
      <c r="M37" s="64"/>
      <c r="N37" s="64"/>
      <c r="O37" s="64"/>
      <c r="P37" s="59"/>
      <c r="Q37" s="64"/>
      <c r="R37" s="64"/>
      <c r="S37" s="59"/>
      <c r="T37" s="64"/>
      <c r="U37" s="64"/>
      <c r="V37" s="64"/>
      <c r="W37" s="59"/>
      <c r="X37" s="59"/>
      <c r="Y37" s="59"/>
      <c r="Z37" s="59"/>
      <c r="AA37" s="64"/>
      <c r="AB37" s="63"/>
    </row>
    <row r="38" ht="20" customHeight="1" spans="1:28">
      <c r="A38" s="51">
        <v>45955</v>
      </c>
      <c r="B38" s="58">
        <v>7000</v>
      </c>
      <c r="C38" s="58">
        <v>6360</v>
      </c>
      <c r="D38" s="58">
        <v>123</v>
      </c>
      <c r="E38" s="11">
        <f t="shared" si="9"/>
        <v>1.75714285714286</v>
      </c>
      <c r="F38" s="10">
        <f t="shared" si="10"/>
        <v>517</v>
      </c>
      <c r="G38" s="11">
        <f t="shared" si="11"/>
        <v>7.38571428571429</v>
      </c>
      <c r="H38" s="59"/>
      <c r="I38" s="59"/>
      <c r="J38" s="63"/>
      <c r="K38" s="63"/>
      <c r="L38" s="64"/>
      <c r="M38" s="64"/>
      <c r="N38" s="64"/>
      <c r="O38" s="64"/>
      <c r="P38" s="59"/>
      <c r="Q38" s="64"/>
      <c r="R38" s="64"/>
      <c r="S38" s="59"/>
      <c r="T38" s="64"/>
      <c r="U38" s="64"/>
      <c r="V38" s="64"/>
      <c r="W38" s="59"/>
      <c r="X38" s="59"/>
      <c r="Y38" s="59"/>
      <c r="Z38" s="59"/>
      <c r="AA38" s="64"/>
      <c r="AB38" s="63"/>
    </row>
    <row r="39" ht="20" customHeight="1" spans="1:28">
      <c r="A39" s="42" t="s">
        <v>40</v>
      </c>
      <c r="B39" s="56">
        <f t="shared" ref="B39:AB39" si="12">SUM(B32:B38)</f>
        <v>16645</v>
      </c>
      <c r="C39" s="56">
        <f t="shared" si="12"/>
        <v>15027</v>
      </c>
      <c r="D39" s="56">
        <f t="shared" si="12"/>
        <v>318</v>
      </c>
      <c r="E39" s="57">
        <f t="shared" si="9"/>
        <v>1.91048362871733</v>
      </c>
      <c r="F39" s="56">
        <f t="shared" si="12"/>
        <v>1300</v>
      </c>
      <c r="G39" s="57">
        <f t="shared" si="12"/>
        <v>21.9568868080334</v>
      </c>
      <c r="H39" s="56">
        <f t="shared" si="12"/>
        <v>6</v>
      </c>
      <c r="I39" s="56">
        <f t="shared" si="12"/>
        <v>4</v>
      </c>
      <c r="J39" s="56">
        <f t="shared" si="12"/>
        <v>0</v>
      </c>
      <c r="K39" s="56">
        <f t="shared" si="12"/>
        <v>0</v>
      </c>
      <c r="L39" s="56">
        <f t="shared" si="12"/>
        <v>0</v>
      </c>
      <c r="M39" s="56">
        <f t="shared" si="12"/>
        <v>0</v>
      </c>
      <c r="N39" s="56">
        <f t="shared" si="12"/>
        <v>0</v>
      </c>
      <c r="O39" s="56">
        <f t="shared" si="12"/>
        <v>0</v>
      </c>
      <c r="P39" s="56">
        <f t="shared" si="12"/>
        <v>0</v>
      </c>
      <c r="Q39" s="56">
        <f t="shared" si="12"/>
        <v>17</v>
      </c>
      <c r="R39" s="56">
        <f t="shared" si="12"/>
        <v>0</v>
      </c>
      <c r="S39" s="56">
        <f t="shared" si="12"/>
        <v>72</v>
      </c>
      <c r="T39" s="56">
        <f t="shared" si="12"/>
        <v>0</v>
      </c>
      <c r="U39" s="56">
        <f t="shared" si="12"/>
        <v>0</v>
      </c>
      <c r="V39" s="56">
        <f t="shared" si="12"/>
        <v>0</v>
      </c>
      <c r="W39" s="56">
        <f t="shared" si="12"/>
        <v>0</v>
      </c>
      <c r="X39" s="56">
        <f t="shared" si="12"/>
        <v>30</v>
      </c>
      <c r="Y39" s="56">
        <f t="shared" si="12"/>
        <v>0</v>
      </c>
      <c r="Z39" s="56">
        <f t="shared" si="12"/>
        <v>2</v>
      </c>
      <c r="AA39" s="56">
        <f t="shared" si="12"/>
        <v>0</v>
      </c>
      <c r="AB39" s="56">
        <f t="shared" si="12"/>
        <v>0</v>
      </c>
    </row>
    <row r="40" ht="20" customHeight="1" spans="1:29">
      <c r="A40" s="45" t="s">
        <v>84</v>
      </c>
      <c r="B40" s="46"/>
      <c r="C40" s="47">
        <f>C39/$B$39*100</f>
        <v>90.2793631721238</v>
      </c>
      <c r="D40" s="47">
        <f>D39/$B$39*100</f>
        <v>1.91048362871733</v>
      </c>
      <c r="E40" s="47"/>
      <c r="F40" s="47">
        <f>F39/$B$39*100</f>
        <v>7.81015319915891</v>
      </c>
      <c r="G40" s="47">
        <f>G39/$B$39*100</f>
        <v>0.131912807497948</v>
      </c>
      <c r="H40" s="47">
        <f>H39/$B$39*100</f>
        <v>0.0360468609191949</v>
      </c>
      <c r="I40" s="47">
        <f>I39/$B$39*100</f>
        <v>0.0240312406127966</v>
      </c>
      <c r="J40" s="47">
        <f>J39/$B$39*100</f>
        <v>0</v>
      </c>
      <c r="K40" s="47">
        <f>K39/$B$39*100</f>
        <v>0</v>
      </c>
      <c r="L40" s="47">
        <f>L39/$B$39*100</f>
        <v>0</v>
      </c>
      <c r="M40" s="47">
        <f>M39/$B$39*100</f>
        <v>0</v>
      </c>
      <c r="N40" s="47">
        <f>N39/$B$39*100</f>
        <v>0</v>
      </c>
      <c r="O40" s="47">
        <f>O39/$B$39*100</f>
        <v>0</v>
      </c>
      <c r="P40" s="47">
        <f>P39/$B$39*100</f>
        <v>0</v>
      </c>
      <c r="Q40" s="47">
        <f>Q39/$B$39*100</f>
        <v>0.102132772604386</v>
      </c>
      <c r="R40" s="47">
        <f>R39/$B$39*100</f>
        <v>0</v>
      </c>
      <c r="S40" s="47">
        <f>S39/$B$39*100</f>
        <v>0.432562331030339</v>
      </c>
      <c r="T40" s="47">
        <f>T39/$B$39*100</f>
        <v>0</v>
      </c>
      <c r="U40" s="47">
        <f>U39/$B$39*100</f>
        <v>0</v>
      </c>
      <c r="V40" s="47">
        <f>V39/$B$39*100</f>
        <v>0</v>
      </c>
      <c r="W40" s="47">
        <f>W39/$B$39*100</f>
        <v>0</v>
      </c>
      <c r="X40" s="47">
        <f>X39/$B$39*100</f>
        <v>0.180234304595975</v>
      </c>
      <c r="Y40" s="47">
        <f>Y39/$B$39*100</f>
        <v>0</v>
      </c>
      <c r="Z40" s="47">
        <f>Z39/$B$39*100</f>
        <v>0.0120156203063983</v>
      </c>
      <c r="AA40" s="47">
        <f>AA39/$B$39*100</f>
        <v>0</v>
      </c>
      <c r="AB40" s="47">
        <f>AB39/$B$39*100</f>
        <v>0</v>
      </c>
      <c r="AC40" s="69">
        <f>SUM(H40:AB40)</f>
        <v>0.78702313006909</v>
      </c>
    </row>
    <row r="41" ht="20" customHeight="1" spans="1:28">
      <c r="A41" s="48">
        <v>45956</v>
      </c>
      <c r="B41" s="49">
        <v>2283</v>
      </c>
      <c r="C41" s="49">
        <v>1935</v>
      </c>
      <c r="D41" s="49">
        <v>112</v>
      </c>
      <c r="E41" s="50">
        <f t="shared" ref="E41:E46" si="13">D41/B41*100</f>
        <v>4.90582566798073</v>
      </c>
      <c r="F41" s="49">
        <f t="shared" ref="F41:F46" si="14">B41-(C41+D41)</f>
        <v>236</v>
      </c>
      <c r="G41" s="50">
        <f t="shared" ref="G41:G46" si="15">F41/B41*100</f>
        <v>10.3372755146737</v>
      </c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</row>
    <row r="42" ht="20" customHeight="1" spans="1:28">
      <c r="A42" s="39">
        <v>45957</v>
      </c>
      <c r="B42" s="58">
        <v>6108</v>
      </c>
      <c r="C42" s="58">
        <v>5500</v>
      </c>
      <c r="D42" s="58">
        <v>63</v>
      </c>
      <c r="E42" s="11">
        <f t="shared" si="13"/>
        <v>1.03143418467584</v>
      </c>
      <c r="F42" s="10">
        <f t="shared" si="14"/>
        <v>545</v>
      </c>
      <c r="G42" s="11">
        <f t="shared" si="15"/>
        <v>8.92272429600524</v>
      </c>
      <c r="H42" s="59"/>
      <c r="I42" s="59"/>
      <c r="J42" s="63"/>
      <c r="K42" s="64"/>
      <c r="L42" s="64"/>
      <c r="M42" s="64"/>
      <c r="N42" s="64"/>
      <c r="O42" s="64"/>
      <c r="P42" s="59"/>
      <c r="Q42" s="64"/>
      <c r="R42" s="64"/>
      <c r="S42" s="59"/>
      <c r="T42" s="64"/>
      <c r="U42" s="64"/>
      <c r="V42" s="64"/>
      <c r="W42" s="59"/>
      <c r="X42" s="59"/>
      <c r="Y42" s="59"/>
      <c r="Z42" s="59"/>
      <c r="AA42" s="64"/>
      <c r="AB42" s="63"/>
    </row>
    <row r="43" ht="20" customHeight="1" spans="1:28">
      <c r="A43" s="39">
        <v>45958</v>
      </c>
      <c r="B43" s="58">
        <v>9192</v>
      </c>
      <c r="C43" s="58">
        <v>8145</v>
      </c>
      <c r="D43" s="58">
        <v>190</v>
      </c>
      <c r="E43" s="11">
        <f t="shared" si="13"/>
        <v>2.06701479547433</v>
      </c>
      <c r="F43" s="10">
        <f t="shared" si="14"/>
        <v>857</v>
      </c>
      <c r="G43" s="11">
        <f t="shared" si="15"/>
        <v>9.32332463011314</v>
      </c>
      <c r="H43" s="59"/>
      <c r="I43" s="59"/>
      <c r="J43" s="63"/>
      <c r="K43" s="64"/>
      <c r="L43" s="64"/>
      <c r="M43" s="64"/>
      <c r="N43" s="64"/>
      <c r="O43" s="64"/>
      <c r="P43" s="59"/>
      <c r="Q43" s="64"/>
      <c r="R43" s="64"/>
      <c r="S43" s="59"/>
      <c r="T43" s="64"/>
      <c r="U43" s="64"/>
      <c r="V43" s="64"/>
      <c r="W43" s="59"/>
      <c r="X43" s="59"/>
      <c r="Y43" s="59"/>
      <c r="Z43" s="59"/>
      <c r="AA43" s="64"/>
      <c r="AB43" s="63"/>
    </row>
    <row r="44" ht="20" customHeight="1" spans="1:28">
      <c r="A44" s="39">
        <v>45959</v>
      </c>
      <c r="B44" s="58">
        <v>6310</v>
      </c>
      <c r="C44" s="58">
        <v>5423</v>
      </c>
      <c r="D44" s="58">
        <v>214</v>
      </c>
      <c r="E44" s="11">
        <f t="shared" si="13"/>
        <v>3.39144215530903</v>
      </c>
      <c r="F44" s="10">
        <f t="shared" si="14"/>
        <v>673</v>
      </c>
      <c r="G44" s="11">
        <f t="shared" si="15"/>
        <v>10.6656101426307</v>
      </c>
      <c r="H44" s="59"/>
      <c r="I44" s="59"/>
      <c r="J44" s="63"/>
      <c r="K44" s="64"/>
      <c r="L44" s="64"/>
      <c r="M44" s="64"/>
      <c r="N44" s="64"/>
      <c r="O44" s="64"/>
      <c r="P44" s="59"/>
      <c r="Q44" s="64"/>
      <c r="R44" s="64"/>
      <c r="S44" s="59"/>
      <c r="T44" s="64"/>
      <c r="U44" s="64"/>
      <c r="V44" s="64"/>
      <c r="W44" s="59"/>
      <c r="X44" s="59"/>
      <c r="Y44" s="59"/>
      <c r="Z44" s="59"/>
      <c r="AA44" s="64"/>
      <c r="AB44" s="63"/>
    </row>
    <row r="45" ht="20" customHeight="1" spans="1:28">
      <c r="A45" s="39">
        <v>45960</v>
      </c>
      <c r="B45" s="58">
        <v>9935</v>
      </c>
      <c r="C45" s="58">
        <v>9234</v>
      </c>
      <c r="D45" s="58">
        <v>132</v>
      </c>
      <c r="E45" s="11">
        <f t="shared" si="13"/>
        <v>1.3286361348767</v>
      </c>
      <c r="F45" s="10">
        <f t="shared" si="14"/>
        <v>569</v>
      </c>
      <c r="G45" s="11">
        <f t="shared" si="15"/>
        <v>5.72722697533971</v>
      </c>
      <c r="H45" s="59"/>
      <c r="I45" s="59"/>
      <c r="J45" s="63"/>
      <c r="K45" s="64"/>
      <c r="L45" s="64"/>
      <c r="M45" s="64"/>
      <c r="N45" s="64"/>
      <c r="O45" s="64"/>
      <c r="P45" s="59"/>
      <c r="Q45" s="64"/>
      <c r="R45" s="64"/>
      <c r="S45" s="59"/>
      <c r="T45" s="64"/>
      <c r="U45" s="64"/>
      <c r="V45" s="64"/>
      <c r="W45" s="59"/>
      <c r="X45" s="59"/>
      <c r="Y45" s="59"/>
      <c r="Z45" s="59"/>
      <c r="AA45" s="64"/>
      <c r="AB45" s="63"/>
    </row>
    <row r="46" ht="20" customHeight="1" spans="1:28">
      <c r="A46" s="39">
        <v>45961</v>
      </c>
      <c r="B46" s="58">
        <v>9180</v>
      </c>
      <c r="C46" s="58">
        <v>8572</v>
      </c>
      <c r="D46" s="58">
        <v>70</v>
      </c>
      <c r="E46" s="11">
        <f t="shared" si="13"/>
        <v>0.762527233115468</v>
      </c>
      <c r="F46" s="10">
        <f t="shared" si="14"/>
        <v>538</v>
      </c>
      <c r="G46" s="11">
        <f t="shared" si="15"/>
        <v>5.86056644880174</v>
      </c>
      <c r="H46" s="59"/>
      <c r="I46" s="59"/>
      <c r="J46" s="63"/>
      <c r="K46" s="64"/>
      <c r="L46" s="64"/>
      <c r="M46" s="64"/>
      <c r="N46" s="64"/>
      <c r="O46" s="64"/>
      <c r="P46" s="59"/>
      <c r="Q46" s="64"/>
      <c r="R46" s="64"/>
      <c r="S46" s="59"/>
      <c r="T46" s="64"/>
      <c r="U46" s="64"/>
      <c r="V46" s="64"/>
      <c r="W46" s="59"/>
      <c r="X46" s="59"/>
      <c r="Y46" s="59"/>
      <c r="Z46" s="59"/>
      <c r="AA46" s="64"/>
      <c r="AB46" s="63"/>
    </row>
    <row r="47" ht="22" customHeight="1" spans="1:28">
      <c r="A47" s="42" t="s">
        <v>40</v>
      </c>
      <c r="B47" s="56">
        <f t="shared" ref="B47:AB47" si="16">SUM(B41:B46)</f>
        <v>43008</v>
      </c>
      <c r="C47" s="56">
        <f t="shared" si="16"/>
        <v>38809</v>
      </c>
      <c r="D47" s="56">
        <f t="shared" si="16"/>
        <v>781</v>
      </c>
      <c r="E47" s="57">
        <f t="shared" si="16"/>
        <v>13.4868801714321</v>
      </c>
      <c r="F47" s="56">
        <f t="shared" si="16"/>
        <v>3418</v>
      </c>
      <c r="G47" s="56"/>
      <c r="H47" s="56">
        <f t="shared" si="16"/>
        <v>0</v>
      </c>
      <c r="I47" s="56">
        <f t="shared" si="16"/>
        <v>0</v>
      </c>
      <c r="J47" s="56">
        <f t="shared" si="16"/>
        <v>0</v>
      </c>
      <c r="K47" s="56">
        <f t="shared" si="16"/>
        <v>0</v>
      </c>
      <c r="L47" s="56">
        <f t="shared" si="16"/>
        <v>0</v>
      </c>
      <c r="M47" s="56">
        <f t="shared" si="16"/>
        <v>0</v>
      </c>
      <c r="N47" s="56">
        <f t="shared" si="16"/>
        <v>0</v>
      </c>
      <c r="O47" s="56">
        <f t="shared" si="16"/>
        <v>0</v>
      </c>
      <c r="P47" s="56">
        <f t="shared" si="16"/>
        <v>0</v>
      </c>
      <c r="Q47" s="56">
        <f t="shared" si="16"/>
        <v>0</v>
      </c>
      <c r="R47" s="56">
        <f t="shared" si="16"/>
        <v>0</v>
      </c>
      <c r="S47" s="56">
        <f t="shared" si="16"/>
        <v>0</v>
      </c>
      <c r="T47" s="56">
        <f t="shared" si="16"/>
        <v>0</v>
      </c>
      <c r="U47" s="56">
        <f t="shared" si="16"/>
        <v>0</v>
      </c>
      <c r="V47" s="56">
        <f t="shared" si="16"/>
        <v>0</v>
      </c>
      <c r="W47" s="56">
        <f t="shared" si="16"/>
        <v>0</v>
      </c>
      <c r="X47" s="56">
        <f t="shared" si="16"/>
        <v>0</v>
      </c>
      <c r="Y47" s="56">
        <f t="shared" si="16"/>
        <v>0</v>
      </c>
      <c r="Z47" s="56">
        <f t="shared" si="16"/>
        <v>0</v>
      </c>
      <c r="AA47" s="56">
        <f t="shared" si="16"/>
        <v>0</v>
      </c>
      <c r="AB47" s="56">
        <f t="shared" si="16"/>
        <v>0</v>
      </c>
    </row>
    <row r="48" ht="22" customHeight="1" spans="1:29">
      <c r="A48" s="45" t="s">
        <v>84</v>
      </c>
      <c r="B48" s="46"/>
      <c r="C48" s="47">
        <f>C47/$B$47*100</f>
        <v>90.2367001488095</v>
      </c>
      <c r="D48" s="47">
        <f>D47/$B$47*100</f>
        <v>1.8159412202381</v>
      </c>
      <c r="E48" s="47">
        <f>E47/$B$47*100</f>
        <v>0.0313590033747956</v>
      </c>
      <c r="F48" s="47">
        <f>F47/$B$47*100</f>
        <v>7.94735863095238</v>
      </c>
      <c r="G48" s="47">
        <f>G47/$B$47*100</f>
        <v>0</v>
      </c>
      <c r="H48" s="47">
        <f>H47/$B$47*100</f>
        <v>0</v>
      </c>
      <c r="I48" s="47">
        <f>I47/$B$47*100</f>
        <v>0</v>
      </c>
      <c r="J48" s="47">
        <f>J47/$B$47*100</f>
        <v>0</v>
      </c>
      <c r="K48" s="47">
        <f>K47/$B$47*100</f>
        <v>0</v>
      </c>
      <c r="L48" s="47">
        <f>L47/$B$47*100</f>
        <v>0</v>
      </c>
      <c r="M48" s="47">
        <f>M47/$B$47*100</f>
        <v>0</v>
      </c>
      <c r="N48" s="47">
        <f>N47/$B$47*100</f>
        <v>0</v>
      </c>
      <c r="O48" s="47">
        <f>O47/$B$47*100</f>
        <v>0</v>
      </c>
      <c r="P48" s="47">
        <f>P47/$B$47*100</f>
        <v>0</v>
      </c>
      <c r="Q48" s="47">
        <f>Q47/$B$47*100</f>
        <v>0</v>
      </c>
      <c r="R48" s="47">
        <f>R47/$B$47*100</f>
        <v>0</v>
      </c>
      <c r="S48" s="47">
        <f>S47/$B$47*100</f>
        <v>0</v>
      </c>
      <c r="T48" s="47">
        <f>T47/$B$47*100</f>
        <v>0</v>
      </c>
      <c r="U48" s="47">
        <f>U47/$B$47*100</f>
        <v>0</v>
      </c>
      <c r="V48" s="47">
        <f>V47/$B$47*100</f>
        <v>0</v>
      </c>
      <c r="W48" s="47">
        <f>W47/$B$47*100</f>
        <v>0</v>
      </c>
      <c r="X48" s="47">
        <f>X47/$B$47*100</f>
        <v>0</v>
      </c>
      <c r="Y48" s="47">
        <f>Y47/$B$47*100</f>
        <v>0</v>
      </c>
      <c r="Z48" s="47">
        <f>Z47/$B$47*100</f>
        <v>0</v>
      </c>
      <c r="AA48" s="47">
        <f>AA47/$B$47*100</f>
        <v>0</v>
      </c>
      <c r="AB48" s="47">
        <f>AB47/$B$47*100</f>
        <v>0</v>
      </c>
      <c r="AC48" s="69">
        <f>SUM(H48:AB48)</f>
        <v>0</v>
      </c>
    </row>
    <row r="49" ht="36" customHeight="1" spans="1:28">
      <c r="A49" s="12" t="s">
        <v>40</v>
      </c>
      <c r="B49" s="13">
        <f t="shared" ref="B49:F49" si="17">B47+B39+B30+B21+B12</f>
        <v>191128</v>
      </c>
      <c r="C49" s="13">
        <f t="shared" si="17"/>
        <v>172231</v>
      </c>
      <c r="D49" s="13">
        <f t="shared" si="17"/>
        <v>7416</v>
      </c>
      <c r="E49" s="14">
        <f>D49/B49*100</f>
        <v>3.88012222175715</v>
      </c>
      <c r="F49" s="13">
        <f t="shared" si="17"/>
        <v>11481</v>
      </c>
      <c r="G49" s="14">
        <f>F49/B49*100</f>
        <v>6.00696915156335</v>
      </c>
      <c r="H49" s="13">
        <f t="shared" ref="H49:AB49" si="18">H47+H39+H30+H21+H12</f>
        <v>1116</v>
      </c>
      <c r="I49" s="13">
        <f t="shared" si="18"/>
        <v>1065</v>
      </c>
      <c r="J49" s="13">
        <f t="shared" si="18"/>
        <v>0</v>
      </c>
      <c r="K49" s="13">
        <f t="shared" si="18"/>
        <v>0</v>
      </c>
      <c r="L49" s="13">
        <f t="shared" si="18"/>
        <v>1013</v>
      </c>
      <c r="M49" s="13">
        <f t="shared" si="18"/>
        <v>0</v>
      </c>
      <c r="N49" s="13">
        <f t="shared" si="18"/>
        <v>8</v>
      </c>
      <c r="O49" s="13">
        <f t="shared" si="18"/>
        <v>26</v>
      </c>
      <c r="P49" s="13">
        <f t="shared" si="18"/>
        <v>201</v>
      </c>
      <c r="Q49" s="13">
        <f t="shared" si="18"/>
        <v>931</v>
      </c>
      <c r="R49" s="13">
        <f t="shared" si="18"/>
        <v>0</v>
      </c>
      <c r="S49" s="13">
        <f t="shared" si="18"/>
        <v>2353</v>
      </c>
      <c r="T49" s="13">
        <f t="shared" si="18"/>
        <v>0</v>
      </c>
      <c r="U49" s="13">
        <f t="shared" si="18"/>
        <v>0</v>
      </c>
      <c r="V49" s="13">
        <f t="shared" si="18"/>
        <v>0</v>
      </c>
      <c r="W49" s="13">
        <f t="shared" si="18"/>
        <v>0</v>
      </c>
      <c r="X49" s="13">
        <f t="shared" si="18"/>
        <v>111</v>
      </c>
      <c r="Y49" s="13">
        <f t="shared" si="18"/>
        <v>316</v>
      </c>
      <c r="Z49" s="13">
        <f t="shared" si="18"/>
        <v>22</v>
      </c>
      <c r="AA49" s="13">
        <f t="shared" si="18"/>
        <v>3</v>
      </c>
      <c r="AB49" s="13">
        <f t="shared" si="18"/>
        <v>0</v>
      </c>
    </row>
    <row r="50" ht="45" customHeight="1" spans="1:28">
      <c r="A50" s="17"/>
      <c r="B50" s="17"/>
      <c r="C50" s="11">
        <f>C49/B49*100</f>
        <v>90.1129086266795</v>
      </c>
      <c r="D50" s="11">
        <f>D49/B49*100</f>
        <v>3.88012222175715</v>
      </c>
      <c r="E50" s="11" t="s">
        <v>94</v>
      </c>
      <c r="F50" s="11">
        <f>F49/B49*100</f>
        <v>6.00696915156335</v>
      </c>
      <c r="G50" s="60" t="s">
        <v>86</v>
      </c>
      <c r="H50" s="11">
        <f>H49/$B$49*100</f>
        <v>0.583901887740153</v>
      </c>
      <c r="I50" s="11">
        <f>I49/$B$49*100</f>
        <v>0.55721819932192</v>
      </c>
      <c r="J50" s="11">
        <f>J49/$B$49*100</f>
        <v>0</v>
      </c>
      <c r="K50" s="11">
        <f>K49/$B$49*100</f>
        <v>0</v>
      </c>
      <c r="L50" s="11">
        <f>L49/B49*100</f>
        <v>0.530011301326859</v>
      </c>
      <c r="M50" s="11">
        <f>M49/B49*100</f>
        <v>0</v>
      </c>
      <c r="N50" s="11">
        <f>N49/B49*100</f>
        <v>0.00418567661462475</v>
      </c>
      <c r="O50" s="11">
        <f>O49/B49*100</f>
        <v>0.0136034489975305</v>
      </c>
      <c r="P50" s="11">
        <f>P49/$B$49*100</f>
        <v>0.105165124942447</v>
      </c>
      <c r="Q50" s="11">
        <f>Q49/$B$49*100</f>
        <v>0.487108116026956</v>
      </c>
      <c r="R50" s="11">
        <f>R49/$B$49*100</f>
        <v>0</v>
      </c>
      <c r="S50" s="11">
        <f>S49/$B$49*100</f>
        <v>1.23111213427651</v>
      </c>
      <c r="T50" s="11">
        <f>T49/$B$49*100</f>
        <v>0</v>
      </c>
      <c r="U50" s="11">
        <f>U49/$B$49*100</f>
        <v>0</v>
      </c>
      <c r="V50" s="11">
        <f>V49/$B$49*100</f>
        <v>0</v>
      </c>
      <c r="W50" s="11">
        <f>W49/$B$49*100</f>
        <v>0</v>
      </c>
      <c r="X50" s="11">
        <f>X49/$B$49*100</f>
        <v>0.0580762630279185</v>
      </c>
      <c r="Y50" s="11">
        <f>Y49/B49*100</f>
        <v>0.165334226277678</v>
      </c>
      <c r="Z50" s="11">
        <f>Z49/$B$49*100</f>
        <v>0.0115106106902181</v>
      </c>
      <c r="AA50" s="11">
        <f>AA49/$B$49*100</f>
        <v>0.00156962873048428</v>
      </c>
      <c r="AB50" s="11">
        <f>AB49/$B$49*100</f>
        <v>0</v>
      </c>
    </row>
    <row r="51" ht="22" customHeight="1" spans="7:30">
      <c r="G51" s="61" t="s">
        <v>87</v>
      </c>
      <c r="H51" s="62">
        <v>0.5</v>
      </c>
      <c r="I51" s="62">
        <v>0.7</v>
      </c>
      <c r="J51" s="62">
        <v>0.1</v>
      </c>
      <c r="K51" s="62">
        <v>0.1</v>
      </c>
      <c r="L51" s="62">
        <v>0.7</v>
      </c>
      <c r="M51" s="62">
        <v>0.1</v>
      </c>
      <c r="N51" s="62">
        <v>0.1</v>
      </c>
      <c r="O51" s="62">
        <v>0.1</v>
      </c>
      <c r="P51" s="62">
        <v>0.3</v>
      </c>
      <c r="Q51" s="62">
        <v>0.1</v>
      </c>
      <c r="R51" s="62">
        <v>0.1</v>
      </c>
      <c r="S51" s="62">
        <v>1</v>
      </c>
      <c r="T51" s="62">
        <v>0.1</v>
      </c>
      <c r="U51" s="62">
        <v>0.1</v>
      </c>
      <c r="V51" s="62">
        <v>0.1</v>
      </c>
      <c r="W51" s="62">
        <v>0.1</v>
      </c>
      <c r="X51" s="62">
        <v>0.1</v>
      </c>
      <c r="Y51" s="62">
        <v>0.3</v>
      </c>
      <c r="Z51" s="62">
        <v>0.1</v>
      </c>
      <c r="AA51" s="62">
        <v>0.1</v>
      </c>
      <c r="AB51" s="62">
        <v>0.1</v>
      </c>
      <c r="AC51" s="74">
        <f>SUM(H51:AB51)</f>
        <v>5</v>
      </c>
      <c r="AD51" s="75">
        <f>SUM(H50:AB50)</f>
        <v>3.7487966179733</v>
      </c>
    </row>
    <row r="52" ht="21" customHeight="1" spans="7:28">
      <c r="G52" s="18" t="s">
        <v>88</v>
      </c>
      <c r="H52" s="11">
        <f t="shared" ref="H52:AB52" si="19">H51-H50</f>
        <v>-0.0839018877401532</v>
      </c>
      <c r="I52" s="11">
        <f t="shared" si="19"/>
        <v>0.14278180067808</v>
      </c>
      <c r="J52" s="11">
        <f t="shared" si="19"/>
        <v>0.1</v>
      </c>
      <c r="K52" s="11">
        <f t="shared" si="19"/>
        <v>0.1</v>
      </c>
      <c r="L52" s="11">
        <f t="shared" si="19"/>
        <v>0.16998869867314</v>
      </c>
      <c r="M52" s="11">
        <f t="shared" si="19"/>
        <v>0.1</v>
      </c>
      <c r="N52" s="11">
        <f t="shared" si="19"/>
        <v>0.0958143233853753</v>
      </c>
      <c r="O52" s="11">
        <f t="shared" si="19"/>
        <v>0.0863965510024696</v>
      </c>
      <c r="P52" s="11">
        <f t="shared" si="19"/>
        <v>0.194834875057553</v>
      </c>
      <c r="Q52" s="11">
        <f t="shared" si="19"/>
        <v>-0.387108116026956</v>
      </c>
      <c r="R52" s="11">
        <f t="shared" si="19"/>
        <v>0.1</v>
      </c>
      <c r="S52" s="11">
        <f t="shared" si="19"/>
        <v>-0.231112134276506</v>
      </c>
      <c r="T52" s="11">
        <f t="shared" si="19"/>
        <v>0.1</v>
      </c>
      <c r="U52" s="11">
        <f t="shared" si="19"/>
        <v>0.1</v>
      </c>
      <c r="V52" s="11">
        <f t="shared" si="19"/>
        <v>0.1</v>
      </c>
      <c r="W52" s="11">
        <f t="shared" si="19"/>
        <v>0.1</v>
      </c>
      <c r="X52" s="11">
        <f t="shared" si="19"/>
        <v>0.0419237369720815</v>
      </c>
      <c r="Y52" s="11">
        <f t="shared" si="19"/>
        <v>0.134665773722322</v>
      </c>
      <c r="Z52" s="11">
        <f t="shared" si="19"/>
        <v>0.0884893893097819</v>
      </c>
      <c r="AA52" s="11">
        <f t="shared" si="19"/>
        <v>0.0984303712695157</v>
      </c>
      <c r="AB52" s="11">
        <f t="shared" si="19"/>
        <v>0.1</v>
      </c>
    </row>
    <row r="53" spans="8:28"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</row>
  </sheetData>
  <mergeCells count="20">
    <mergeCell ref="X1:Z1"/>
    <mergeCell ref="AA1:AB1"/>
    <mergeCell ref="X2:Z2"/>
    <mergeCell ref="AA2:AB2"/>
    <mergeCell ref="X3:Z3"/>
    <mergeCell ref="AA3:AB3"/>
    <mergeCell ref="B4:W4"/>
    <mergeCell ref="X4:AB4"/>
    <mergeCell ref="H5:AB5"/>
    <mergeCell ref="B9:AB9"/>
    <mergeCell ref="A1:A4"/>
    <mergeCell ref="A5:A7"/>
    <mergeCell ref="B5:B7"/>
    <mergeCell ref="C5:C7"/>
    <mergeCell ref="D5:D7"/>
    <mergeCell ref="E5:E7"/>
    <mergeCell ref="F5:F7"/>
    <mergeCell ref="G5:G7"/>
    <mergeCell ref="B1:W3"/>
    <mergeCell ref="B33:AB36"/>
  </mergeCells>
  <conditionalFormatting sqref="H50:K50">
    <cfRule type="cellIs" dxfId="0" priority="14" operator="lessThan">
      <formula>$J$51</formula>
    </cfRule>
    <cfRule type="cellIs" dxfId="1" priority="15" operator="greaterThan">
      <formula>$J$51</formula>
    </cfRule>
  </conditionalFormatting>
  <conditionalFormatting sqref="L50:O50">
    <cfRule type="cellIs" dxfId="0" priority="12" operator="lessThan">
      <formula>$M$51</formula>
    </cfRule>
    <cfRule type="cellIs" dxfId="1" priority="13" operator="greaterThan">
      <formula>$M$51</formula>
    </cfRule>
  </conditionalFormatting>
  <conditionalFormatting sqref="P50:R50">
    <cfRule type="cellIs" dxfId="0" priority="10" operator="lessThan">
      <formula>$Q$51</formula>
    </cfRule>
    <cfRule type="cellIs" dxfId="1" priority="11" operator="greaterThan">
      <formula>$Q$51</formula>
    </cfRule>
  </conditionalFormatting>
  <conditionalFormatting sqref="S50:X50">
    <cfRule type="cellIs" dxfId="0" priority="8" operator="lessThan">
      <formula>$X$51</formula>
    </cfRule>
    <cfRule type="cellIs" dxfId="1" priority="9" operator="greaterThan">
      <formula>$X$51</formula>
    </cfRule>
  </conditionalFormatting>
  <conditionalFormatting sqref="Y50">
    <cfRule type="cellIs" dxfId="0" priority="6" operator="lessThan">
      <formula>$Y$51</formula>
    </cfRule>
    <cfRule type="cellIs" dxfId="1" priority="7" operator="greaterThan">
      <formula>$Y$51</formula>
    </cfRule>
  </conditionalFormatting>
  <conditionalFormatting sqref="Z50:AB50">
    <cfRule type="cellIs" dxfId="0" priority="4" operator="lessThan">
      <formula>$AA$51</formula>
    </cfRule>
    <cfRule type="cellIs" dxfId="1" priority="5" operator="greaterThan">
      <formula>$AA$51</formula>
    </cfRule>
  </conditionalFormatting>
  <conditionalFormatting sqref="H52">
    <cfRule type="cellIs" dxfId="1" priority="3" operator="lessThan">
      <formula>0</formula>
    </cfRule>
  </conditionalFormatting>
  <conditionalFormatting sqref="H52:AB52">
    <cfRule type="cellIs" dxfId="3" priority="1" operator="greaterThan">
      <formula>0</formula>
    </cfRule>
    <cfRule type="cellIs" dxfId="2" priority="2" operator="lessThan">
      <formula>0</formula>
    </cfRule>
  </conditionalFormatting>
  <pageMargins left="0.251388888888889" right="0.251388888888889" top="0.197222222222222" bottom="0.251388888888889" header="0.298611111111111" footer="0.298611111111111"/>
  <pageSetup paperSize="9" scale="50" orientation="landscape" horizontalDpi="600"/>
  <headerFooter/>
  <ignoredErrors>
    <ignoredError sqref="J31:M31" evalError="1"/>
    <ignoredError sqref="J30:N30" emptyCellReference="1"/>
  </ignoredError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D52"/>
  <sheetViews>
    <sheetView zoomScale="85" zoomScaleNormal="85" zoomScalePageLayoutView="85" workbookViewId="0">
      <pane xSplit="1" ySplit="7" topLeftCell="B23" activePane="bottomRight" state="frozen"/>
      <selection/>
      <selection pane="topRight"/>
      <selection pane="bottomLeft"/>
      <selection pane="bottomRight" activeCell="L51" sqref="L51"/>
    </sheetView>
  </sheetViews>
  <sheetFormatPr defaultColWidth="9.14285714285714" defaultRowHeight="15"/>
  <cols>
    <col min="1" max="1" width="13.7142857142857" customWidth="1"/>
    <col min="2" max="7" width="10.952380952381" customWidth="1"/>
    <col min="8" max="28" width="8.71428571428571" customWidth="1"/>
    <col min="29" max="29" width="9.14285714285714" style="25"/>
    <col min="30" max="30" width="12.8571428571429"/>
  </cols>
  <sheetData>
    <row r="1" ht="20" customHeight="1" spans="1:28">
      <c r="A1" s="1"/>
      <c r="B1" s="76" t="s">
        <v>82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20" t="s">
        <v>83</v>
      </c>
      <c r="Y1" s="20"/>
      <c r="Z1" s="20"/>
      <c r="AA1" s="21" t="s">
        <v>77</v>
      </c>
      <c r="AB1" s="21"/>
    </row>
    <row r="2" ht="15.75" spans="1:28">
      <c r="A2" s="1"/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20" t="s">
        <v>91</v>
      </c>
      <c r="Y2" s="20"/>
      <c r="Z2" s="20"/>
      <c r="AA2" s="167" t="s">
        <v>89</v>
      </c>
      <c r="AB2" s="21"/>
    </row>
    <row r="3" ht="22" customHeight="1" spans="1:28">
      <c r="A3" s="1"/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20" t="s">
        <v>79</v>
      </c>
      <c r="Y3" s="20"/>
      <c r="Z3" s="20"/>
      <c r="AA3" s="22">
        <v>45607</v>
      </c>
      <c r="AB3" s="21"/>
    </row>
    <row r="4" ht="23.25" spans="1:28">
      <c r="A4" s="1"/>
      <c r="B4" s="78" t="s">
        <v>80</v>
      </c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1" t="s">
        <v>8</v>
      </c>
      <c r="Y4" s="1"/>
      <c r="Z4" s="1"/>
      <c r="AA4" s="1"/>
      <c r="AB4" s="1"/>
    </row>
    <row r="5" spans="1:28">
      <c r="A5" s="34" t="s">
        <v>81</v>
      </c>
      <c r="B5" s="34" t="s">
        <v>12</v>
      </c>
      <c r="C5" s="35" t="s">
        <v>13</v>
      </c>
      <c r="D5" s="35" t="s">
        <v>14</v>
      </c>
      <c r="E5" s="36" t="s">
        <v>90</v>
      </c>
      <c r="F5" s="35" t="s">
        <v>16</v>
      </c>
      <c r="G5" s="34" t="s">
        <v>17</v>
      </c>
      <c r="H5" s="34" t="s">
        <v>18</v>
      </c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</row>
    <row r="6" spans="1:28">
      <c r="A6" s="34"/>
      <c r="B6" s="34"/>
      <c r="C6" s="35"/>
      <c r="D6" s="35"/>
      <c r="E6" s="37"/>
      <c r="F6" s="35"/>
      <c r="G6" s="34"/>
      <c r="H6" s="34">
        <v>1</v>
      </c>
      <c r="I6" s="34">
        <v>2</v>
      </c>
      <c r="J6" s="34">
        <v>3</v>
      </c>
      <c r="K6" s="34">
        <v>4</v>
      </c>
      <c r="L6" s="34">
        <v>5</v>
      </c>
      <c r="M6" s="34">
        <v>6</v>
      </c>
      <c r="N6" s="34">
        <v>7</v>
      </c>
      <c r="O6" s="34">
        <v>8</v>
      </c>
      <c r="P6" s="34">
        <v>9</v>
      </c>
      <c r="Q6" s="34">
        <v>10</v>
      </c>
      <c r="R6" s="34">
        <v>11</v>
      </c>
      <c r="S6" s="34">
        <v>12</v>
      </c>
      <c r="T6" s="34">
        <v>13</v>
      </c>
      <c r="U6" s="34">
        <v>14</v>
      </c>
      <c r="V6" s="34">
        <v>15</v>
      </c>
      <c r="W6" s="34">
        <v>16</v>
      </c>
      <c r="X6" s="34">
        <v>17</v>
      </c>
      <c r="Y6" s="34">
        <v>18</v>
      </c>
      <c r="Z6" s="34">
        <v>19</v>
      </c>
      <c r="AA6" s="34">
        <v>20</v>
      </c>
      <c r="AB6" s="34">
        <v>21</v>
      </c>
    </row>
    <row r="7" spans="1:28">
      <c r="A7" s="34"/>
      <c r="B7" s="34"/>
      <c r="C7" s="35"/>
      <c r="D7" s="35"/>
      <c r="E7" s="38"/>
      <c r="F7" s="35"/>
      <c r="G7" s="34"/>
      <c r="H7" s="34" t="s">
        <v>19</v>
      </c>
      <c r="I7" s="34" t="s">
        <v>20</v>
      </c>
      <c r="J7" s="34" t="s">
        <v>21</v>
      </c>
      <c r="K7" s="34" t="s">
        <v>22</v>
      </c>
      <c r="L7" s="34" t="s">
        <v>23</v>
      </c>
      <c r="M7" s="34" t="s">
        <v>24</v>
      </c>
      <c r="N7" s="34" t="s">
        <v>25</v>
      </c>
      <c r="O7" s="34" t="s">
        <v>26</v>
      </c>
      <c r="P7" s="34" t="s">
        <v>27</v>
      </c>
      <c r="Q7" s="34" t="s">
        <v>28</v>
      </c>
      <c r="R7" s="34" t="s">
        <v>29</v>
      </c>
      <c r="S7" s="34" t="s">
        <v>30</v>
      </c>
      <c r="T7" s="34" t="s">
        <v>31</v>
      </c>
      <c r="U7" s="34" t="s">
        <v>32</v>
      </c>
      <c r="V7" s="34" t="s">
        <v>33</v>
      </c>
      <c r="W7" s="34" t="s">
        <v>34</v>
      </c>
      <c r="X7" s="34" t="s">
        <v>35</v>
      </c>
      <c r="Y7" s="34" t="s">
        <v>36</v>
      </c>
      <c r="Z7" s="34" t="s">
        <v>37</v>
      </c>
      <c r="AA7" s="34" t="s">
        <v>38</v>
      </c>
      <c r="AB7" s="34" t="s">
        <v>39</v>
      </c>
    </row>
    <row r="8" ht="20" customHeight="1" spans="1:28">
      <c r="A8" s="39">
        <v>45962</v>
      </c>
      <c r="B8" s="10">
        <v>4262</v>
      </c>
      <c r="C8" s="10">
        <v>3990</v>
      </c>
      <c r="D8" s="10">
        <v>162</v>
      </c>
      <c r="E8" s="11">
        <f>D8/B8*100</f>
        <v>3.80103237916471</v>
      </c>
      <c r="F8" s="40">
        <f>B8-(C8+D8)</f>
        <v>110</v>
      </c>
      <c r="G8" s="11">
        <f>F8/B8*100</f>
        <v>2.58094791177851</v>
      </c>
      <c r="H8" s="10">
        <v>20</v>
      </c>
      <c r="I8" s="10">
        <v>23</v>
      </c>
      <c r="J8" s="10"/>
      <c r="K8" s="10"/>
      <c r="L8" s="10"/>
      <c r="M8" s="10"/>
      <c r="N8" s="10"/>
      <c r="O8" s="10"/>
      <c r="P8" s="10"/>
      <c r="Q8" s="10"/>
      <c r="R8" s="10"/>
      <c r="S8" s="10">
        <v>60</v>
      </c>
      <c r="T8" s="10"/>
      <c r="U8" s="10"/>
      <c r="V8" s="10"/>
      <c r="W8" s="10"/>
      <c r="X8" s="10"/>
      <c r="Y8" s="10">
        <v>1</v>
      </c>
      <c r="Z8" s="10">
        <v>6</v>
      </c>
      <c r="AA8" s="10"/>
      <c r="AB8" s="10"/>
    </row>
    <row r="9" ht="20" customHeight="1" spans="1:28">
      <c r="A9" s="42" t="s">
        <v>40</v>
      </c>
      <c r="B9" s="43">
        <f t="shared" ref="B9:AB9" si="0">SUM(B8:B8)</f>
        <v>4262</v>
      </c>
      <c r="C9" s="43">
        <f t="shared" si="0"/>
        <v>3990</v>
      </c>
      <c r="D9" s="43">
        <f t="shared" si="0"/>
        <v>162</v>
      </c>
      <c r="E9" s="44">
        <f t="shared" si="0"/>
        <v>3.80103237916471</v>
      </c>
      <c r="F9" s="43">
        <f t="shared" si="0"/>
        <v>110</v>
      </c>
      <c r="G9" s="43">
        <f t="shared" si="0"/>
        <v>2.58094791177851</v>
      </c>
      <c r="H9" s="43">
        <f t="shared" si="0"/>
        <v>20</v>
      </c>
      <c r="I9" s="43">
        <f t="shared" si="0"/>
        <v>23</v>
      </c>
      <c r="J9" s="43">
        <f t="shared" si="0"/>
        <v>0</v>
      </c>
      <c r="K9" s="43">
        <f t="shared" si="0"/>
        <v>0</v>
      </c>
      <c r="L9" s="43">
        <f t="shared" si="0"/>
        <v>0</v>
      </c>
      <c r="M9" s="43">
        <f t="shared" si="0"/>
        <v>0</v>
      </c>
      <c r="N9" s="43">
        <f t="shared" si="0"/>
        <v>0</v>
      </c>
      <c r="O9" s="43">
        <f t="shared" si="0"/>
        <v>0</v>
      </c>
      <c r="P9" s="43">
        <f t="shared" si="0"/>
        <v>0</v>
      </c>
      <c r="Q9" s="43">
        <f t="shared" si="0"/>
        <v>0</v>
      </c>
      <c r="R9" s="43">
        <f t="shared" si="0"/>
        <v>0</v>
      </c>
      <c r="S9" s="43">
        <f t="shared" si="0"/>
        <v>60</v>
      </c>
      <c r="T9" s="43">
        <f t="shared" si="0"/>
        <v>0</v>
      </c>
      <c r="U9" s="43">
        <f t="shared" si="0"/>
        <v>0</v>
      </c>
      <c r="V9" s="43">
        <f t="shared" si="0"/>
        <v>0</v>
      </c>
      <c r="W9" s="43">
        <f t="shared" si="0"/>
        <v>0</v>
      </c>
      <c r="X9" s="43">
        <f t="shared" si="0"/>
        <v>0</v>
      </c>
      <c r="Y9" s="43">
        <f t="shared" si="0"/>
        <v>1</v>
      </c>
      <c r="Z9" s="43">
        <f t="shared" si="0"/>
        <v>6</v>
      </c>
      <c r="AA9" s="43">
        <f t="shared" si="0"/>
        <v>0</v>
      </c>
      <c r="AB9" s="43">
        <f t="shared" si="0"/>
        <v>0</v>
      </c>
    </row>
    <row r="10" ht="20" customHeight="1" spans="1:29">
      <c r="A10" s="45" t="s">
        <v>84</v>
      </c>
      <c r="B10" s="46"/>
      <c r="C10" s="47">
        <f>C9/$B$9*100</f>
        <v>93.6180197090568</v>
      </c>
      <c r="D10" s="47">
        <f>D9/$B$9*100</f>
        <v>3.80103237916471</v>
      </c>
      <c r="E10" s="47">
        <f>E9/$B$9*100</f>
        <v>0.0891842416509787</v>
      </c>
      <c r="F10" s="47">
        <f>F9/$B$9*100</f>
        <v>2.58094791177851</v>
      </c>
      <c r="G10" s="47">
        <f>G9/$B$9*100</f>
        <v>0.0605572011210349</v>
      </c>
      <c r="H10" s="47">
        <f>H9/$B$9*100</f>
        <v>0.469263256687001</v>
      </c>
      <c r="I10" s="47">
        <f>I9/$B$9*100</f>
        <v>0.539652745190052</v>
      </c>
      <c r="J10" s="47">
        <f>J9/$B$9*100</f>
        <v>0</v>
      </c>
      <c r="K10" s="47">
        <f>K9/$B$9*100</f>
        <v>0</v>
      </c>
      <c r="L10" s="47">
        <f>L9/$B$9*100</f>
        <v>0</v>
      </c>
      <c r="M10" s="47">
        <f>M9/$B$9*100</f>
        <v>0</v>
      </c>
      <c r="N10" s="47">
        <f>N9/$B$9*100</f>
        <v>0</v>
      </c>
      <c r="O10" s="47">
        <f>O9/$B$9*100</f>
        <v>0</v>
      </c>
      <c r="P10" s="47">
        <f>P9/$B$9*100</f>
        <v>0</v>
      </c>
      <c r="Q10" s="47">
        <f>Q9/$B$9*100</f>
        <v>0</v>
      </c>
      <c r="R10" s="47">
        <f>R9/$B$9*100</f>
        <v>0</v>
      </c>
      <c r="S10" s="47">
        <f>S9/$B$9*100</f>
        <v>1.407789770061</v>
      </c>
      <c r="T10" s="47">
        <f>T9/$B$9*100</f>
        <v>0</v>
      </c>
      <c r="U10" s="47">
        <f>U9/$B$9*100</f>
        <v>0</v>
      </c>
      <c r="V10" s="47">
        <f>V9/$B$9*100</f>
        <v>0</v>
      </c>
      <c r="W10" s="47">
        <f>W9/$B$9*100</f>
        <v>0</v>
      </c>
      <c r="X10" s="47">
        <f>X9/$B$9*100</f>
        <v>0</v>
      </c>
      <c r="Y10" s="47">
        <f>Y9/$B$9*100</f>
        <v>0.0234631628343501</v>
      </c>
      <c r="Z10" s="47">
        <f>Z9/$B$9*100</f>
        <v>0.1407789770061</v>
      </c>
      <c r="AA10" s="47">
        <f>AA9/$B$9*100</f>
        <v>0</v>
      </c>
      <c r="AB10" s="47">
        <f>AB9/$B$9*100</f>
        <v>0</v>
      </c>
      <c r="AC10" s="69">
        <f>SUM(H10:AB10)</f>
        <v>2.5809479117785</v>
      </c>
    </row>
    <row r="11" ht="20" customHeight="1" spans="1:28">
      <c r="A11" s="48">
        <v>45963</v>
      </c>
      <c r="B11" s="49"/>
      <c r="C11" s="49"/>
      <c r="D11" s="49"/>
      <c r="E11" s="50" t="e">
        <f t="shared" ref="E11:E18" si="1">D11/B11*100</f>
        <v>#DIV/0!</v>
      </c>
      <c r="F11" s="49">
        <f t="shared" ref="F11:F17" si="2">B11-(C11+D11)</f>
        <v>0</v>
      </c>
      <c r="G11" s="50" t="e">
        <f t="shared" ref="G11:G17" si="3">F11/B11*100</f>
        <v>#DIV/0!</v>
      </c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</row>
    <row r="12" ht="20" customHeight="1" spans="1:28">
      <c r="A12" s="51">
        <v>45964</v>
      </c>
      <c r="B12" s="10">
        <v>7058</v>
      </c>
      <c r="C12" s="10">
        <v>6771</v>
      </c>
      <c r="D12" s="10">
        <v>74</v>
      </c>
      <c r="E12" s="11">
        <f t="shared" si="1"/>
        <v>1.04845565315954</v>
      </c>
      <c r="F12" s="10">
        <f t="shared" si="2"/>
        <v>213</v>
      </c>
      <c r="G12" s="11">
        <f t="shared" si="3"/>
        <v>3.01785208274299</v>
      </c>
      <c r="H12" s="10">
        <v>22</v>
      </c>
      <c r="I12" s="10">
        <v>37</v>
      </c>
      <c r="J12" s="10"/>
      <c r="K12" s="10"/>
      <c r="L12" s="10">
        <v>41</v>
      </c>
      <c r="M12" s="10"/>
      <c r="N12" s="10"/>
      <c r="O12" s="10"/>
      <c r="P12" s="10"/>
      <c r="Q12" s="10">
        <v>41</v>
      </c>
      <c r="R12" s="10"/>
      <c r="S12" s="10">
        <v>65</v>
      </c>
      <c r="T12" s="10"/>
      <c r="U12" s="10"/>
      <c r="V12" s="10"/>
      <c r="W12" s="10"/>
      <c r="X12" s="10"/>
      <c r="Y12" s="10">
        <v>7</v>
      </c>
      <c r="Z12" s="10"/>
      <c r="AA12" s="10"/>
      <c r="AB12" s="10"/>
    </row>
    <row r="13" ht="20" customHeight="1" spans="1:28">
      <c r="A13" s="51">
        <v>45965</v>
      </c>
      <c r="B13" s="10">
        <v>11014</v>
      </c>
      <c r="C13" s="10">
        <v>10786</v>
      </c>
      <c r="D13" s="10">
        <v>95</v>
      </c>
      <c r="E13" s="11">
        <f t="shared" si="1"/>
        <v>0.862538587252588</v>
      </c>
      <c r="F13" s="10">
        <f t="shared" si="2"/>
        <v>133</v>
      </c>
      <c r="G13" s="11">
        <f t="shared" si="3"/>
        <v>1.20755402215362</v>
      </c>
      <c r="H13" s="10">
        <v>5</v>
      </c>
      <c r="I13" s="10">
        <v>15</v>
      </c>
      <c r="J13" s="10"/>
      <c r="K13" s="10"/>
      <c r="L13" s="10">
        <v>28</v>
      </c>
      <c r="M13" s="10"/>
      <c r="N13" s="10"/>
      <c r="O13" s="10"/>
      <c r="P13" s="10"/>
      <c r="Q13" s="10">
        <v>25</v>
      </c>
      <c r="R13" s="10"/>
      <c r="S13" s="10">
        <v>60</v>
      </c>
      <c r="T13" s="10"/>
      <c r="U13" s="10"/>
      <c r="V13" s="10"/>
      <c r="W13" s="10"/>
      <c r="X13" s="10"/>
      <c r="Y13" s="10"/>
      <c r="Z13" s="10"/>
      <c r="AA13" s="10"/>
      <c r="AB13" s="10"/>
    </row>
    <row r="14" s="23" customFormat="1" ht="20" customHeight="1" spans="1:29">
      <c r="A14" s="51">
        <v>45966</v>
      </c>
      <c r="B14" s="40">
        <v>12059</v>
      </c>
      <c r="C14" s="40">
        <v>11641</v>
      </c>
      <c r="D14" s="40">
        <v>139</v>
      </c>
      <c r="E14" s="11">
        <f t="shared" si="1"/>
        <v>1.15266605854548</v>
      </c>
      <c r="F14" s="40">
        <f t="shared" si="2"/>
        <v>279</v>
      </c>
      <c r="G14" s="52">
        <f t="shared" si="3"/>
        <v>2.31362467866324</v>
      </c>
      <c r="H14" s="40">
        <v>22</v>
      </c>
      <c r="I14" s="40">
        <v>25</v>
      </c>
      <c r="J14" s="40"/>
      <c r="K14" s="40">
        <v>65</v>
      </c>
      <c r="L14" s="40"/>
      <c r="M14" s="40"/>
      <c r="N14" s="40"/>
      <c r="O14" s="40"/>
      <c r="P14" s="40"/>
      <c r="Q14" s="40">
        <v>47</v>
      </c>
      <c r="R14" s="40"/>
      <c r="S14" s="40">
        <v>113</v>
      </c>
      <c r="T14" s="40"/>
      <c r="U14" s="40"/>
      <c r="V14" s="40"/>
      <c r="W14" s="40"/>
      <c r="X14" s="40"/>
      <c r="Y14" s="40">
        <v>7</v>
      </c>
      <c r="Z14" s="40"/>
      <c r="AA14" s="40"/>
      <c r="AB14" s="40"/>
      <c r="AC14" s="70"/>
    </row>
    <row r="15" ht="20" customHeight="1" spans="1:28">
      <c r="A15" s="51">
        <v>45967</v>
      </c>
      <c r="B15" s="10">
        <v>9759</v>
      </c>
      <c r="C15" s="10">
        <v>8787</v>
      </c>
      <c r="D15" s="10">
        <v>142</v>
      </c>
      <c r="E15" s="11">
        <f t="shared" si="1"/>
        <v>1.45506711753253</v>
      </c>
      <c r="F15" s="40">
        <f t="shared" si="2"/>
        <v>830</v>
      </c>
      <c r="G15" s="11">
        <f t="shared" si="3"/>
        <v>8.50496977149298</v>
      </c>
      <c r="H15" s="10">
        <v>8</v>
      </c>
      <c r="I15" s="10"/>
      <c r="J15" s="10"/>
      <c r="K15" s="10"/>
      <c r="L15" s="10">
        <v>617</v>
      </c>
      <c r="M15" s="10"/>
      <c r="N15" s="10"/>
      <c r="O15" s="10"/>
      <c r="P15" s="10"/>
      <c r="Q15" s="10">
        <v>4</v>
      </c>
      <c r="R15" s="10"/>
      <c r="S15" s="10">
        <v>193</v>
      </c>
      <c r="T15" s="10"/>
      <c r="U15" s="10"/>
      <c r="V15" s="10"/>
      <c r="W15" s="10"/>
      <c r="X15" s="10"/>
      <c r="Y15" s="10">
        <v>4</v>
      </c>
      <c r="Z15" s="10">
        <v>4</v>
      </c>
      <c r="AA15" s="10"/>
      <c r="AB15" s="10"/>
    </row>
    <row r="16" ht="20" customHeight="1" spans="1:28">
      <c r="A16" s="51">
        <v>45968</v>
      </c>
      <c r="B16" s="10">
        <v>11511</v>
      </c>
      <c r="C16" s="10">
        <v>10932</v>
      </c>
      <c r="D16" s="10">
        <v>113</v>
      </c>
      <c r="E16" s="11">
        <f t="shared" si="1"/>
        <v>0.981669707236556</v>
      </c>
      <c r="F16" s="40">
        <f t="shared" si="2"/>
        <v>466</v>
      </c>
      <c r="G16" s="11">
        <f t="shared" si="3"/>
        <v>4.04830162453305</v>
      </c>
      <c r="H16" s="10">
        <v>26</v>
      </c>
      <c r="I16" s="10">
        <v>53</v>
      </c>
      <c r="J16" s="10"/>
      <c r="K16" s="10"/>
      <c r="L16" s="10">
        <v>236</v>
      </c>
      <c r="M16" s="10"/>
      <c r="N16" s="10"/>
      <c r="O16" s="10"/>
      <c r="P16" s="10"/>
      <c r="Q16" s="10">
        <v>52</v>
      </c>
      <c r="R16" s="10"/>
      <c r="S16" s="10">
        <v>84</v>
      </c>
      <c r="T16" s="10"/>
      <c r="U16" s="10"/>
      <c r="V16" s="10"/>
      <c r="W16" s="10"/>
      <c r="X16" s="10">
        <v>13</v>
      </c>
      <c r="Y16" s="10">
        <v>1</v>
      </c>
      <c r="Z16" s="10">
        <v>1</v>
      </c>
      <c r="AA16" s="10"/>
      <c r="AB16" s="10"/>
    </row>
    <row r="17" ht="20" customHeight="1" spans="1:28">
      <c r="A17" s="51">
        <v>45969</v>
      </c>
      <c r="B17" s="10">
        <v>6499</v>
      </c>
      <c r="C17" s="10">
        <v>6154</v>
      </c>
      <c r="D17" s="10">
        <v>83</v>
      </c>
      <c r="E17" s="11">
        <f t="shared" si="1"/>
        <v>1.2771195568549</v>
      </c>
      <c r="F17" s="40">
        <f t="shared" si="2"/>
        <v>262</v>
      </c>
      <c r="G17" s="11">
        <f t="shared" si="3"/>
        <v>4.03138944452993</v>
      </c>
      <c r="H17" s="10">
        <v>54</v>
      </c>
      <c r="I17" s="10">
        <v>17</v>
      </c>
      <c r="J17" s="10"/>
      <c r="K17" s="10"/>
      <c r="L17" s="10">
        <v>1</v>
      </c>
      <c r="M17" s="10"/>
      <c r="N17" s="10"/>
      <c r="O17" s="10"/>
      <c r="P17" s="10"/>
      <c r="Q17" s="10">
        <v>84</v>
      </c>
      <c r="R17" s="10"/>
      <c r="S17" s="10">
        <v>106</v>
      </c>
      <c r="T17" s="10"/>
      <c r="U17" s="10"/>
      <c r="V17" s="10"/>
      <c r="W17" s="10"/>
      <c r="X17" s="10"/>
      <c r="Y17" s="10"/>
      <c r="Z17" s="10"/>
      <c r="AA17" s="10"/>
      <c r="AB17" s="10"/>
    </row>
    <row r="18" ht="20" customHeight="1" spans="1:28">
      <c r="A18" s="42" t="s">
        <v>40</v>
      </c>
      <c r="B18" s="43">
        <f t="shared" ref="B18:AB18" si="4">SUM(B11:B17)</f>
        <v>57900</v>
      </c>
      <c r="C18" s="43">
        <f t="shared" si="4"/>
        <v>55071</v>
      </c>
      <c r="D18" s="43">
        <f t="shared" si="4"/>
        <v>646</v>
      </c>
      <c r="E18" s="44">
        <f t="shared" si="1"/>
        <v>1.11571675302245</v>
      </c>
      <c r="F18" s="43">
        <f t="shared" si="4"/>
        <v>2183</v>
      </c>
      <c r="G18" s="43" t="e">
        <f t="shared" si="4"/>
        <v>#DIV/0!</v>
      </c>
      <c r="H18" s="43">
        <f t="shared" si="4"/>
        <v>137</v>
      </c>
      <c r="I18" s="43">
        <f t="shared" si="4"/>
        <v>147</v>
      </c>
      <c r="J18" s="43">
        <f t="shared" si="4"/>
        <v>0</v>
      </c>
      <c r="K18" s="43">
        <f t="shared" si="4"/>
        <v>65</v>
      </c>
      <c r="L18" s="43">
        <f t="shared" si="4"/>
        <v>923</v>
      </c>
      <c r="M18" s="43">
        <f t="shared" si="4"/>
        <v>0</v>
      </c>
      <c r="N18" s="43">
        <f t="shared" si="4"/>
        <v>0</v>
      </c>
      <c r="O18" s="43">
        <f t="shared" si="4"/>
        <v>0</v>
      </c>
      <c r="P18" s="43">
        <f t="shared" si="4"/>
        <v>0</v>
      </c>
      <c r="Q18" s="43">
        <f t="shared" si="4"/>
        <v>253</v>
      </c>
      <c r="R18" s="43">
        <f t="shared" si="4"/>
        <v>0</v>
      </c>
      <c r="S18" s="43">
        <f t="shared" si="4"/>
        <v>621</v>
      </c>
      <c r="T18" s="43">
        <f t="shared" si="4"/>
        <v>0</v>
      </c>
      <c r="U18" s="43">
        <f t="shared" si="4"/>
        <v>0</v>
      </c>
      <c r="V18" s="43">
        <f t="shared" si="4"/>
        <v>0</v>
      </c>
      <c r="W18" s="43">
        <f t="shared" si="4"/>
        <v>0</v>
      </c>
      <c r="X18" s="43">
        <f t="shared" si="4"/>
        <v>13</v>
      </c>
      <c r="Y18" s="43">
        <f t="shared" si="4"/>
        <v>19</v>
      </c>
      <c r="Z18" s="43">
        <f t="shared" si="4"/>
        <v>5</v>
      </c>
      <c r="AA18" s="43">
        <f t="shared" si="4"/>
        <v>0</v>
      </c>
      <c r="AB18" s="43">
        <f t="shared" si="4"/>
        <v>0</v>
      </c>
    </row>
    <row r="19" ht="20" customHeight="1" spans="1:29">
      <c r="A19" s="45" t="s">
        <v>84</v>
      </c>
      <c r="B19" s="46"/>
      <c r="C19" s="47">
        <f>C18/$B$18*100</f>
        <v>95.1139896373057</v>
      </c>
      <c r="D19" s="47">
        <f>D18/$B$18*100</f>
        <v>1.11571675302245</v>
      </c>
      <c r="E19" s="47">
        <f>E18/$B$18*100</f>
        <v>0.00192697193958973</v>
      </c>
      <c r="F19" s="47">
        <f>F18/$B$18*100</f>
        <v>3.77029360967185</v>
      </c>
      <c r="G19" s="47" t="e">
        <f>G18/$B$18*100</f>
        <v>#DIV/0!</v>
      </c>
      <c r="H19" s="47">
        <f>H18/$B$18*100</f>
        <v>0.236614853195164</v>
      </c>
      <c r="I19" s="47">
        <f>I18/$B$18*100</f>
        <v>0.253886010362694</v>
      </c>
      <c r="J19" s="47">
        <f>J18/$B$18*100</f>
        <v>0</v>
      </c>
      <c r="K19" s="47">
        <f>K18/$B$18*100</f>
        <v>0.112262521588946</v>
      </c>
      <c r="L19" s="47">
        <f>L18/$B$18*100</f>
        <v>1.59412780656304</v>
      </c>
      <c r="M19" s="47">
        <f>M18/$B$18*100</f>
        <v>0</v>
      </c>
      <c r="N19" s="47">
        <f>N18/$B$18*100</f>
        <v>0</v>
      </c>
      <c r="O19" s="47">
        <f>O18/$B$18*100</f>
        <v>0</v>
      </c>
      <c r="P19" s="47">
        <f>P18/$B$18*100</f>
        <v>0</v>
      </c>
      <c r="Q19" s="47">
        <f>Q18/$B$18*100</f>
        <v>0.436960276338515</v>
      </c>
      <c r="R19" s="47">
        <f>R18/$B$18*100</f>
        <v>0</v>
      </c>
      <c r="S19" s="47">
        <f>S18/$B$18*100</f>
        <v>1.07253886010363</v>
      </c>
      <c r="T19" s="47">
        <f>T18/$B$18*100</f>
        <v>0</v>
      </c>
      <c r="U19" s="47">
        <f>U18/$B$18*100</f>
        <v>0</v>
      </c>
      <c r="V19" s="47">
        <f>V18/$B$18*100</f>
        <v>0</v>
      </c>
      <c r="W19" s="47">
        <f>W18/$B$18*100</f>
        <v>0</v>
      </c>
      <c r="X19" s="47">
        <f>X18/$B$18*100</f>
        <v>0.0224525043177893</v>
      </c>
      <c r="Y19" s="47">
        <f>Y18/$B$18*100</f>
        <v>0.0328151986183074</v>
      </c>
      <c r="Z19" s="47">
        <f>Z18/$B$18*100</f>
        <v>0.00863557858376511</v>
      </c>
      <c r="AA19" s="47">
        <f>AA18/$B$18*100</f>
        <v>0</v>
      </c>
      <c r="AB19" s="47">
        <f>AB18/$B$18*100</f>
        <v>0</v>
      </c>
      <c r="AC19" s="69">
        <f>SUM(H19:AB19)</f>
        <v>3.77029360967185</v>
      </c>
    </row>
    <row r="20" ht="20" customHeight="1" spans="1:28">
      <c r="A20" s="48">
        <v>45970</v>
      </c>
      <c r="B20" s="49"/>
      <c r="C20" s="49"/>
      <c r="D20" s="49"/>
      <c r="E20" s="50">
        <v>0</v>
      </c>
      <c r="F20" s="49">
        <f t="shared" ref="F20:F26" si="5">B20-(C20+D20)</f>
        <v>0</v>
      </c>
      <c r="G20" s="50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</row>
    <row r="21" ht="20" customHeight="1" spans="1:28">
      <c r="A21" s="51">
        <v>45971</v>
      </c>
      <c r="B21" s="10">
        <v>6696</v>
      </c>
      <c r="C21" s="10">
        <v>6041</v>
      </c>
      <c r="D21" s="10">
        <v>90</v>
      </c>
      <c r="E21" s="11">
        <f t="shared" ref="E21:E27" si="6">D21/B21*100</f>
        <v>1.34408602150538</v>
      </c>
      <c r="F21" s="10">
        <f t="shared" si="5"/>
        <v>565</v>
      </c>
      <c r="G21" s="11">
        <f t="shared" ref="G21:G26" si="7">F21/B21*100</f>
        <v>8.4378733572282</v>
      </c>
      <c r="H21" s="10">
        <v>9</v>
      </c>
      <c r="I21" s="10">
        <v>22</v>
      </c>
      <c r="J21" s="10"/>
      <c r="K21" s="10"/>
      <c r="L21" s="10"/>
      <c r="M21" s="10"/>
      <c r="N21" s="10"/>
      <c r="O21" s="10"/>
      <c r="P21" s="10"/>
      <c r="Q21" s="10">
        <v>340</v>
      </c>
      <c r="R21" s="10"/>
      <c r="S21" s="10">
        <v>121</v>
      </c>
      <c r="T21" s="10"/>
      <c r="U21" s="10"/>
      <c r="V21" s="10"/>
      <c r="W21" s="10"/>
      <c r="X21" s="10"/>
      <c r="Y21" s="10">
        <v>70</v>
      </c>
      <c r="Z21" s="10">
        <v>3</v>
      </c>
      <c r="AA21" s="10"/>
      <c r="AB21" s="10"/>
    </row>
    <row r="22" ht="20" customHeight="1" spans="1:28">
      <c r="A22" s="51">
        <v>45972</v>
      </c>
      <c r="B22" s="10">
        <v>5871</v>
      </c>
      <c r="C22" s="10">
        <v>5513</v>
      </c>
      <c r="D22" s="10">
        <v>49</v>
      </c>
      <c r="E22" s="11">
        <f t="shared" si="6"/>
        <v>0.834610798841765</v>
      </c>
      <c r="F22" s="10">
        <f t="shared" si="5"/>
        <v>309</v>
      </c>
      <c r="G22" s="11">
        <f t="shared" si="7"/>
        <v>5.26315789473684</v>
      </c>
      <c r="H22" s="10">
        <v>15</v>
      </c>
      <c r="I22" s="10">
        <v>9</v>
      </c>
      <c r="J22" s="10"/>
      <c r="K22" s="10"/>
      <c r="L22" s="10"/>
      <c r="M22" s="10"/>
      <c r="N22" s="10"/>
      <c r="O22" s="10"/>
      <c r="P22" s="10"/>
      <c r="Q22" s="10">
        <v>188</v>
      </c>
      <c r="R22" s="10"/>
      <c r="S22" s="10">
        <v>86</v>
      </c>
      <c r="T22" s="10"/>
      <c r="U22" s="10"/>
      <c r="V22" s="10"/>
      <c r="W22" s="10"/>
      <c r="X22" s="10"/>
      <c r="Y22" s="10">
        <v>11</v>
      </c>
      <c r="Z22" s="10"/>
      <c r="AA22" s="10"/>
      <c r="AB22" s="10"/>
    </row>
    <row r="23" customFormat="1" ht="20" customHeight="1" spans="1:29">
      <c r="A23" s="51">
        <v>45973</v>
      </c>
      <c r="B23" s="10">
        <v>11542</v>
      </c>
      <c r="C23" s="10">
        <v>11155</v>
      </c>
      <c r="D23" s="10">
        <v>76</v>
      </c>
      <c r="E23" s="11">
        <f t="shared" si="6"/>
        <v>0.658464737480506</v>
      </c>
      <c r="F23" s="10">
        <f t="shared" si="5"/>
        <v>311</v>
      </c>
      <c r="G23" s="11">
        <f t="shared" si="7"/>
        <v>2.69450701784786</v>
      </c>
      <c r="H23" s="10">
        <v>30</v>
      </c>
      <c r="I23" s="10">
        <v>20</v>
      </c>
      <c r="J23" s="10"/>
      <c r="K23" s="10"/>
      <c r="L23" s="10">
        <v>147</v>
      </c>
      <c r="M23" s="10"/>
      <c r="N23" s="10"/>
      <c r="O23" s="10"/>
      <c r="P23" s="10"/>
      <c r="Q23" s="10">
        <v>21</v>
      </c>
      <c r="R23" s="10"/>
      <c r="S23" s="10">
        <v>93</v>
      </c>
      <c r="T23" s="10"/>
      <c r="U23" s="10"/>
      <c r="V23" s="10"/>
      <c r="W23" s="10"/>
      <c r="X23" s="10"/>
      <c r="Y23" s="10"/>
      <c r="Z23" s="10"/>
      <c r="AA23" s="10"/>
      <c r="AB23" s="10"/>
      <c r="AC23" s="25"/>
    </row>
    <row r="24" customFormat="1" ht="20" customHeight="1" spans="1:29">
      <c r="A24" s="51">
        <v>45974</v>
      </c>
      <c r="B24" s="10">
        <v>7620</v>
      </c>
      <c r="C24" s="10">
        <v>7354</v>
      </c>
      <c r="D24" s="10">
        <v>60</v>
      </c>
      <c r="E24" s="11">
        <f t="shared" si="6"/>
        <v>0.78740157480315</v>
      </c>
      <c r="F24" s="10">
        <f t="shared" si="5"/>
        <v>206</v>
      </c>
      <c r="G24" s="11">
        <f t="shared" si="7"/>
        <v>2.70341207349081</v>
      </c>
      <c r="H24" s="10">
        <v>27</v>
      </c>
      <c r="I24" s="10">
        <v>13</v>
      </c>
      <c r="J24" s="10"/>
      <c r="K24" s="10"/>
      <c r="L24" s="10">
        <v>19</v>
      </c>
      <c r="M24" s="10"/>
      <c r="N24" s="10"/>
      <c r="O24" s="10"/>
      <c r="P24" s="10"/>
      <c r="Q24" s="10">
        <v>22</v>
      </c>
      <c r="R24" s="10"/>
      <c r="S24" s="10">
        <v>125</v>
      </c>
      <c r="T24" s="10"/>
      <c r="U24" s="10"/>
      <c r="V24" s="10"/>
      <c r="W24" s="10"/>
      <c r="X24" s="10"/>
      <c r="Y24" s="10"/>
      <c r="Z24" s="10"/>
      <c r="AA24" s="10"/>
      <c r="AB24" s="10"/>
      <c r="AC24" s="25"/>
    </row>
    <row r="25" s="23" customFormat="1" ht="20" customHeight="1" spans="1:29">
      <c r="A25" s="51">
        <v>45975</v>
      </c>
      <c r="B25" s="40">
        <v>9028</v>
      </c>
      <c r="C25" s="40">
        <v>8482</v>
      </c>
      <c r="D25" s="40">
        <v>87</v>
      </c>
      <c r="E25" s="11">
        <f t="shared" si="6"/>
        <v>0.963668586619406</v>
      </c>
      <c r="F25" s="10">
        <f t="shared" si="5"/>
        <v>459</v>
      </c>
      <c r="G25" s="11">
        <f t="shared" si="7"/>
        <v>5.08418254319894</v>
      </c>
      <c r="H25" s="40">
        <v>99</v>
      </c>
      <c r="I25" s="40">
        <v>80</v>
      </c>
      <c r="J25" s="40"/>
      <c r="K25" s="40"/>
      <c r="L25" s="40"/>
      <c r="M25" s="40"/>
      <c r="N25" s="40"/>
      <c r="O25" s="40"/>
      <c r="P25" s="40"/>
      <c r="Q25" s="40">
        <v>163</v>
      </c>
      <c r="R25" s="40"/>
      <c r="S25" s="40">
        <v>117</v>
      </c>
      <c r="T25" s="40"/>
      <c r="U25" s="40"/>
      <c r="V25" s="40"/>
      <c r="W25" s="40"/>
      <c r="X25" s="40"/>
      <c r="Y25" s="40"/>
      <c r="Z25" s="40"/>
      <c r="AA25" s="40"/>
      <c r="AB25" s="40"/>
      <c r="AC25" s="70"/>
    </row>
    <row r="26" ht="20" customHeight="1" spans="1:28">
      <c r="A26" s="51">
        <v>45976</v>
      </c>
      <c r="B26" s="10">
        <v>8076</v>
      </c>
      <c r="C26" s="10">
        <v>7732</v>
      </c>
      <c r="D26" s="10">
        <v>21</v>
      </c>
      <c r="E26" s="11">
        <f t="shared" si="6"/>
        <v>0.260029717682021</v>
      </c>
      <c r="F26" s="10">
        <f t="shared" si="5"/>
        <v>323</v>
      </c>
      <c r="G26" s="11">
        <f t="shared" si="7"/>
        <v>3.99950470529965</v>
      </c>
      <c r="H26" s="10">
        <v>143</v>
      </c>
      <c r="I26" s="10">
        <v>61</v>
      </c>
      <c r="J26" s="10"/>
      <c r="K26" s="10"/>
      <c r="L26" s="10"/>
      <c r="M26" s="10"/>
      <c r="N26" s="10"/>
      <c r="O26" s="10"/>
      <c r="P26" s="10"/>
      <c r="Q26" s="10">
        <v>34</v>
      </c>
      <c r="R26" s="10"/>
      <c r="S26" s="10">
        <v>85</v>
      </c>
      <c r="T26" s="10"/>
      <c r="U26" s="10"/>
      <c r="V26" s="10"/>
      <c r="W26" s="10"/>
      <c r="X26" s="10"/>
      <c r="Y26" s="10"/>
      <c r="Z26" s="10"/>
      <c r="AA26" s="10"/>
      <c r="AB26" s="10"/>
    </row>
    <row r="27" ht="20" customHeight="1" spans="1:28">
      <c r="A27" s="42" t="s">
        <v>40</v>
      </c>
      <c r="B27" s="43">
        <f t="shared" ref="B27:AB27" si="8">SUM(B20:B26)</f>
        <v>48833</v>
      </c>
      <c r="C27" s="43">
        <f t="shared" si="8"/>
        <v>46277</v>
      </c>
      <c r="D27" s="43">
        <f t="shared" si="8"/>
        <v>383</v>
      </c>
      <c r="E27" s="44">
        <f t="shared" si="6"/>
        <v>0.784305694919419</v>
      </c>
      <c r="F27" s="43">
        <f t="shared" si="8"/>
        <v>2173</v>
      </c>
      <c r="G27" s="44">
        <f t="shared" si="8"/>
        <v>28.1826375918023</v>
      </c>
      <c r="H27" s="43">
        <f t="shared" si="8"/>
        <v>323</v>
      </c>
      <c r="I27" s="43">
        <f t="shared" si="8"/>
        <v>205</v>
      </c>
      <c r="J27" s="43">
        <f t="shared" si="8"/>
        <v>0</v>
      </c>
      <c r="K27" s="43">
        <f t="shared" si="8"/>
        <v>0</v>
      </c>
      <c r="L27" s="43">
        <f t="shared" si="8"/>
        <v>166</v>
      </c>
      <c r="M27" s="43">
        <f t="shared" si="8"/>
        <v>0</v>
      </c>
      <c r="N27" s="43">
        <f t="shared" si="8"/>
        <v>0</v>
      </c>
      <c r="O27" s="43">
        <f t="shared" si="8"/>
        <v>0</v>
      </c>
      <c r="P27" s="43">
        <f t="shared" si="8"/>
        <v>0</v>
      </c>
      <c r="Q27" s="43">
        <f t="shared" si="8"/>
        <v>768</v>
      </c>
      <c r="R27" s="43">
        <f t="shared" si="8"/>
        <v>0</v>
      </c>
      <c r="S27" s="43">
        <f t="shared" si="8"/>
        <v>627</v>
      </c>
      <c r="T27" s="43">
        <f t="shared" si="8"/>
        <v>0</v>
      </c>
      <c r="U27" s="43">
        <f t="shared" si="8"/>
        <v>0</v>
      </c>
      <c r="V27" s="43">
        <f t="shared" si="8"/>
        <v>0</v>
      </c>
      <c r="W27" s="43">
        <f t="shared" si="8"/>
        <v>0</v>
      </c>
      <c r="X27" s="43">
        <f t="shared" si="8"/>
        <v>0</v>
      </c>
      <c r="Y27" s="43">
        <f t="shared" si="8"/>
        <v>81</v>
      </c>
      <c r="Z27" s="43">
        <f t="shared" si="8"/>
        <v>3</v>
      </c>
      <c r="AA27" s="43">
        <f t="shared" si="8"/>
        <v>0</v>
      </c>
      <c r="AB27" s="43">
        <f t="shared" si="8"/>
        <v>0</v>
      </c>
    </row>
    <row r="28" ht="20" customHeight="1" spans="1:29">
      <c r="A28" s="45" t="s">
        <v>84</v>
      </c>
      <c r="B28" s="46"/>
      <c r="C28" s="47">
        <f>C27/$B$27*100</f>
        <v>94.7658345790756</v>
      </c>
      <c r="D28" s="47">
        <f>D27/$B$27*100</f>
        <v>0.784305694919419</v>
      </c>
      <c r="E28" s="47"/>
      <c r="F28" s="47">
        <f>F27/$B$27*100</f>
        <v>4.44985972600496</v>
      </c>
      <c r="G28" s="47">
        <f>G27/$B$27*100</f>
        <v>0.0577122797939965</v>
      </c>
      <c r="H28" s="47">
        <f>H27/$B$27*100</f>
        <v>0.661437962033871</v>
      </c>
      <c r="I28" s="47">
        <f>I27/$B$27*100</f>
        <v>0.419798087358958</v>
      </c>
      <c r="J28" s="47">
        <f>J27/$B$27*100</f>
        <v>0</v>
      </c>
      <c r="K28" s="47">
        <f>K27/$B$27*100</f>
        <v>0</v>
      </c>
      <c r="L28" s="47">
        <f>L27/$B$27*100</f>
        <v>0.339934060983351</v>
      </c>
      <c r="M28" s="47">
        <f>M27/$B$27*100</f>
        <v>0</v>
      </c>
      <c r="N28" s="47">
        <f>N27/$B$27*100</f>
        <v>0</v>
      </c>
      <c r="O28" s="47">
        <f>O27/$B$27*100</f>
        <v>0</v>
      </c>
      <c r="P28" s="47">
        <f>P27/$B$27*100</f>
        <v>0</v>
      </c>
      <c r="Q28" s="47">
        <f>Q27/$B$27*100</f>
        <v>1.57270698093502</v>
      </c>
      <c r="R28" s="47">
        <f>R27/$B$27*100</f>
        <v>0</v>
      </c>
      <c r="S28" s="47">
        <f>S27/$B$27*100</f>
        <v>1.28396780865398</v>
      </c>
      <c r="T28" s="47">
        <f>T27/$B$27*100</f>
        <v>0</v>
      </c>
      <c r="U28" s="47">
        <f>U27/$B$27*100</f>
        <v>0</v>
      </c>
      <c r="V28" s="47">
        <f>V27/$B$27*100</f>
        <v>0</v>
      </c>
      <c r="W28" s="47">
        <f>W27/$B$27*100</f>
        <v>0</v>
      </c>
      <c r="X28" s="47">
        <f>X27/$B$27*100</f>
        <v>0</v>
      </c>
      <c r="Y28" s="47">
        <f>Y27/$B$27*100</f>
        <v>0.165871439395491</v>
      </c>
      <c r="Z28" s="47">
        <f>Z27/$B$27*100</f>
        <v>0.00614338664427744</v>
      </c>
      <c r="AA28" s="47">
        <f>AA27/$B$27*100</f>
        <v>0</v>
      </c>
      <c r="AB28" s="47">
        <f>AB27/$B$27*100</f>
        <v>0</v>
      </c>
      <c r="AC28" s="69">
        <f>SUM(H28:AB28)</f>
        <v>4.44985972600496</v>
      </c>
    </row>
    <row r="29" s="24" customFormat="1" ht="20" customHeight="1" spans="1:29">
      <c r="A29" s="53">
        <v>45977</v>
      </c>
      <c r="B29" s="54"/>
      <c r="C29" s="54"/>
      <c r="D29" s="54"/>
      <c r="E29" s="55" t="e">
        <f t="shared" ref="E29:E33" si="9">D29/B29*100</f>
        <v>#DIV/0!</v>
      </c>
      <c r="F29" s="54">
        <f t="shared" ref="F29:F34" si="10">B29-(C29+D29)</f>
        <v>0</v>
      </c>
      <c r="G29" s="55" t="e">
        <f t="shared" ref="G29:G34" si="11">F29/B29*100</f>
        <v>#DIV/0!</v>
      </c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4"/>
      <c r="AC29" s="71"/>
    </row>
    <row r="30" ht="20" customHeight="1" spans="1:28">
      <c r="A30" s="51">
        <v>45978</v>
      </c>
      <c r="B30" s="40">
        <v>5555</v>
      </c>
      <c r="C30" s="40">
        <v>5267</v>
      </c>
      <c r="D30" s="40">
        <v>85</v>
      </c>
      <c r="E30" s="11">
        <f t="shared" si="9"/>
        <v>1.53015301530153</v>
      </c>
      <c r="F30" s="10">
        <f t="shared" si="10"/>
        <v>203</v>
      </c>
      <c r="G30" s="11">
        <f t="shared" si="11"/>
        <v>3.65436543654365</v>
      </c>
      <c r="H30" s="40">
        <v>44</v>
      </c>
      <c r="I30" s="40">
        <v>22</v>
      </c>
      <c r="J30" s="40"/>
      <c r="K30" s="40"/>
      <c r="L30" s="40"/>
      <c r="M30" s="40"/>
      <c r="N30" s="40"/>
      <c r="O30" s="40"/>
      <c r="P30" s="40"/>
      <c r="Q30" s="40">
        <v>25</v>
      </c>
      <c r="R30" s="40"/>
      <c r="S30" s="40">
        <v>111</v>
      </c>
      <c r="T30" s="40"/>
      <c r="U30" s="40"/>
      <c r="V30" s="40"/>
      <c r="W30" s="40"/>
      <c r="X30" s="40"/>
      <c r="Y30" s="40"/>
      <c r="Z30" s="40">
        <v>1</v>
      </c>
      <c r="AA30" s="40"/>
      <c r="AB30" s="40"/>
    </row>
    <row r="31" ht="20" customHeight="1" spans="1:28">
      <c r="A31" s="51">
        <v>45979</v>
      </c>
      <c r="B31" s="40">
        <v>8285</v>
      </c>
      <c r="C31" s="40">
        <v>7718</v>
      </c>
      <c r="D31" s="40">
        <v>200</v>
      </c>
      <c r="E31" s="11">
        <f t="shared" si="9"/>
        <v>2.4140012070006</v>
      </c>
      <c r="F31" s="10">
        <f t="shared" si="10"/>
        <v>367</v>
      </c>
      <c r="G31" s="11">
        <f t="shared" si="11"/>
        <v>4.42969221484611</v>
      </c>
      <c r="H31" s="40">
        <v>7</v>
      </c>
      <c r="I31" s="40"/>
      <c r="J31" s="40"/>
      <c r="K31" s="40"/>
      <c r="L31" s="40">
        <v>300</v>
      </c>
      <c r="M31" s="40"/>
      <c r="N31" s="40"/>
      <c r="O31" s="40"/>
      <c r="P31" s="40"/>
      <c r="Q31" s="40"/>
      <c r="R31" s="40"/>
      <c r="S31" s="40">
        <v>60</v>
      </c>
      <c r="T31" s="40"/>
      <c r="U31" s="40"/>
      <c r="V31" s="40"/>
      <c r="W31" s="40"/>
      <c r="X31" s="40"/>
      <c r="Y31" s="40"/>
      <c r="Z31" s="40"/>
      <c r="AA31" s="40"/>
      <c r="AB31" s="40"/>
    </row>
    <row r="32" s="23" customFormat="1" ht="20" customHeight="1" spans="1:29">
      <c r="A32" s="51">
        <v>45980</v>
      </c>
      <c r="B32" s="40">
        <v>11372</v>
      </c>
      <c r="C32" s="40">
        <v>10881</v>
      </c>
      <c r="D32" s="40">
        <v>66</v>
      </c>
      <c r="E32" s="11">
        <f t="shared" si="9"/>
        <v>0.580372845585649</v>
      </c>
      <c r="F32" s="10">
        <f t="shared" si="10"/>
        <v>425</v>
      </c>
      <c r="G32" s="11">
        <f t="shared" si="11"/>
        <v>3.73724938445304</v>
      </c>
      <c r="H32" s="40">
        <v>19</v>
      </c>
      <c r="I32" s="40">
        <v>17</v>
      </c>
      <c r="J32" s="40"/>
      <c r="K32" s="40"/>
      <c r="L32" s="40">
        <v>321</v>
      </c>
      <c r="M32" s="40"/>
      <c r="N32" s="40"/>
      <c r="O32" s="40"/>
      <c r="P32" s="40"/>
      <c r="Q32" s="40"/>
      <c r="R32" s="40"/>
      <c r="S32" s="40">
        <v>68</v>
      </c>
      <c r="T32" s="40"/>
      <c r="U32" s="40"/>
      <c r="V32" s="40"/>
      <c r="W32" s="40"/>
      <c r="X32" s="40"/>
      <c r="Y32" s="40"/>
      <c r="Z32" s="40"/>
      <c r="AA32" s="40"/>
      <c r="AB32" s="40"/>
      <c r="AC32" s="70"/>
    </row>
    <row r="33" ht="20" customHeight="1" spans="1:28">
      <c r="A33" s="51">
        <v>45981</v>
      </c>
      <c r="B33" s="40">
        <v>10854</v>
      </c>
      <c r="C33" s="40">
        <v>10445</v>
      </c>
      <c r="D33" s="40">
        <v>99</v>
      </c>
      <c r="E33" s="11">
        <f t="shared" si="9"/>
        <v>0.912106135986733</v>
      </c>
      <c r="F33" s="10">
        <f t="shared" si="10"/>
        <v>310</v>
      </c>
      <c r="G33" s="11">
        <f t="shared" si="11"/>
        <v>2.85608992076654</v>
      </c>
      <c r="H33" s="40">
        <v>27</v>
      </c>
      <c r="I33" s="40">
        <v>37</v>
      </c>
      <c r="J33" s="40"/>
      <c r="K33" s="40"/>
      <c r="L33" s="40">
        <v>158</v>
      </c>
      <c r="M33" s="40"/>
      <c r="N33" s="40"/>
      <c r="O33" s="40"/>
      <c r="P33" s="40"/>
      <c r="Q33" s="40"/>
      <c r="R33" s="40"/>
      <c r="S33" s="40">
        <v>88</v>
      </c>
      <c r="T33" s="40"/>
      <c r="U33" s="40"/>
      <c r="V33" s="40"/>
      <c r="W33" s="40"/>
      <c r="X33" s="40"/>
      <c r="Y33" s="40"/>
      <c r="Z33" s="40"/>
      <c r="AA33" s="40"/>
      <c r="AB33" s="40"/>
    </row>
    <row r="34" ht="20" customHeight="1" spans="1:28">
      <c r="A34" s="51">
        <v>45982</v>
      </c>
      <c r="B34" s="40">
        <v>9075</v>
      </c>
      <c r="C34" s="40">
        <v>7928</v>
      </c>
      <c r="D34" s="40">
        <v>96</v>
      </c>
      <c r="E34" s="11">
        <f t="shared" ref="E34:E36" si="12">D34/B34*100</f>
        <v>1.05785123966942</v>
      </c>
      <c r="F34" s="10">
        <f t="shared" si="10"/>
        <v>1051</v>
      </c>
      <c r="G34" s="11">
        <f t="shared" si="11"/>
        <v>11.5812672176309</v>
      </c>
      <c r="H34" s="40">
        <v>628</v>
      </c>
      <c r="I34" s="40">
        <v>66</v>
      </c>
      <c r="J34" s="40"/>
      <c r="K34" s="40"/>
      <c r="L34" s="40">
        <v>18</v>
      </c>
      <c r="M34" s="40"/>
      <c r="N34" s="40"/>
      <c r="O34" s="40"/>
      <c r="P34" s="40"/>
      <c r="Q34" s="40">
        <v>6</v>
      </c>
      <c r="R34" s="40">
        <v>121</v>
      </c>
      <c r="S34" s="40">
        <v>212</v>
      </c>
      <c r="T34" s="40"/>
      <c r="U34" s="40"/>
      <c r="V34" s="40"/>
      <c r="W34" s="40"/>
      <c r="X34" s="40"/>
      <c r="Y34" s="40"/>
      <c r="Z34" s="40"/>
      <c r="AA34" s="40"/>
      <c r="AB34" s="40"/>
    </row>
    <row r="35" ht="20" customHeight="1" spans="1:28">
      <c r="A35" s="51">
        <v>45983</v>
      </c>
      <c r="B35" s="40">
        <v>4959</v>
      </c>
      <c r="C35" s="40">
        <v>4382</v>
      </c>
      <c r="D35" s="40">
        <v>49</v>
      </c>
      <c r="E35" s="11">
        <f t="shared" si="12"/>
        <v>0.988102440008066</v>
      </c>
      <c r="F35" s="10">
        <f t="shared" ref="F34:F45" si="13">B35-(C35+D35)</f>
        <v>528</v>
      </c>
      <c r="G35" s="11">
        <f t="shared" ref="G34:G45" si="14">F35/B35*100</f>
        <v>10.6473079249849</v>
      </c>
      <c r="H35" s="40">
        <v>14</v>
      </c>
      <c r="I35" s="40">
        <v>100</v>
      </c>
      <c r="J35" s="40"/>
      <c r="K35" s="40"/>
      <c r="L35" s="40">
        <v>135</v>
      </c>
      <c r="M35" s="40"/>
      <c r="N35" s="40"/>
      <c r="O35" s="40"/>
      <c r="P35" s="40"/>
      <c r="Q35" s="40"/>
      <c r="R35" s="40"/>
      <c r="S35" s="40">
        <v>248</v>
      </c>
      <c r="T35" s="40"/>
      <c r="U35" s="40"/>
      <c r="V35" s="40"/>
      <c r="W35" s="40"/>
      <c r="X35" s="40"/>
      <c r="Y35" s="40"/>
      <c r="Z35" s="40">
        <v>31</v>
      </c>
      <c r="AA35" s="40"/>
      <c r="AB35" s="40"/>
    </row>
    <row r="36" ht="20" customHeight="1" spans="1:28">
      <c r="A36" s="42" t="s">
        <v>40</v>
      </c>
      <c r="B36" s="56">
        <f t="shared" ref="B36:AB36" si="15">SUM(B29:B35)</f>
        <v>50100</v>
      </c>
      <c r="C36" s="56">
        <f t="shared" si="15"/>
        <v>46621</v>
      </c>
      <c r="D36" s="56">
        <f t="shared" si="15"/>
        <v>595</v>
      </c>
      <c r="E36" s="57">
        <f t="shared" si="12"/>
        <v>1.187624750499</v>
      </c>
      <c r="F36" s="56">
        <f t="shared" si="15"/>
        <v>2884</v>
      </c>
      <c r="G36" s="57" t="e">
        <f t="shared" si="15"/>
        <v>#DIV/0!</v>
      </c>
      <c r="H36" s="56">
        <f t="shared" si="15"/>
        <v>739</v>
      </c>
      <c r="I36" s="56">
        <f t="shared" si="15"/>
        <v>242</v>
      </c>
      <c r="J36" s="56">
        <f t="shared" si="15"/>
        <v>0</v>
      </c>
      <c r="K36" s="56">
        <f t="shared" si="15"/>
        <v>0</v>
      </c>
      <c r="L36" s="56">
        <f t="shared" si="15"/>
        <v>932</v>
      </c>
      <c r="M36" s="56">
        <f t="shared" si="15"/>
        <v>0</v>
      </c>
      <c r="N36" s="56">
        <f t="shared" si="15"/>
        <v>0</v>
      </c>
      <c r="O36" s="56">
        <f t="shared" si="15"/>
        <v>0</v>
      </c>
      <c r="P36" s="56">
        <f t="shared" si="15"/>
        <v>0</v>
      </c>
      <c r="Q36" s="56">
        <f t="shared" si="15"/>
        <v>31</v>
      </c>
      <c r="R36" s="56">
        <f t="shared" si="15"/>
        <v>121</v>
      </c>
      <c r="S36" s="56">
        <f t="shared" si="15"/>
        <v>787</v>
      </c>
      <c r="T36" s="56">
        <f t="shared" si="15"/>
        <v>0</v>
      </c>
      <c r="U36" s="56">
        <f t="shared" si="15"/>
        <v>0</v>
      </c>
      <c r="V36" s="56">
        <f t="shared" si="15"/>
        <v>0</v>
      </c>
      <c r="W36" s="56">
        <f t="shared" si="15"/>
        <v>0</v>
      </c>
      <c r="X36" s="56">
        <f t="shared" si="15"/>
        <v>0</v>
      </c>
      <c r="Y36" s="56">
        <f t="shared" si="15"/>
        <v>0</v>
      </c>
      <c r="Z36" s="56">
        <f t="shared" si="15"/>
        <v>32</v>
      </c>
      <c r="AA36" s="56">
        <f t="shared" si="15"/>
        <v>0</v>
      </c>
      <c r="AB36" s="56">
        <f t="shared" si="15"/>
        <v>0</v>
      </c>
    </row>
    <row r="37" ht="20" customHeight="1" spans="1:29">
      <c r="A37" s="45" t="s">
        <v>84</v>
      </c>
      <c r="B37" s="46"/>
      <c r="C37" s="47">
        <f>C36/$B$36*100</f>
        <v>93.0558882235529</v>
      </c>
      <c r="D37" s="47">
        <f>D36/$B$36*100</f>
        <v>1.187624750499</v>
      </c>
      <c r="E37" s="47"/>
      <c r="F37" s="47">
        <f>F36/$B$36*100</f>
        <v>5.7564870259481</v>
      </c>
      <c r="G37" s="47" t="e">
        <f>G36/$B$36*100</f>
        <v>#DIV/0!</v>
      </c>
      <c r="H37" s="47">
        <f>H36/$B$36*100</f>
        <v>1.4750499001996</v>
      </c>
      <c r="I37" s="47">
        <f>I36/$B$36*100</f>
        <v>0.483033932135729</v>
      </c>
      <c r="J37" s="47">
        <f>J36/$B$36*100</f>
        <v>0</v>
      </c>
      <c r="K37" s="47">
        <f>K36/$B$36*100</f>
        <v>0</v>
      </c>
      <c r="L37" s="47">
        <f>L36/$B$36*100</f>
        <v>1.86027944111776</v>
      </c>
      <c r="M37" s="47">
        <f>M36/$B$36*100</f>
        <v>0</v>
      </c>
      <c r="N37" s="47">
        <f>N36/$B$36*100</f>
        <v>0</v>
      </c>
      <c r="O37" s="47">
        <f>O36/$B$36*100</f>
        <v>0</v>
      </c>
      <c r="P37" s="47">
        <f>P36/$B$36*100</f>
        <v>0</v>
      </c>
      <c r="Q37" s="47">
        <f>Q36/$B$36*100</f>
        <v>0.06187624750499</v>
      </c>
      <c r="R37" s="47">
        <f>R36/$B$36*100</f>
        <v>0.241516966067864</v>
      </c>
      <c r="S37" s="47">
        <f>S36/$B$36*100</f>
        <v>1.57085828343313</v>
      </c>
      <c r="T37" s="47">
        <f>T36/$B$36*100</f>
        <v>0</v>
      </c>
      <c r="U37" s="47">
        <f>U36/$B$36*100</f>
        <v>0</v>
      </c>
      <c r="V37" s="47">
        <f>V36/$B$36*100</f>
        <v>0</v>
      </c>
      <c r="W37" s="47">
        <f>W36/$B$36*100</f>
        <v>0</v>
      </c>
      <c r="X37" s="47">
        <f>X36/$B$36*100</f>
        <v>0</v>
      </c>
      <c r="Y37" s="47">
        <f>Y36/$B$36*100</f>
        <v>0</v>
      </c>
      <c r="Z37" s="47">
        <f>Z36/$B$36*100</f>
        <v>0.063872255489022</v>
      </c>
      <c r="AA37" s="47">
        <f>AA36/$B$36*100</f>
        <v>0</v>
      </c>
      <c r="AB37" s="47">
        <f>AB36/$B$36*100</f>
        <v>0</v>
      </c>
      <c r="AC37" s="69">
        <f>SUM(H37:AB37)</f>
        <v>5.7564870259481</v>
      </c>
    </row>
    <row r="38" ht="20" customHeight="1" spans="1:28">
      <c r="A38" s="48">
        <v>45984</v>
      </c>
      <c r="B38" s="49"/>
      <c r="C38" s="49"/>
      <c r="D38" s="49"/>
      <c r="E38" s="50" t="e">
        <f t="shared" ref="E38:E45" si="16">D38/B38*100</f>
        <v>#DIV/0!</v>
      </c>
      <c r="F38" s="49">
        <f t="shared" si="13"/>
        <v>0</v>
      </c>
      <c r="G38" s="50" t="e">
        <f t="shared" si="14"/>
        <v>#DIV/0!</v>
      </c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</row>
    <row r="39" ht="20" customHeight="1" spans="1:28">
      <c r="A39" s="39">
        <v>45985</v>
      </c>
      <c r="B39" s="58">
        <v>4895</v>
      </c>
      <c r="C39" s="58">
        <v>4457</v>
      </c>
      <c r="D39" s="58">
        <v>47</v>
      </c>
      <c r="E39" s="11">
        <f t="shared" si="16"/>
        <v>0.960163432073544</v>
      </c>
      <c r="F39" s="10">
        <f t="shared" si="13"/>
        <v>391</v>
      </c>
      <c r="G39" s="11">
        <f t="shared" si="14"/>
        <v>7.98774259448417</v>
      </c>
      <c r="H39" s="59">
        <v>37</v>
      </c>
      <c r="I39" s="59">
        <v>32</v>
      </c>
      <c r="J39" s="63"/>
      <c r="K39" s="64"/>
      <c r="L39" s="64">
        <v>39</v>
      </c>
      <c r="M39" s="64"/>
      <c r="N39" s="64"/>
      <c r="O39" s="64"/>
      <c r="P39" s="59"/>
      <c r="Q39" s="64">
        <v>21</v>
      </c>
      <c r="R39" s="64"/>
      <c r="S39" s="59">
        <v>237</v>
      </c>
      <c r="T39" s="64"/>
      <c r="U39" s="64"/>
      <c r="V39" s="64"/>
      <c r="W39" s="59"/>
      <c r="X39" s="59"/>
      <c r="Y39" s="59">
        <v>7</v>
      </c>
      <c r="Z39" s="59">
        <v>18</v>
      </c>
      <c r="AA39" s="64"/>
      <c r="AB39" s="63"/>
    </row>
    <row r="40" ht="20" customHeight="1" spans="1:28">
      <c r="A40" s="39">
        <v>45986</v>
      </c>
      <c r="B40" s="58">
        <v>3679</v>
      </c>
      <c r="C40" s="58">
        <v>3159</v>
      </c>
      <c r="D40" s="58">
        <v>45</v>
      </c>
      <c r="E40" s="11">
        <f t="shared" si="16"/>
        <v>1.22315846697472</v>
      </c>
      <c r="F40" s="10">
        <f t="shared" si="13"/>
        <v>475</v>
      </c>
      <c r="G40" s="11">
        <f t="shared" si="14"/>
        <v>12.9111171513998</v>
      </c>
      <c r="H40" s="59">
        <v>68</v>
      </c>
      <c r="I40" s="59">
        <v>29</v>
      </c>
      <c r="J40" s="63"/>
      <c r="K40" s="64"/>
      <c r="L40" s="64">
        <v>51</v>
      </c>
      <c r="M40" s="64"/>
      <c r="N40" s="64"/>
      <c r="O40" s="64"/>
      <c r="P40" s="59">
        <v>67</v>
      </c>
      <c r="Q40" s="64">
        <v>3</v>
      </c>
      <c r="R40" s="64">
        <v>114</v>
      </c>
      <c r="S40" s="59">
        <v>114</v>
      </c>
      <c r="T40" s="64"/>
      <c r="U40" s="64"/>
      <c r="V40" s="64"/>
      <c r="W40" s="59"/>
      <c r="X40" s="59"/>
      <c r="Y40" s="59"/>
      <c r="Z40" s="59">
        <v>29</v>
      </c>
      <c r="AA40" s="64"/>
      <c r="AB40" s="63"/>
    </row>
    <row r="41" ht="20" customHeight="1" spans="1:28">
      <c r="A41" s="39">
        <v>45987</v>
      </c>
      <c r="B41" s="58">
        <v>4594</v>
      </c>
      <c r="C41" s="58">
        <v>4012</v>
      </c>
      <c r="D41" s="58">
        <v>217</v>
      </c>
      <c r="E41" s="11">
        <f t="shared" si="16"/>
        <v>4.72355245973008</v>
      </c>
      <c r="F41" s="10">
        <f t="shared" si="13"/>
        <v>365</v>
      </c>
      <c r="G41" s="11">
        <f t="shared" si="14"/>
        <v>7.94514584240313</v>
      </c>
      <c r="H41" s="59">
        <v>21</v>
      </c>
      <c r="I41" s="59">
        <v>25</v>
      </c>
      <c r="J41" s="63"/>
      <c r="K41" s="64"/>
      <c r="L41" s="64">
        <v>69</v>
      </c>
      <c r="M41" s="64"/>
      <c r="N41" s="64"/>
      <c r="O41" s="64"/>
      <c r="P41" s="59">
        <v>124</v>
      </c>
      <c r="Q41" s="64"/>
      <c r="R41" s="64"/>
      <c r="S41" s="59">
        <v>106</v>
      </c>
      <c r="T41" s="64"/>
      <c r="U41" s="64"/>
      <c r="V41" s="64"/>
      <c r="W41" s="59"/>
      <c r="X41" s="59"/>
      <c r="Y41" s="59"/>
      <c r="Z41" s="59">
        <v>20</v>
      </c>
      <c r="AA41" s="64"/>
      <c r="AB41" s="63"/>
    </row>
    <row r="42" ht="20" customHeight="1" spans="1:28">
      <c r="A42" s="39">
        <v>45988</v>
      </c>
      <c r="B42" s="58">
        <v>8704</v>
      </c>
      <c r="C42" s="58">
        <v>7900</v>
      </c>
      <c r="D42" s="58">
        <v>51</v>
      </c>
      <c r="E42" s="11">
        <f t="shared" si="16"/>
        <v>0.5859375</v>
      </c>
      <c r="F42" s="10">
        <f t="shared" si="13"/>
        <v>753</v>
      </c>
      <c r="G42" s="11">
        <f t="shared" si="14"/>
        <v>8.65119485294118</v>
      </c>
      <c r="H42" s="59">
        <v>47</v>
      </c>
      <c r="I42" s="59">
        <v>68</v>
      </c>
      <c r="J42" s="63"/>
      <c r="K42" s="64"/>
      <c r="L42" s="64">
        <v>550</v>
      </c>
      <c r="M42" s="64"/>
      <c r="N42" s="64"/>
      <c r="O42" s="64"/>
      <c r="P42" s="59"/>
      <c r="Q42" s="64"/>
      <c r="R42" s="64"/>
      <c r="S42" s="59">
        <v>68</v>
      </c>
      <c r="T42" s="64"/>
      <c r="U42" s="64"/>
      <c r="V42" s="64"/>
      <c r="W42" s="59"/>
      <c r="X42" s="59"/>
      <c r="Y42" s="59">
        <v>16</v>
      </c>
      <c r="Z42" s="59">
        <v>4</v>
      </c>
      <c r="AA42" s="64"/>
      <c r="AB42" s="63"/>
    </row>
    <row r="43" ht="20" customHeight="1" spans="1:28">
      <c r="A43" s="39">
        <v>45989</v>
      </c>
      <c r="B43" s="58">
        <v>8004</v>
      </c>
      <c r="C43" s="58">
        <v>7234</v>
      </c>
      <c r="D43" s="58">
        <v>122</v>
      </c>
      <c r="E43" s="11">
        <f t="shared" si="16"/>
        <v>1.52423788105947</v>
      </c>
      <c r="F43" s="10">
        <f t="shared" si="13"/>
        <v>648</v>
      </c>
      <c r="G43" s="11">
        <f t="shared" si="14"/>
        <v>8.095952023988</v>
      </c>
      <c r="H43" s="59">
        <v>123</v>
      </c>
      <c r="I43" s="59">
        <v>66</v>
      </c>
      <c r="J43" s="63"/>
      <c r="K43" s="64"/>
      <c r="L43" s="64">
        <v>20</v>
      </c>
      <c r="M43" s="64"/>
      <c r="N43" s="64"/>
      <c r="O43" s="64"/>
      <c r="P43" s="59">
        <v>71</v>
      </c>
      <c r="Q43" s="64"/>
      <c r="R43" s="64">
        <v>124</v>
      </c>
      <c r="S43" s="59">
        <v>162</v>
      </c>
      <c r="T43" s="64"/>
      <c r="U43" s="64"/>
      <c r="V43" s="64"/>
      <c r="W43" s="59"/>
      <c r="X43" s="59">
        <v>47</v>
      </c>
      <c r="Y43" s="59">
        <v>15</v>
      </c>
      <c r="Z43" s="59">
        <v>20</v>
      </c>
      <c r="AA43" s="64"/>
      <c r="AB43" s="63"/>
    </row>
    <row r="44" ht="20" customHeight="1" spans="1:28">
      <c r="A44" s="39">
        <v>45990</v>
      </c>
      <c r="B44" s="58">
        <v>12117</v>
      </c>
      <c r="C44" s="58">
        <v>10855</v>
      </c>
      <c r="D44" s="58">
        <v>141</v>
      </c>
      <c r="E44" s="11">
        <f t="shared" si="16"/>
        <v>1.16365436989354</v>
      </c>
      <c r="F44" s="10">
        <f t="shared" si="13"/>
        <v>1121</v>
      </c>
      <c r="G44" s="11">
        <f t="shared" si="14"/>
        <v>9.25146488404721</v>
      </c>
      <c r="H44" s="59">
        <v>186</v>
      </c>
      <c r="I44" s="59">
        <v>161</v>
      </c>
      <c r="J44" s="63"/>
      <c r="K44" s="64"/>
      <c r="L44" s="64">
        <v>66</v>
      </c>
      <c r="M44" s="64"/>
      <c r="N44" s="64"/>
      <c r="O44" s="64"/>
      <c r="P44" s="59">
        <v>60</v>
      </c>
      <c r="Q44" s="64">
        <v>34</v>
      </c>
      <c r="R44" s="64"/>
      <c r="S44" s="59">
        <v>268</v>
      </c>
      <c r="T44" s="64"/>
      <c r="U44" s="64"/>
      <c r="V44" s="64"/>
      <c r="W44" s="59"/>
      <c r="X44" s="59">
        <v>243</v>
      </c>
      <c r="Y44" s="59">
        <v>76</v>
      </c>
      <c r="Z44" s="59">
        <v>27</v>
      </c>
      <c r="AA44" s="64"/>
      <c r="AB44" s="63"/>
    </row>
    <row r="45" ht="20" customHeight="1" spans="1:28">
      <c r="A45" s="48">
        <v>45991</v>
      </c>
      <c r="B45" s="49"/>
      <c r="C45" s="49"/>
      <c r="D45" s="49"/>
      <c r="E45" s="50" t="e">
        <f t="shared" si="16"/>
        <v>#DIV/0!</v>
      </c>
      <c r="F45" s="49">
        <f t="shared" si="13"/>
        <v>0</v>
      </c>
      <c r="G45" s="50" t="e">
        <f t="shared" si="14"/>
        <v>#DIV/0!</v>
      </c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</row>
    <row r="46" ht="22" customHeight="1" spans="1:28">
      <c r="A46" s="42" t="s">
        <v>40</v>
      </c>
      <c r="B46" s="56">
        <f t="shared" ref="B46:AB46" si="17">SUM(B38:B45)</f>
        <v>41993</v>
      </c>
      <c r="C46" s="56">
        <f t="shared" si="17"/>
        <v>37617</v>
      </c>
      <c r="D46" s="56">
        <f t="shared" si="17"/>
        <v>623</v>
      </c>
      <c r="E46" s="57" t="e">
        <f t="shared" si="17"/>
        <v>#DIV/0!</v>
      </c>
      <c r="F46" s="56">
        <f t="shared" si="17"/>
        <v>3753</v>
      </c>
      <c r="G46" s="56" t="e">
        <f t="shared" si="17"/>
        <v>#DIV/0!</v>
      </c>
      <c r="H46" s="56">
        <f t="shared" si="17"/>
        <v>482</v>
      </c>
      <c r="I46" s="56">
        <f t="shared" si="17"/>
        <v>381</v>
      </c>
      <c r="J46" s="56">
        <f t="shared" si="17"/>
        <v>0</v>
      </c>
      <c r="K46" s="56">
        <f t="shared" si="17"/>
        <v>0</v>
      </c>
      <c r="L46" s="56">
        <f t="shared" si="17"/>
        <v>795</v>
      </c>
      <c r="M46" s="56">
        <f t="shared" si="17"/>
        <v>0</v>
      </c>
      <c r="N46" s="56">
        <f t="shared" si="17"/>
        <v>0</v>
      </c>
      <c r="O46" s="56">
        <f t="shared" si="17"/>
        <v>0</v>
      </c>
      <c r="P46" s="56">
        <f t="shared" si="17"/>
        <v>322</v>
      </c>
      <c r="Q46" s="56">
        <f t="shared" si="17"/>
        <v>58</v>
      </c>
      <c r="R46" s="56">
        <f t="shared" si="17"/>
        <v>238</v>
      </c>
      <c r="S46" s="56">
        <f t="shared" si="17"/>
        <v>955</v>
      </c>
      <c r="T46" s="56">
        <f t="shared" si="17"/>
        <v>0</v>
      </c>
      <c r="U46" s="56">
        <f t="shared" si="17"/>
        <v>0</v>
      </c>
      <c r="V46" s="56">
        <f t="shared" si="17"/>
        <v>0</v>
      </c>
      <c r="W46" s="56">
        <f t="shared" si="17"/>
        <v>0</v>
      </c>
      <c r="X46" s="56">
        <f t="shared" si="17"/>
        <v>290</v>
      </c>
      <c r="Y46" s="56">
        <f t="shared" si="17"/>
        <v>114</v>
      </c>
      <c r="Z46" s="56">
        <f t="shared" si="17"/>
        <v>118</v>
      </c>
      <c r="AA46" s="56">
        <f t="shared" si="17"/>
        <v>0</v>
      </c>
      <c r="AB46" s="56">
        <f t="shared" si="17"/>
        <v>0</v>
      </c>
    </row>
    <row r="47" ht="22" customHeight="1" spans="1:29">
      <c r="A47" s="45" t="s">
        <v>84</v>
      </c>
      <c r="B47" s="46"/>
      <c r="C47" s="47">
        <f>C46/$B$46*100</f>
        <v>89.5792155835496</v>
      </c>
      <c r="D47" s="47">
        <f>D46/$B$46*100</f>
        <v>1.48358059676613</v>
      </c>
      <c r="E47" s="47" t="e">
        <f>E46/$B$46*100</f>
        <v>#DIV/0!</v>
      </c>
      <c r="F47" s="47">
        <f>F46/$B$46*100</f>
        <v>8.93720381968423</v>
      </c>
      <c r="G47" s="47" t="e">
        <f>G46/$B$46*100</f>
        <v>#DIV/0!</v>
      </c>
      <c r="H47" s="47">
        <f>H46/$B$46*100</f>
        <v>1.14781034934394</v>
      </c>
      <c r="I47" s="47">
        <f>I46/$B$46*100</f>
        <v>0.907294072821661</v>
      </c>
      <c r="J47" s="47">
        <f>J46/$B$46*100</f>
        <v>0</v>
      </c>
      <c r="K47" s="47">
        <f>K46/$B$46*100</f>
        <v>0</v>
      </c>
      <c r="L47" s="47">
        <f>L46/$B$46*100</f>
        <v>1.89317267163575</v>
      </c>
      <c r="M47" s="47">
        <f>M46/$B$46*100</f>
        <v>0</v>
      </c>
      <c r="N47" s="47">
        <f>N46/$B$46*100</f>
        <v>0</v>
      </c>
      <c r="O47" s="47">
        <f>O46/$B$46*100</f>
        <v>0</v>
      </c>
      <c r="P47" s="47">
        <f>P46/$B$46*100</f>
        <v>0.766794465744291</v>
      </c>
      <c r="Q47" s="47">
        <f>Q46/$B$46*100</f>
        <v>0.138118257804872</v>
      </c>
      <c r="R47" s="47">
        <f>R46/$B$46*100</f>
        <v>0.566761126854476</v>
      </c>
      <c r="S47" s="47">
        <f>S46/$B$46*100</f>
        <v>2.2741885552354</v>
      </c>
      <c r="T47" s="47">
        <f>T46/$B$46*100</f>
        <v>0</v>
      </c>
      <c r="U47" s="47">
        <f>U46/$B$46*100</f>
        <v>0</v>
      </c>
      <c r="V47" s="47">
        <f>V46/$B$46*100</f>
        <v>0</v>
      </c>
      <c r="W47" s="47">
        <f>W46/$B$46*100</f>
        <v>0</v>
      </c>
      <c r="X47" s="47">
        <f>X46/$B$46*100</f>
        <v>0.690591289024361</v>
      </c>
      <c r="Y47" s="47">
        <f>Y46/$B$46*100</f>
        <v>0.271473817064749</v>
      </c>
      <c r="Z47" s="47">
        <f>Z46/$B$46*100</f>
        <v>0.28099921415474</v>
      </c>
      <c r="AA47" s="47">
        <f>AA46/$B$46*100</f>
        <v>0</v>
      </c>
      <c r="AB47" s="47">
        <f>AB46/$B$46*100</f>
        <v>0</v>
      </c>
      <c r="AC47" s="69">
        <f>SUM(H47:AB47)</f>
        <v>8.93720381968423</v>
      </c>
    </row>
    <row r="48" ht="36" customHeight="1" spans="1:28">
      <c r="A48" s="12" t="s">
        <v>40</v>
      </c>
      <c r="B48" s="13">
        <f t="shared" ref="B48:F48" si="18">B46+B36+B27+B18+B9</f>
        <v>203088</v>
      </c>
      <c r="C48" s="13">
        <f t="shared" si="18"/>
        <v>189576</v>
      </c>
      <c r="D48" s="13">
        <f t="shared" si="18"/>
        <v>2409</v>
      </c>
      <c r="E48" s="14">
        <f>D48/B48*100</f>
        <v>1.18618529898369</v>
      </c>
      <c r="F48" s="13">
        <f t="shared" si="18"/>
        <v>11103</v>
      </c>
      <c r="G48" s="14">
        <f>F48/B48*100</f>
        <v>5.4670881588277</v>
      </c>
      <c r="H48" s="13">
        <f>H46+H36+H27+H18+H9</f>
        <v>1701</v>
      </c>
      <c r="I48" s="13">
        <f t="shared" ref="H48:AB48" si="19">I46+I36+I27+I18+I9</f>
        <v>998</v>
      </c>
      <c r="J48" s="13">
        <f t="shared" si="19"/>
        <v>0</v>
      </c>
      <c r="K48" s="13">
        <f t="shared" si="19"/>
        <v>65</v>
      </c>
      <c r="L48" s="13">
        <f t="shared" si="19"/>
        <v>2816</v>
      </c>
      <c r="M48" s="13">
        <f t="shared" si="19"/>
        <v>0</v>
      </c>
      <c r="N48" s="13">
        <f t="shared" si="19"/>
        <v>0</v>
      </c>
      <c r="O48" s="13">
        <f t="shared" si="19"/>
        <v>0</v>
      </c>
      <c r="P48" s="13">
        <f t="shared" si="19"/>
        <v>322</v>
      </c>
      <c r="Q48" s="13">
        <f t="shared" si="19"/>
        <v>1110</v>
      </c>
      <c r="R48" s="13">
        <f t="shared" si="19"/>
        <v>359</v>
      </c>
      <c r="S48" s="13">
        <f t="shared" si="19"/>
        <v>3050</v>
      </c>
      <c r="T48" s="13">
        <f t="shared" si="19"/>
        <v>0</v>
      </c>
      <c r="U48" s="13">
        <f t="shared" si="19"/>
        <v>0</v>
      </c>
      <c r="V48" s="13">
        <f t="shared" si="19"/>
        <v>0</v>
      </c>
      <c r="W48" s="13">
        <f t="shared" si="19"/>
        <v>0</v>
      </c>
      <c r="X48" s="13">
        <f t="shared" si="19"/>
        <v>303</v>
      </c>
      <c r="Y48" s="13">
        <f t="shared" si="19"/>
        <v>215</v>
      </c>
      <c r="Z48" s="13">
        <f t="shared" si="19"/>
        <v>164</v>
      </c>
      <c r="AA48" s="13">
        <f t="shared" si="19"/>
        <v>0</v>
      </c>
      <c r="AB48" s="13">
        <f t="shared" si="19"/>
        <v>0</v>
      </c>
    </row>
    <row r="49" ht="45" customHeight="1" spans="1:28">
      <c r="A49" s="17"/>
      <c r="B49" s="17"/>
      <c r="C49" s="11">
        <f>C48/B48*100</f>
        <v>93.3467265421886</v>
      </c>
      <c r="D49" s="11">
        <f>D48/B48*100</f>
        <v>1.18618529898369</v>
      </c>
      <c r="E49" s="11" t="s">
        <v>94</v>
      </c>
      <c r="F49" s="11">
        <f>F48/B48*100</f>
        <v>5.4670881588277</v>
      </c>
      <c r="G49" s="60" t="s">
        <v>86</v>
      </c>
      <c r="H49" s="11">
        <f>H48/$B$48*100</f>
        <v>0.837567950839045</v>
      </c>
      <c r="I49" s="11">
        <f>I48/$B$48*100</f>
        <v>0.491412589616324</v>
      </c>
      <c r="J49" s="11">
        <f>J48/$B$48*100</f>
        <v>0</v>
      </c>
      <c r="K49" s="11">
        <f>K48/$B$48*100</f>
        <v>0.0320058299850311</v>
      </c>
      <c r="L49" s="11">
        <f>L48/B48*100</f>
        <v>1.38659103442843</v>
      </c>
      <c r="M49" s="11">
        <f>M48/B48*100</f>
        <v>0</v>
      </c>
      <c r="N49" s="11">
        <f>N48/B48*100</f>
        <v>0</v>
      </c>
      <c r="O49" s="11">
        <f>O48/B48*100</f>
        <v>0</v>
      </c>
      <c r="P49" s="11">
        <f>P48/$B$48*100</f>
        <v>0.158551957772</v>
      </c>
      <c r="Q49" s="11">
        <f>Q48/$B$48*100</f>
        <v>0.546561096667455</v>
      </c>
      <c r="R49" s="11">
        <f>R48/$B$48*100</f>
        <v>0.176770660994249</v>
      </c>
      <c r="S49" s="11">
        <f>S48/$B$48*100</f>
        <v>1.50181202237454</v>
      </c>
      <c r="T49" s="11">
        <f>T48/$B$48*100</f>
        <v>0</v>
      </c>
      <c r="U49" s="11">
        <f>U48/$B$48*100</f>
        <v>0</v>
      </c>
      <c r="V49" s="11">
        <f>V48/$B$48*100</f>
        <v>0</v>
      </c>
      <c r="W49" s="11">
        <f>W48/$B$48*100</f>
        <v>0</v>
      </c>
      <c r="X49" s="11">
        <f>X48/$B$48*100</f>
        <v>0.149196407468684</v>
      </c>
      <c r="Y49" s="11">
        <f>Y48/B48*100</f>
        <v>0.105865437642795</v>
      </c>
      <c r="Z49" s="11">
        <f>Z48/$B$48*100</f>
        <v>0.0807531710391554</v>
      </c>
      <c r="AA49" s="11">
        <f>AA48/$B$48*100</f>
        <v>0</v>
      </c>
      <c r="AB49" s="11">
        <f>AB48/$B$48*100</f>
        <v>0</v>
      </c>
    </row>
    <row r="50" ht="22" customHeight="1" spans="7:30">
      <c r="G50" s="61" t="s">
        <v>87</v>
      </c>
      <c r="H50" s="62">
        <v>0.5</v>
      </c>
      <c r="I50" s="62">
        <v>0.7</v>
      </c>
      <c r="J50" s="62">
        <v>0.1</v>
      </c>
      <c r="K50" s="62">
        <v>0.1</v>
      </c>
      <c r="L50" s="62">
        <v>0.7</v>
      </c>
      <c r="M50" s="62">
        <v>0.1</v>
      </c>
      <c r="N50" s="62">
        <v>0.1</v>
      </c>
      <c r="O50" s="62">
        <v>0.1</v>
      </c>
      <c r="P50" s="62">
        <v>0.3</v>
      </c>
      <c r="Q50" s="62">
        <v>0.1</v>
      </c>
      <c r="R50" s="62">
        <v>0.1</v>
      </c>
      <c r="S50" s="62">
        <v>1</v>
      </c>
      <c r="T50" s="62">
        <v>0.1</v>
      </c>
      <c r="U50" s="62">
        <v>0.1</v>
      </c>
      <c r="V50" s="62">
        <v>0.1</v>
      </c>
      <c r="W50" s="62">
        <v>0.1</v>
      </c>
      <c r="X50" s="62">
        <v>0.1</v>
      </c>
      <c r="Y50" s="62">
        <v>0.3</v>
      </c>
      <c r="Z50" s="62">
        <v>0.1</v>
      </c>
      <c r="AA50" s="62">
        <v>0.1</v>
      </c>
      <c r="AB50" s="62">
        <v>0.1</v>
      </c>
      <c r="AC50" s="74">
        <f>SUM(H50:AB50)</f>
        <v>5</v>
      </c>
      <c r="AD50" s="75">
        <f>SUM(H49:AB49)</f>
        <v>5.46708815882771</v>
      </c>
    </row>
    <row r="51" ht="21" customHeight="1" spans="7:28">
      <c r="G51" s="18" t="s">
        <v>88</v>
      </c>
      <c r="H51" s="11">
        <f>H50-H49</f>
        <v>-0.337567950839045</v>
      </c>
      <c r="I51" s="11">
        <f t="shared" ref="H51:AB51" si="20">I50-I49</f>
        <v>0.208587410383676</v>
      </c>
      <c r="J51" s="11">
        <f t="shared" si="20"/>
        <v>0.1</v>
      </c>
      <c r="K51" s="11">
        <f t="shared" si="20"/>
        <v>0.0679941700149689</v>
      </c>
      <c r="L51" s="11">
        <f t="shared" si="20"/>
        <v>-0.68659103442843</v>
      </c>
      <c r="M51" s="11">
        <f t="shared" si="20"/>
        <v>0.1</v>
      </c>
      <c r="N51" s="11">
        <f t="shared" si="20"/>
        <v>0.1</v>
      </c>
      <c r="O51" s="11">
        <f t="shared" si="20"/>
        <v>0.1</v>
      </c>
      <c r="P51" s="11">
        <f t="shared" si="20"/>
        <v>0.141448042228</v>
      </c>
      <c r="Q51" s="11">
        <f t="shared" si="20"/>
        <v>-0.446561096667455</v>
      </c>
      <c r="R51" s="11">
        <f t="shared" si="20"/>
        <v>-0.076770660994249</v>
      </c>
      <c r="S51" s="11">
        <f t="shared" si="20"/>
        <v>-0.50181202237454</v>
      </c>
      <c r="T51" s="11">
        <f t="shared" si="20"/>
        <v>0.1</v>
      </c>
      <c r="U51" s="11">
        <f t="shared" si="20"/>
        <v>0.1</v>
      </c>
      <c r="V51" s="11">
        <f t="shared" si="20"/>
        <v>0.1</v>
      </c>
      <c r="W51" s="11">
        <f t="shared" si="20"/>
        <v>0.1</v>
      </c>
      <c r="X51" s="11">
        <f t="shared" si="20"/>
        <v>-0.049196407468684</v>
      </c>
      <c r="Y51" s="11">
        <f t="shared" si="20"/>
        <v>0.194134562357205</v>
      </c>
      <c r="Z51" s="11">
        <f t="shared" si="20"/>
        <v>0.0192468289608446</v>
      </c>
      <c r="AA51" s="11">
        <f t="shared" si="20"/>
        <v>0.1</v>
      </c>
      <c r="AB51" s="11">
        <f t="shared" si="20"/>
        <v>0.1</v>
      </c>
    </row>
    <row r="52" spans="8:28"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</row>
  </sheetData>
  <mergeCells count="18">
    <mergeCell ref="X1:Z1"/>
    <mergeCell ref="AA1:AB1"/>
    <mergeCell ref="X2:Z2"/>
    <mergeCell ref="AA2:AB2"/>
    <mergeCell ref="X3:Z3"/>
    <mergeCell ref="AA3:AB3"/>
    <mergeCell ref="B4:W4"/>
    <mergeCell ref="X4:AB4"/>
    <mergeCell ref="H5:AB5"/>
    <mergeCell ref="A1:A4"/>
    <mergeCell ref="A5:A7"/>
    <mergeCell ref="B5:B7"/>
    <mergeCell ref="C5:C7"/>
    <mergeCell ref="D5:D7"/>
    <mergeCell ref="E5:E7"/>
    <mergeCell ref="F5:F7"/>
    <mergeCell ref="G5:G7"/>
    <mergeCell ref="B1:W3"/>
  </mergeCells>
  <conditionalFormatting sqref="H49:K49">
    <cfRule type="cellIs" dxfId="0" priority="14" operator="lessThan">
      <formula>$J$50</formula>
    </cfRule>
    <cfRule type="cellIs" dxfId="1" priority="15" operator="greaterThan">
      <formula>$J$50</formula>
    </cfRule>
  </conditionalFormatting>
  <conditionalFormatting sqref="L49:O49">
    <cfRule type="cellIs" dxfId="0" priority="12" operator="lessThan">
      <formula>$M$50</formula>
    </cfRule>
    <cfRule type="cellIs" dxfId="1" priority="13" operator="greaterThan">
      <formula>$M$50</formula>
    </cfRule>
  </conditionalFormatting>
  <conditionalFormatting sqref="P49:R49">
    <cfRule type="cellIs" dxfId="0" priority="10" operator="lessThan">
      <formula>$Q$50</formula>
    </cfRule>
    <cfRule type="cellIs" dxfId="1" priority="11" operator="greaterThan">
      <formula>$Q$50</formula>
    </cfRule>
  </conditionalFormatting>
  <conditionalFormatting sqref="S49:X49">
    <cfRule type="cellIs" dxfId="0" priority="8" operator="lessThan">
      <formula>$X$50</formula>
    </cfRule>
    <cfRule type="cellIs" dxfId="1" priority="9" operator="greaterThan">
      <formula>$X$50</formula>
    </cfRule>
  </conditionalFormatting>
  <conditionalFormatting sqref="Y49">
    <cfRule type="cellIs" dxfId="0" priority="6" operator="lessThan">
      <formula>$Y$50</formula>
    </cfRule>
    <cfRule type="cellIs" dxfId="1" priority="7" operator="greaterThan">
      <formula>$Y$50</formula>
    </cfRule>
  </conditionalFormatting>
  <conditionalFormatting sqref="Z49:AB49">
    <cfRule type="cellIs" dxfId="0" priority="4" operator="lessThan">
      <formula>$AA$50</formula>
    </cfRule>
    <cfRule type="cellIs" dxfId="1" priority="5" operator="greaterThan">
      <formula>$AA$50</formula>
    </cfRule>
  </conditionalFormatting>
  <conditionalFormatting sqref="H51">
    <cfRule type="cellIs" dxfId="1" priority="3" operator="lessThan">
      <formula>0</formula>
    </cfRule>
  </conditionalFormatting>
  <conditionalFormatting sqref="H51:AB51">
    <cfRule type="cellIs" dxfId="3" priority="1" operator="greaterThan">
      <formula>0</formula>
    </cfRule>
    <cfRule type="cellIs" dxfId="2" priority="2" operator="lessThan">
      <formula>0</formula>
    </cfRule>
  </conditionalFormatting>
  <pageMargins left="0.251388888888889" right="0.251388888888889" top="0.197222222222222" bottom="0.251388888888889" header="0.298611111111111" footer="0.298611111111111"/>
  <pageSetup paperSize="9" scale="50" orientation="landscape" horizontalDpi="600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D53"/>
  <sheetViews>
    <sheetView zoomScale="85" zoomScaleNormal="85" zoomScalePageLayoutView="85" workbookViewId="0">
      <pane xSplit="1" ySplit="7" topLeftCell="B25" activePane="bottomRight" state="frozen"/>
      <selection/>
      <selection pane="topRight"/>
      <selection pane="bottomLeft"/>
      <selection pane="bottomRight" activeCell="AC50" sqref="AC50"/>
    </sheetView>
  </sheetViews>
  <sheetFormatPr defaultColWidth="9.14285714285714" defaultRowHeight="15"/>
  <cols>
    <col min="1" max="1" width="13.7142857142857" customWidth="1"/>
    <col min="2" max="7" width="10.952380952381" customWidth="1"/>
    <col min="8" max="28" width="8.71428571428571" customWidth="1"/>
    <col min="29" max="29" width="9.14285714285714" style="25"/>
    <col min="30" max="30" width="12.8571428571429"/>
  </cols>
  <sheetData>
    <row r="1" ht="20" customHeight="1" spans="1:28">
      <c r="A1" s="1"/>
      <c r="B1" s="76" t="s">
        <v>82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20" t="s">
        <v>83</v>
      </c>
      <c r="Y1" s="20"/>
      <c r="Z1" s="20"/>
      <c r="AA1" s="21" t="s">
        <v>77</v>
      </c>
      <c r="AB1" s="21"/>
    </row>
    <row r="2" ht="15.75" spans="1:28">
      <c r="A2" s="1"/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20" t="s">
        <v>91</v>
      </c>
      <c r="Y2" s="20"/>
      <c r="Z2" s="20"/>
      <c r="AA2" s="167" t="s">
        <v>89</v>
      </c>
      <c r="AB2" s="21"/>
    </row>
    <row r="3" ht="22" customHeight="1" spans="1:28">
      <c r="A3" s="1"/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20" t="s">
        <v>79</v>
      </c>
      <c r="Y3" s="20"/>
      <c r="Z3" s="20"/>
      <c r="AA3" s="22">
        <v>45607</v>
      </c>
      <c r="AB3" s="21"/>
    </row>
    <row r="4" ht="23.25" spans="1:28">
      <c r="A4" s="1"/>
      <c r="B4" s="78" t="s">
        <v>80</v>
      </c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1" t="s">
        <v>8</v>
      </c>
      <c r="Y4" s="1"/>
      <c r="Z4" s="1"/>
      <c r="AA4" s="1"/>
      <c r="AB4" s="1"/>
    </row>
    <row r="5" spans="1:28">
      <c r="A5" s="34" t="s">
        <v>81</v>
      </c>
      <c r="B5" s="34" t="s">
        <v>12</v>
      </c>
      <c r="C5" s="35" t="s">
        <v>13</v>
      </c>
      <c r="D5" s="35" t="s">
        <v>14</v>
      </c>
      <c r="E5" s="36" t="s">
        <v>90</v>
      </c>
      <c r="F5" s="35" t="s">
        <v>16</v>
      </c>
      <c r="G5" s="34" t="s">
        <v>17</v>
      </c>
      <c r="H5" s="34" t="s">
        <v>18</v>
      </c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</row>
    <row r="6" spans="1:28">
      <c r="A6" s="34"/>
      <c r="B6" s="34"/>
      <c r="C6" s="35"/>
      <c r="D6" s="35"/>
      <c r="E6" s="37"/>
      <c r="F6" s="35"/>
      <c r="G6" s="34"/>
      <c r="H6" s="34">
        <v>1</v>
      </c>
      <c r="I6" s="34">
        <v>2</v>
      </c>
      <c r="J6" s="34">
        <v>3</v>
      </c>
      <c r="K6" s="34">
        <v>4</v>
      </c>
      <c r="L6" s="34">
        <v>5</v>
      </c>
      <c r="M6" s="34">
        <v>6</v>
      </c>
      <c r="N6" s="34">
        <v>7</v>
      </c>
      <c r="O6" s="34">
        <v>8</v>
      </c>
      <c r="P6" s="34">
        <v>9</v>
      </c>
      <c r="Q6" s="34">
        <v>10</v>
      </c>
      <c r="R6" s="34">
        <v>11</v>
      </c>
      <c r="S6" s="34">
        <v>12</v>
      </c>
      <c r="T6" s="34">
        <v>13</v>
      </c>
      <c r="U6" s="34">
        <v>14</v>
      </c>
      <c r="V6" s="34">
        <v>15</v>
      </c>
      <c r="W6" s="34">
        <v>16</v>
      </c>
      <c r="X6" s="34">
        <v>17</v>
      </c>
      <c r="Y6" s="34">
        <v>18</v>
      </c>
      <c r="Z6" s="34">
        <v>19</v>
      </c>
      <c r="AA6" s="34">
        <v>20</v>
      </c>
      <c r="AB6" s="34">
        <v>21</v>
      </c>
    </row>
    <row r="7" spans="1:28">
      <c r="A7" s="34"/>
      <c r="B7" s="34"/>
      <c r="C7" s="35"/>
      <c r="D7" s="35"/>
      <c r="E7" s="38"/>
      <c r="F7" s="35"/>
      <c r="G7" s="34"/>
      <c r="H7" s="34" t="s">
        <v>19</v>
      </c>
      <c r="I7" s="34" t="s">
        <v>20</v>
      </c>
      <c r="J7" s="34" t="s">
        <v>21</v>
      </c>
      <c r="K7" s="34" t="s">
        <v>22</v>
      </c>
      <c r="L7" s="34" t="s">
        <v>23</v>
      </c>
      <c r="M7" s="34" t="s">
        <v>24</v>
      </c>
      <c r="N7" s="34" t="s">
        <v>25</v>
      </c>
      <c r="O7" s="34" t="s">
        <v>26</v>
      </c>
      <c r="P7" s="34" t="s">
        <v>27</v>
      </c>
      <c r="Q7" s="34" t="s">
        <v>28</v>
      </c>
      <c r="R7" s="34" t="s">
        <v>29</v>
      </c>
      <c r="S7" s="34" t="s">
        <v>30</v>
      </c>
      <c r="T7" s="34" t="s">
        <v>31</v>
      </c>
      <c r="U7" s="34" t="s">
        <v>32</v>
      </c>
      <c r="V7" s="34" t="s">
        <v>33</v>
      </c>
      <c r="W7" s="34" t="s">
        <v>34</v>
      </c>
      <c r="X7" s="34" t="s">
        <v>35</v>
      </c>
      <c r="Y7" s="34" t="s">
        <v>36</v>
      </c>
      <c r="Z7" s="34" t="s">
        <v>37</v>
      </c>
      <c r="AA7" s="34" t="s">
        <v>38</v>
      </c>
      <c r="AB7" s="34" t="s">
        <v>39</v>
      </c>
    </row>
    <row r="8" ht="20" customHeight="1" spans="1:28">
      <c r="A8" s="39">
        <v>45992</v>
      </c>
      <c r="B8" s="10">
        <v>6742</v>
      </c>
      <c r="C8" s="10">
        <v>5826</v>
      </c>
      <c r="D8" s="10">
        <v>92</v>
      </c>
      <c r="E8" s="11">
        <f t="shared" ref="E8:E13" si="0">D8/B8*100</f>
        <v>1.36458024325126</v>
      </c>
      <c r="F8" s="40">
        <f t="shared" ref="F8:F13" si="1">B8-(C8+D8)</f>
        <v>824</v>
      </c>
      <c r="G8" s="11">
        <f t="shared" ref="G8:G14" si="2">F8/B8*100</f>
        <v>12.2218926134678</v>
      </c>
      <c r="H8" s="10">
        <v>215</v>
      </c>
      <c r="I8" s="10">
        <v>81</v>
      </c>
      <c r="J8" s="10"/>
      <c r="K8" s="10"/>
      <c r="L8" s="10"/>
      <c r="M8" s="10"/>
      <c r="N8" s="10"/>
      <c r="O8" s="10"/>
      <c r="P8" s="10">
        <v>62</v>
      </c>
      <c r="Q8" s="10">
        <v>49</v>
      </c>
      <c r="R8" s="10"/>
      <c r="S8" s="10">
        <v>176</v>
      </c>
      <c r="T8" s="10"/>
      <c r="U8" s="10"/>
      <c r="V8" s="10"/>
      <c r="W8" s="10"/>
      <c r="X8" s="10">
        <v>54</v>
      </c>
      <c r="Y8" s="10">
        <v>169</v>
      </c>
      <c r="Z8" s="10">
        <v>18</v>
      </c>
      <c r="AA8" s="10"/>
      <c r="AB8" s="10"/>
    </row>
    <row r="9" ht="20" customHeight="1" spans="1:28">
      <c r="A9" s="39">
        <v>45993</v>
      </c>
      <c r="B9" s="41">
        <v>6368</v>
      </c>
      <c r="C9" s="41">
        <v>5785</v>
      </c>
      <c r="D9" s="41">
        <v>84</v>
      </c>
      <c r="E9" s="11">
        <f t="shared" si="0"/>
        <v>1.31909547738693</v>
      </c>
      <c r="F9" s="40">
        <f t="shared" si="1"/>
        <v>499</v>
      </c>
      <c r="G9" s="11">
        <f t="shared" si="2"/>
        <v>7.83605527638191</v>
      </c>
      <c r="H9" s="41">
        <v>21</v>
      </c>
      <c r="I9" s="41">
        <v>115</v>
      </c>
      <c r="J9" s="41"/>
      <c r="K9" s="41"/>
      <c r="L9" s="41">
        <v>106</v>
      </c>
      <c r="M9" s="41"/>
      <c r="N9" s="41"/>
      <c r="O9" s="41"/>
      <c r="P9" s="41"/>
      <c r="Q9" s="41">
        <v>23</v>
      </c>
      <c r="R9" s="41"/>
      <c r="S9" s="41">
        <v>93</v>
      </c>
      <c r="T9" s="41"/>
      <c r="U9" s="41"/>
      <c r="V9" s="41"/>
      <c r="W9" s="41"/>
      <c r="X9" s="41"/>
      <c r="Y9" s="41"/>
      <c r="Z9" s="41"/>
      <c r="AA9" s="41"/>
      <c r="AB9" s="10"/>
    </row>
    <row r="10" ht="20" customHeight="1" spans="1:28">
      <c r="A10" s="39">
        <v>45994</v>
      </c>
      <c r="B10" s="41">
        <v>0</v>
      </c>
      <c r="C10" s="41">
        <v>0</v>
      </c>
      <c r="D10" s="41">
        <v>0</v>
      </c>
      <c r="E10" s="11" t="e">
        <f t="shared" si="0"/>
        <v>#DIV/0!</v>
      </c>
      <c r="F10" s="40">
        <f t="shared" si="1"/>
        <v>0</v>
      </c>
      <c r="G10" s="11" t="e">
        <f t="shared" si="2"/>
        <v>#DIV/0!</v>
      </c>
      <c r="H10" s="41">
        <v>0</v>
      </c>
      <c r="I10" s="41">
        <v>0</v>
      </c>
      <c r="J10" s="41">
        <v>0</v>
      </c>
      <c r="K10" s="41">
        <v>0</v>
      </c>
      <c r="L10" s="41">
        <v>0</v>
      </c>
      <c r="M10" s="41">
        <v>0</v>
      </c>
      <c r="N10" s="41">
        <v>0</v>
      </c>
      <c r="O10" s="41">
        <v>0</v>
      </c>
      <c r="P10" s="41">
        <v>0</v>
      </c>
      <c r="Q10" s="41">
        <v>0</v>
      </c>
      <c r="R10" s="41">
        <v>0</v>
      </c>
      <c r="S10" s="41">
        <v>0</v>
      </c>
      <c r="T10" s="41">
        <v>0</v>
      </c>
      <c r="U10" s="41">
        <v>0</v>
      </c>
      <c r="V10" s="41">
        <v>0</v>
      </c>
      <c r="W10" s="41">
        <v>0</v>
      </c>
      <c r="X10" s="168" t="s">
        <v>89</v>
      </c>
      <c r="Y10" s="41">
        <v>0</v>
      </c>
      <c r="Z10" s="41">
        <v>0</v>
      </c>
      <c r="AA10" s="41">
        <v>0</v>
      </c>
      <c r="AB10" s="10">
        <v>0</v>
      </c>
    </row>
    <row r="11" ht="20" customHeight="1" spans="1:28">
      <c r="A11" s="39">
        <v>45995</v>
      </c>
      <c r="B11" s="41">
        <v>4174</v>
      </c>
      <c r="C11" s="41">
        <v>3527</v>
      </c>
      <c r="D11" s="41">
        <v>224</v>
      </c>
      <c r="E11" s="11">
        <f t="shared" si="0"/>
        <v>5.36655486344034</v>
      </c>
      <c r="F11" s="40">
        <f t="shared" si="1"/>
        <v>423</v>
      </c>
      <c r="G11" s="11">
        <f t="shared" si="2"/>
        <v>10.134163871586</v>
      </c>
      <c r="H11" s="41">
        <v>48</v>
      </c>
      <c r="I11" s="41">
        <v>18</v>
      </c>
      <c r="J11" s="41"/>
      <c r="K11" s="41"/>
      <c r="L11" s="41">
        <v>5</v>
      </c>
      <c r="M11" s="41"/>
      <c r="N11" s="41"/>
      <c r="O11" s="41"/>
      <c r="P11" s="41">
        <v>9</v>
      </c>
      <c r="Q11" s="41">
        <v>29</v>
      </c>
      <c r="R11" s="41">
        <v>35</v>
      </c>
      <c r="S11" s="41">
        <v>57</v>
      </c>
      <c r="T11" s="41"/>
      <c r="U11" s="41"/>
      <c r="V11" s="41"/>
      <c r="W11" s="41"/>
      <c r="X11" s="41">
        <v>45</v>
      </c>
      <c r="Y11" s="41">
        <v>14</v>
      </c>
      <c r="Z11" s="41"/>
      <c r="AA11" s="41"/>
      <c r="AB11" s="10"/>
    </row>
    <row r="12" ht="20" customHeight="1" spans="1:28">
      <c r="A12" s="39">
        <v>45996</v>
      </c>
      <c r="B12" s="41">
        <v>7237</v>
      </c>
      <c r="C12" s="41">
        <v>5946</v>
      </c>
      <c r="D12" s="41">
        <v>355</v>
      </c>
      <c r="E12" s="11">
        <f t="shared" si="0"/>
        <v>4.90534751969048</v>
      </c>
      <c r="F12" s="40">
        <f t="shared" si="1"/>
        <v>936</v>
      </c>
      <c r="G12" s="11">
        <f t="shared" si="2"/>
        <v>12.9335359955783</v>
      </c>
      <c r="H12" s="41">
        <v>19</v>
      </c>
      <c r="I12" s="41">
        <v>456</v>
      </c>
      <c r="J12" s="41"/>
      <c r="K12" s="41"/>
      <c r="L12" s="41">
        <v>277</v>
      </c>
      <c r="M12" s="41"/>
      <c r="N12" s="41"/>
      <c r="O12" s="41"/>
      <c r="P12" s="41">
        <v>3</v>
      </c>
      <c r="Q12" s="41">
        <v>117</v>
      </c>
      <c r="R12" s="41"/>
      <c r="S12" s="41">
        <v>64</v>
      </c>
      <c r="T12" s="41"/>
      <c r="U12" s="41"/>
      <c r="V12" s="41"/>
      <c r="W12" s="41"/>
      <c r="X12" s="41"/>
      <c r="Y12" s="41"/>
      <c r="Z12" s="41"/>
      <c r="AA12" s="41"/>
      <c r="AB12" s="10"/>
    </row>
    <row r="13" ht="20" customHeight="1" spans="1:28">
      <c r="A13" s="39">
        <v>45997</v>
      </c>
      <c r="B13" s="41">
        <v>9097</v>
      </c>
      <c r="C13" s="41">
        <v>7793</v>
      </c>
      <c r="D13" s="41">
        <v>483</v>
      </c>
      <c r="E13" s="11">
        <f t="shared" si="0"/>
        <v>5.30944267340882</v>
      </c>
      <c r="F13" s="40">
        <f t="shared" si="1"/>
        <v>821</v>
      </c>
      <c r="G13" s="11">
        <f t="shared" si="2"/>
        <v>9.02495328130153</v>
      </c>
      <c r="H13" s="41">
        <v>63</v>
      </c>
      <c r="I13" s="41">
        <v>279</v>
      </c>
      <c r="J13" s="41"/>
      <c r="K13" s="41"/>
      <c r="L13" s="41">
        <v>178</v>
      </c>
      <c r="M13" s="41"/>
      <c r="N13" s="41"/>
      <c r="O13" s="41"/>
      <c r="P13" s="41">
        <v>5</v>
      </c>
      <c r="Q13" s="41">
        <v>103</v>
      </c>
      <c r="R13" s="41"/>
      <c r="S13" s="41">
        <v>117</v>
      </c>
      <c r="T13" s="41"/>
      <c r="U13" s="41"/>
      <c r="V13" s="41"/>
      <c r="W13" s="41"/>
      <c r="X13" s="41">
        <v>59</v>
      </c>
      <c r="Y13" s="41">
        <v>17</v>
      </c>
      <c r="Z13" s="41"/>
      <c r="AA13" s="41"/>
      <c r="AB13" s="10"/>
    </row>
    <row r="14" ht="20" customHeight="1" spans="1:28">
      <c r="A14" s="42" t="s">
        <v>40</v>
      </c>
      <c r="B14" s="43">
        <f>SUM(B8:B13)</f>
        <v>33618</v>
      </c>
      <c r="C14" s="43">
        <f>SUM(C8:C13)</f>
        <v>28877</v>
      </c>
      <c r="D14" s="43">
        <f>SUM(D8:D13)</f>
        <v>1238</v>
      </c>
      <c r="E14" s="44" t="e">
        <f>SUM(E8:E13)</f>
        <v>#DIV/0!</v>
      </c>
      <c r="F14" s="43">
        <f>SUM(F8:F13)</f>
        <v>3503</v>
      </c>
      <c r="G14" s="44">
        <f t="shared" si="2"/>
        <v>10.4200130882265</v>
      </c>
      <c r="H14" s="43">
        <f t="shared" ref="C14:AB14" si="3">SUM(H8:H13)</f>
        <v>366</v>
      </c>
      <c r="I14" s="43">
        <f t="shared" si="3"/>
        <v>949</v>
      </c>
      <c r="J14" s="43">
        <f t="shared" si="3"/>
        <v>0</v>
      </c>
      <c r="K14" s="43">
        <f t="shared" si="3"/>
        <v>0</v>
      </c>
      <c r="L14" s="43">
        <f t="shared" si="3"/>
        <v>566</v>
      </c>
      <c r="M14" s="43">
        <f t="shared" si="3"/>
        <v>0</v>
      </c>
      <c r="N14" s="43">
        <f t="shared" si="3"/>
        <v>0</v>
      </c>
      <c r="O14" s="43">
        <f t="shared" si="3"/>
        <v>0</v>
      </c>
      <c r="P14" s="43">
        <f t="shared" si="3"/>
        <v>79</v>
      </c>
      <c r="Q14" s="43">
        <f t="shared" si="3"/>
        <v>321</v>
      </c>
      <c r="R14" s="43">
        <f t="shared" si="3"/>
        <v>35</v>
      </c>
      <c r="S14" s="43">
        <f t="shared" si="3"/>
        <v>507</v>
      </c>
      <c r="T14" s="43">
        <f t="shared" si="3"/>
        <v>0</v>
      </c>
      <c r="U14" s="43">
        <f t="shared" si="3"/>
        <v>0</v>
      </c>
      <c r="V14" s="43">
        <f t="shared" si="3"/>
        <v>0</v>
      </c>
      <c r="W14" s="43">
        <f t="shared" si="3"/>
        <v>0</v>
      </c>
      <c r="X14" s="43">
        <f t="shared" si="3"/>
        <v>158</v>
      </c>
      <c r="Y14" s="43">
        <f t="shared" si="3"/>
        <v>200</v>
      </c>
      <c r="Z14" s="43">
        <f t="shared" si="3"/>
        <v>18</v>
      </c>
      <c r="AA14" s="43">
        <f t="shared" si="3"/>
        <v>0</v>
      </c>
      <c r="AB14" s="43">
        <f t="shared" si="3"/>
        <v>0</v>
      </c>
    </row>
    <row r="15" ht="20" customHeight="1" spans="1:29">
      <c r="A15" s="45" t="s">
        <v>84</v>
      </c>
      <c r="B15" s="46"/>
      <c r="C15" s="47">
        <f>C14/$B$14*100</f>
        <v>85.8974358974359</v>
      </c>
      <c r="D15" s="47">
        <f>D14/$B$14*100</f>
        <v>3.68255101433756</v>
      </c>
      <c r="E15" s="47" t="e">
        <f>E14/$B$14*100</f>
        <v>#DIV/0!</v>
      </c>
      <c r="F15" s="47">
        <f>F14/$B$14*100</f>
        <v>10.4200130882265</v>
      </c>
      <c r="G15" s="47">
        <f>G14/$B$14*100</f>
        <v>0.0309953390690301</v>
      </c>
      <c r="H15" s="47">
        <f>H14/$B$14*100</f>
        <v>1.08870248081385</v>
      </c>
      <c r="I15" s="47">
        <f>I14/$B$14*100</f>
        <v>2.82289249806651</v>
      </c>
      <c r="J15" s="47">
        <f>J14/$B$14*100</f>
        <v>0</v>
      </c>
      <c r="K15" s="47">
        <f>K14/$B$14*100</f>
        <v>0</v>
      </c>
      <c r="L15" s="47">
        <f>L14/$B$14*100</f>
        <v>1.68362186923672</v>
      </c>
      <c r="M15" s="47">
        <f>M14/$B$14*100</f>
        <v>0</v>
      </c>
      <c r="N15" s="47">
        <f>N14/$B$14*100</f>
        <v>0</v>
      </c>
      <c r="O15" s="47">
        <f>O14/$B$14*100</f>
        <v>0</v>
      </c>
      <c r="P15" s="47">
        <f>P14/$B$14*100</f>
        <v>0.234993158427033</v>
      </c>
      <c r="Q15" s="47">
        <f>Q14/$B$14*100</f>
        <v>0.954845618418704</v>
      </c>
      <c r="R15" s="47">
        <f>R14/$B$14*100</f>
        <v>0.104110892974002</v>
      </c>
      <c r="S15" s="47">
        <f>S14/$B$14*100</f>
        <v>1.50812064965197</v>
      </c>
      <c r="T15" s="47">
        <f>T14/$B$14*100</f>
        <v>0</v>
      </c>
      <c r="U15" s="47">
        <f>U14/$B$14*100</f>
        <v>0</v>
      </c>
      <c r="V15" s="47">
        <f>V14/$B$14*100</f>
        <v>0</v>
      </c>
      <c r="W15" s="47">
        <f>W14/$B$14*100</f>
        <v>0</v>
      </c>
      <c r="X15" s="47">
        <f>X14/$B$14*100</f>
        <v>0.469986316854066</v>
      </c>
      <c r="Y15" s="47">
        <f>Y14/$B$14*100</f>
        <v>0.594919388422869</v>
      </c>
      <c r="Z15" s="47">
        <f>Z14/$B$14*100</f>
        <v>0.0535427449580582</v>
      </c>
      <c r="AA15" s="47">
        <f>AA14/$B$14*100</f>
        <v>0</v>
      </c>
      <c r="AB15" s="47">
        <f>AB14/$B$14*100</f>
        <v>0</v>
      </c>
      <c r="AC15" s="69">
        <f>SUM(H15:AB15)</f>
        <v>9.51573561782379</v>
      </c>
    </row>
    <row r="16" ht="20" customHeight="1" spans="1:28">
      <c r="A16" s="48">
        <v>45998</v>
      </c>
      <c r="B16" s="49"/>
      <c r="C16" s="49"/>
      <c r="D16" s="49"/>
      <c r="E16" s="50" t="e">
        <f t="shared" ref="E14:E23" si="4">D16/B16*100</f>
        <v>#DIV/0!</v>
      </c>
      <c r="F16" s="49">
        <f t="shared" ref="F14:F22" si="5">B16-(C16+D16)</f>
        <v>0</v>
      </c>
      <c r="G16" s="50" t="e">
        <f t="shared" ref="G14:G22" si="6">F16/B16*100</f>
        <v>#DIV/0!</v>
      </c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</row>
    <row r="17" ht="20" customHeight="1" spans="1:28">
      <c r="A17" s="51">
        <v>45999</v>
      </c>
      <c r="B17" s="10">
        <v>12238</v>
      </c>
      <c r="C17" s="10">
        <v>11521</v>
      </c>
      <c r="D17" s="10">
        <v>153</v>
      </c>
      <c r="E17" s="11">
        <f t="shared" si="4"/>
        <v>1.25020428174538</v>
      </c>
      <c r="F17" s="10">
        <f t="shared" si="5"/>
        <v>564</v>
      </c>
      <c r="G17" s="11">
        <f t="shared" si="6"/>
        <v>4.60859617584573</v>
      </c>
      <c r="H17" s="10">
        <v>172</v>
      </c>
      <c r="I17" s="10">
        <v>178</v>
      </c>
      <c r="J17" s="10"/>
      <c r="K17" s="10"/>
      <c r="L17" s="10"/>
      <c r="M17" s="10"/>
      <c r="N17" s="10"/>
      <c r="O17" s="10"/>
      <c r="P17" s="10"/>
      <c r="Q17" s="10"/>
      <c r="R17" s="10"/>
      <c r="S17" s="10">
        <v>188</v>
      </c>
      <c r="T17" s="10"/>
      <c r="U17" s="10"/>
      <c r="V17" s="10"/>
      <c r="W17" s="10"/>
      <c r="X17" s="10"/>
      <c r="Y17" s="10">
        <v>26</v>
      </c>
      <c r="Z17" s="10"/>
      <c r="AA17" s="10"/>
      <c r="AB17" s="10"/>
    </row>
    <row r="18" ht="20" customHeight="1" spans="1:28">
      <c r="A18" s="51">
        <v>46000</v>
      </c>
      <c r="B18" s="10">
        <v>8714</v>
      </c>
      <c r="C18" s="10">
        <v>7840</v>
      </c>
      <c r="D18" s="10">
        <v>224</v>
      </c>
      <c r="E18" s="11">
        <f t="shared" si="4"/>
        <v>2.57057608446179</v>
      </c>
      <c r="F18" s="10">
        <f t="shared" si="5"/>
        <v>650</v>
      </c>
      <c r="G18" s="11">
        <f t="shared" si="6"/>
        <v>7.45926095937572</v>
      </c>
      <c r="H18" s="10">
        <v>484</v>
      </c>
      <c r="I18" s="10">
        <v>28</v>
      </c>
      <c r="J18" s="10"/>
      <c r="K18" s="10"/>
      <c r="L18" s="10">
        <v>46</v>
      </c>
      <c r="M18" s="10"/>
      <c r="N18" s="10"/>
      <c r="O18" s="10"/>
      <c r="P18" s="10">
        <v>4</v>
      </c>
      <c r="Q18" s="10"/>
      <c r="R18" s="10"/>
      <c r="S18" s="10">
        <v>74</v>
      </c>
      <c r="T18" s="10"/>
      <c r="U18" s="10"/>
      <c r="V18" s="10"/>
      <c r="W18" s="10"/>
      <c r="X18" s="10">
        <v>10</v>
      </c>
      <c r="Y18" s="10"/>
      <c r="Z18" s="10">
        <v>4</v>
      </c>
      <c r="AA18" s="10"/>
      <c r="AB18" s="10"/>
    </row>
    <row r="19" s="23" customFormat="1" ht="20" customHeight="1" spans="1:29">
      <c r="A19" s="51">
        <v>46001</v>
      </c>
      <c r="B19" s="40">
        <v>8310</v>
      </c>
      <c r="C19" s="40">
        <v>7969</v>
      </c>
      <c r="D19" s="40">
        <v>151</v>
      </c>
      <c r="E19" s="11">
        <f t="shared" si="4"/>
        <v>1.81708784596871</v>
      </c>
      <c r="F19" s="40">
        <f t="shared" si="5"/>
        <v>190</v>
      </c>
      <c r="G19" s="52">
        <f t="shared" si="6"/>
        <v>2.28640192539109</v>
      </c>
      <c r="H19" s="40">
        <v>63</v>
      </c>
      <c r="I19" s="40">
        <v>46</v>
      </c>
      <c r="J19" s="40"/>
      <c r="K19" s="40"/>
      <c r="L19" s="40">
        <v>41</v>
      </c>
      <c r="M19" s="40"/>
      <c r="N19" s="40"/>
      <c r="O19" s="40"/>
      <c r="P19" s="40"/>
      <c r="Q19" s="40"/>
      <c r="R19" s="40"/>
      <c r="S19" s="40">
        <v>38</v>
      </c>
      <c r="T19" s="40"/>
      <c r="U19" s="40"/>
      <c r="V19" s="40"/>
      <c r="W19" s="40"/>
      <c r="X19" s="40"/>
      <c r="Y19" s="40"/>
      <c r="Z19" s="40">
        <v>2</v>
      </c>
      <c r="AA19" s="40"/>
      <c r="AB19" s="40"/>
      <c r="AC19" s="70"/>
    </row>
    <row r="20" ht="20" customHeight="1" spans="1:28">
      <c r="A20" s="51">
        <v>46002</v>
      </c>
      <c r="B20" s="10">
        <v>10794</v>
      </c>
      <c r="C20" s="10">
        <v>10566</v>
      </c>
      <c r="D20" s="10">
        <v>85</v>
      </c>
      <c r="E20" s="11">
        <f t="shared" si="4"/>
        <v>0.787474522883083</v>
      </c>
      <c r="F20" s="40">
        <f t="shared" si="5"/>
        <v>143</v>
      </c>
      <c r="G20" s="11">
        <f t="shared" si="6"/>
        <v>1.32481007967389</v>
      </c>
      <c r="H20" s="10">
        <v>41</v>
      </c>
      <c r="I20" s="10">
        <v>36</v>
      </c>
      <c r="J20" s="10"/>
      <c r="K20" s="10"/>
      <c r="L20" s="10">
        <v>27</v>
      </c>
      <c r="M20" s="10"/>
      <c r="N20" s="10"/>
      <c r="O20" s="10"/>
      <c r="P20" s="10"/>
      <c r="Q20" s="10"/>
      <c r="R20" s="10"/>
      <c r="S20" s="10">
        <v>71</v>
      </c>
      <c r="T20" s="10"/>
      <c r="U20" s="10"/>
      <c r="V20" s="10"/>
      <c r="W20" s="10"/>
      <c r="X20" s="10"/>
      <c r="Y20" s="10"/>
      <c r="Z20" s="10">
        <v>4</v>
      </c>
      <c r="AA20" s="10"/>
      <c r="AB20" s="10"/>
    </row>
    <row r="21" ht="20" customHeight="1" spans="1:28">
      <c r="A21" s="51">
        <v>46003</v>
      </c>
      <c r="B21" s="10">
        <v>12012</v>
      </c>
      <c r="C21" s="10">
        <v>11308</v>
      </c>
      <c r="D21" s="10">
        <v>180</v>
      </c>
      <c r="E21" s="11">
        <f t="shared" si="4"/>
        <v>1.4985014985015</v>
      </c>
      <c r="F21" s="40">
        <f t="shared" si="5"/>
        <v>524</v>
      </c>
      <c r="G21" s="11">
        <f t="shared" si="6"/>
        <v>4.36230436230436</v>
      </c>
      <c r="H21" s="10">
        <v>187</v>
      </c>
      <c r="I21" s="10">
        <v>53</v>
      </c>
      <c r="J21" s="10"/>
      <c r="K21" s="10"/>
      <c r="L21" s="10">
        <v>89</v>
      </c>
      <c r="M21" s="10"/>
      <c r="N21" s="10"/>
      <c r="O21" s="10"/>
      <c r="P21" s="10">
        <v>72</v>
      </c>
      <c r="Q21" s="10"/>
      <c r="R21" s="10"/>
      <c r="S21" s="10">
        <v>90</v>
      </c>
      <c r="T21" s="10"/>
      <c r="U21" s="10"/>
      <c r="V21" s="10"/>
      <c r="W21" s="10"/>
      <c r="X21" s="10">
        <v>24</v>
      </c>
      <c r="Y21" s="10">
        <v>7</v>
      </c>
      <c r="Z21" s="10">
        <v>2</v>
      </c>
      <c r="AA21" s="10"/>
      <c r="AB21" s="10"/>
    </row>
    <row r="22" ht="20" customHeight="1" spans="1:28">
      <c r="A22" s="51">
        <v>46004</v>
      </c>
      <c r="B22" s="10">
        <v>12103</v>
      </c>
      <c r="C22" s="10">
        <v>11193</v>
      </c>
      <c r="D22" s="10">
        <v>369</v>
      </c>
      <c r="E22" s="11">
        <f t="shared" si="4"/>
        <v>3.04883086837974</v>
      </c>
      <c r="F22" s="40">
        <f t="shared" si="5"/>
        <v>541</v>
      </c>
      <c r="G22" s="11">
        <f t="shared" si="6"/>
        <v>4.46996612410146</v>
      </c>
      <c r="H22" s="10">
        <v>75</v>
      </c>
      <c r="I22" s="10">
        <v>320</v>
      </c>
      <c r="J22" s="10"/>
      <c r="K22" s="10"/>
      <c r="L22" s="10">
        <v>13</v>
      </c>
      <c r="M22" s="10"/>
      <c r="N22" s="10"/>
      <c r="O22" s="10"/>
      <c r="P22" s="10">
        <v>13</v>
      </c>
      <c r="Q22" s="10"/>
      <c r="R22" s="10"/>
      <c r="S22" s="10">
        <v>72</v>
      </c>
      <c r="T22" s="10"/>
      <c r="U22" s="10"/>
      <c r="V22" s="10"/>
      <c r="W22" s="10"/>
      <c r="X22" s="10">
        <v>45</v>
      </c>
      <c r="Y22" s="10">
        <v>3</v>
      </c>
      <c r="Z22" s="10"/>
      <c r="AA22" s="10"/>
      <c r="AB22" s="10"/>
    </row>
    <row r="23" ht="20" customHeight="1" spans="1:28">
      <c r="A23" s="42" t="s">
        <v>40</v>
      </c>
      <c r="B23" s="43">
        <f t="shared" ref="B23:AB23" si="7">SUM(B16:B22)</f>
        <v>64171</v>
      </c>
      <c r="C23" s="43">
        <f t="shared" si="7"/>
        <v>60397</v>
      </c>
      <c r="D23" s="43">
        <f t="shared" si="7"/>
        <v>1162</v>
      </c>
      <c r="E23" s="44">
        <f t="shared" si="4"/>
        <v>1.81078680400804</v>
      </c>
      <c r="F23" s="43">
        <f t="shared" si="7"/>
        <v>2612</v>
      </c>
      <c r="G23" s="43" t="e">
        <f t="shared" si="7"/>
        <v>#DIV/0!</v>
      </c>
      <c r="H23" s="43">
        <f t="shared" si="7"/>
        <v>1022</v>
      </c>
      <c r="I23" s="43">
        <f t="shared" si="7"/>
        <v>661</v>
      </c>
      <c r="J23" s="43">
        <f t="shared" si="7"/>
        <v>0</v>
      </c>
      <c r="K23" s="43">
        <f t="shared" si="7"/>
        <v>0</v>
      </c>
      <c r="L23" s="43">
        <f t="shared" si="7"/>
        <v>216</v>
      </c>
      <c r="M23" s="43">
        <f t="shared" si="7"/>
        <v>0</v>
      </c>
      <c r="N23" s="43">
        <f t="shared" si="7"/>
        <v>0</v>
      </c>
      <c r="O23" s="43">
        <f t="shared" si="7"/>
        <v>0</v>
      </c>
      <c r="P23" s="43">
        <f t="shared" si="7"/>
        <v>89</v>
      </c>
      <c r="Q23" s="43">
        <f t="shared" si="7"/>
        <v>0</v>
      </c>
      <c r="R23" s="43">
        <f t="shared" si="7"/>
        <v>0</v>
      </c>
      <c r="S23" s="43">
        <f t="shared" si="7"/>
        <v>533</v>
      </c>
      <c r="T23" s="43">
        <f t="shared" si="7"/>
        <v>0</v>
      </c>
      <c r="U23" s="43">
        <f t="shared" si="7"/>
        <v>0</v>
      </c>
      <c r="V23" s="43">
        <f t="shared" si="7"/>
        <v>0</v>
      </c>
      <c r="W23" s="43">
        <f t="shared" si="7"/>
        <v>0</v>
      </c>
      <c r="X23" s="43">
        <f t="shared" si="7"/>
        <v>79</v>
      </c>
      <c r="Y23" s="43">
        <f t="shared" si="7"/>
        <v>36</v>
      </c>
      <c r="Z23" s="43">
        <f t="shared" si="7"/>
        <v>12</v>
      </c>
      <c r="AA23" s="43">
        <f t="shared" si="7"/>
        <v>0</v>
      </c>
      <c r="AB23" s="43">
        <f t="shared" si="7"/>
        <v>0</v>
      </c>
    </row>
    <row r="24" ht="20" customHeight="1" spans="1:29">
      <c r="A24" s="45" t="s">
        <v>84</v>
      </c>
      <c r="B24" s="46"/>
      <c r="C24" s="47">
        <f>C23/$B$23*100</f>
        <v>94.1188387277742</v>
      </c>
      <c r="D24" s="47">
        <f>D23/$B$23*100</f>
        <v>1.81078680400804</v>
      </c>
      <c r="E24" s="47">
        <f>E23/$B$23*100</f>
        <v>0.00282181484472432</v>
      </c>
      <c r="F24" s="47">
        <f>F23/$B$23*100</f>
        <v>4.07037446821773</v>
      </c>
      <c r="G24" s="47" t="e">
        <f>G23/$B$23*100</f>
        <v>#DIV/0!</v>
      </c>
      <c r="H24" s="47">
        <f>H23/$B$23*100</f>
        <v>1.5926197191878</v>
      </c>
      <c r="I24" s="47">
        <f>I23/$B$23*100</f>
        <v>1.03006030761559</v>
      </c>
      <c r="J24" s="47">
        <f>J23/$B$23*100</f>
        <v>0</v>
      </c>
      <c r="K24" s="47">
        <f>K23/$B$23*100</f>
        <v>0</v>
      </c>
      <c r="L24" s="47">
        <f>L23/$B$23*100</f>
        <v>0.336600645151236</v>
      </c>
      <c r="M24" s="47">
        <f>M23/$B$23*100</f>
        <v>0</v>
      </c>
      <c r="N24" s="47">
        <f>N23/$B$23*100</f>
        <v>0</v>
      </c>
      <c r="O24" s="47">
        <f>O23/$B$23*100</f>
        <v>0</v>
      </c>
      <c r="P24" s="47">
        <f>P23/$B$23*100</f>
        <v>0.138691932492871</v>
      </c>
      <c r="Q24" s="47">
        <f>Q23/$B$23*100</f>
        <v>0</v>
      </c>
      <c r="R24" s="47">
        <f>R23/$B$23*100</f>
        <v>0</v>
      </c>
      <c r="S24" s="47">
        <f>S23/$B$23*100</f>
        <v>0.830593258637079</v>
      </c>
      <c r="T24" s="47">
        <f>T23/$B$23*100</f>
        <v>0</v>
      </c>
      <c r="U24" s="47">
        <f>U23/$B$23*100</f>
        <v>0</v>
      </c>
      <c r="V24" s="47">
        <f>V23/$B$23*100</f>
        <v>0</v>
      </c>
      <c r="W24" s="47">
        <f>W23/$B$23*100</f>
        <v>0</v>
      </c>
      <c r="X24" s="47">
        <f>X23/$B$23*100</f>
        <v>0.123108569291424</v>
      </c>
      <c r="Y24" s="47">
        <f>Y23/$B$23*100</f>
        <v>0.0561001075252061</v>
      </c>
      <c r="Z24" s="47">
        <f>Z23/$B$23*100</f>
        <v>0.0187000358417354</v>
      </c>
      <c r="AA24" s="47">
        <f>AA23/$B$23*100</f>
        <v>0</v>
      </c>
      <c r="AB24" s="47">
        <f>AB23/$B$23*100</f>
        <v>0</v>
      </c>
      <c r="AC24" s="69">
        <f>SUM(H24:AB24)</f>
        <v>4.12647457574294</v>
      </c>
    </row>
    <row r="25" ht="20" customHeight="1" spans="1:28">
      <c r="A25" s="48">
        <v>46005</v>
      </c>
      <c r="B25" s="49"/>
      <c r="C25" s="49"/>
      <c r="D25" s="49"/>
      <c r="E25" s="50">
        <v>0</v>
      </c>
      <c r="F25" s="49">
        <f t="shared" ref="F25:F31" si="8">B25-(C25+D25)</f>
        <v>0</v>
      </c>
      <c r="G25" s="50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</row>
    <row r="26" ht="20" customHeight="1" spans="1:28">
      <c r="A26" s="51">
        <v>46006</v>
      </c>
      <c r="B26" s="10">
        <v>9819</v>
      </c>
      <c r="C26" s="10">
        <v>8501</v>
      </c>
      <c r="D26" s="10">
        <v>413</v>
      </c>
      <c r="E26" s="11">
        <f t="shared" ref="E26:E32" si="9">D26/B26*100</f>
        <v>4.20613097056727</v>
      </c>
      <c r="F26" s="10">
        <f t="shared" si="8"/>
        <v>905</v>
      </c>
      <c r="G26" s="11">
        <f t="shared" ref="G26:G31" si="10">F26/B26*100</f>
        <v>9.21682452388227</v>
      </c>
      <c r="H26" s="10">
        <v>70</v>
      </c>
      <c r="I26" s="10">
        <v>514</v>
      </c>
      <c r="J26" s="10"/>
      <c r="K26" s="10"/>
      <c r="L26" s="10">
        <v>113</v>
      </c>
      <c r="M26" s="10"/>
      <c r="N26" s="10"/>
      <c r="O26" s="10"/>
      <c r="P26" s="10">
        <v>17</v>
      </c>
      <c r="Q26" s="10">
        <v>125</v>
      </c>
      <c r="R26" s="10"/>
      <c r="S26" s="10">
        <v>63</v>
      </c>
      <c r="T26" s="10"/>
      <c r="U26" s="10"/>
      <c r="V26" s="10"/>
      <c r="W26" s="10"/>
      <c r="X26" s="10"/>
      <c r="Y26" s="10"/>
      <c r="Z26" s="10">
        <v>3</v>
      </c>
      <c r="AA26" s="10"/>
      <c r="AB26" s="10"/>
    </row>
    <row r="27" ht="20" customHeight="1" spans="1:28">
      <c r="A27" s="51">
        <v>46007</v>
      </c>
      <c r="B27" s="10">
        <v>10616</v>
      </c>
      <c r="C27" s="10">
        <v>10009</v>
      </c>
      <c r="D27" s="10">
        <v>396</v>
      </c>
      <c r="E27" s="11">
        <f t="shared" si="9"/>
        <v>3.73021853805576</v>
      </c>
      <c r="F27" s="10">
        <f t="shared" si="8"/>
        <v>211</v>
      </c>
      <c r="G27" s="11">
        <f t="shared" si="10"/>
        <v>1.98756593820648</v>
      </c>
      <c r="H27" s="10">
        <v>67</v>
      </c>
      <c r="I27" s="10">
        <v>89</v>
      </c>
      <c r="J27" s="10"/>
      <c r="K27" s="10"/>
      <c r="L27" s="10">
        <v>5</v>
      </c>
      <c r="M27" s="10"/>
      <c r="N27" s="10"/>
      <c r="O27" s="10"/>
      <c r="P27" s="10"/>
      <c r="Q27" s="10"/>
      <c r="R27" s="10"/>
      <c r="S27" s="10">
        <v>90</v>
      </c>
      <c r="T27" s="10"/>
      <c r="U27" s="10"/>
      <c r="V27" s="10"/>
      <c r="W27" s="10"/>
      <c r="X27" s="10"/>
      <c r="Y27" s="10"/>
      <c r="Z27" s="10"/>
      <c r="AA27" s="10"/>
      <c r="AB27" s="10"/>
    </row>
    <row r="28" customFormat="1" ht="20" customHeight="1" spans="1:29">
      <c r="A28" s="51">
        <v>46008</v>
      </c>
      <c r="B28" s="10">
        <v>18552</v>
      </c>
      <c r="C28" s="10">
        <v>17458</v>
      </c>
      <c r="D28" s="10">
        <v>361</v>
      </c>
      <c r="E28" s="11">
        <f t="shared" si="9"/>
        <v>1.94588184562311</v>
      </c>
      <c r="F28" s="10">
        <f t="shared" si="8"/>
        <v>733</v>
      </c>
      <c r="G28" s="11">
        <f t="shared" si="10"/>
        <v>3.95105648986632</v>
      </c>
      <c r="H28" s="10">
        <v>124</v>
      </c>
      <c r="I28" s="10">
        <v>286</v>
      </c>
      <c r="J28" s="10"/>
      <c r="K28" s="10"/>
      <c r="L28" s="10">
        <v>167</v>
      </c>
      <c r="M28" s="10"/>
      <c r="N28" s="10"/>
      <c r="O28" s="10"/>
      <c r="P28" s="10">
        <v>29</v>
      </c>
      <c r="Q28" s="10"/>
      <c r="R28" s="10"/>
      <c r="S28" s="10">
        <v>127</v>
      </c>
      <c r="T28" s="10"/>
      <c r="U28" s="10"/>
      <c r="V28" s="10"/>
      <c r="W28" s="10"/>
      <c r="X28" s="10"/>
      <c r="Y28" s="10"/>
      <c r="Z28" s="10"/>
      <c r="AA28" s="10"/>
      <c r="AB28" s="10"/>
      <c r="AC28" s="25"/>
    </row>
    <row r="29" customFormat="1" ht="20" customHeight="1" spans="1:29">
      <c r="A29" s="51">
        <v>46009</v>
      </c>
      <c r="B29" s="10">
        <v>11312</v>
      </c>
      <c r="C29" s="10">
        <v>10295</v>
      </c>
      <c r="D29" s="10">
        <v>746</v>
      </c>
      <c r="E29" s="11">
        <f t="shared" si="9"/>
        <v>6.59476661951909</v>
      </c>
      <c r="F29" s="10">
        <f t="shared" si="8"/>
        <v>271</v>
      </c>
      <c r="G29" s="11">
        <f t="shared" si="10"/>
        <v>2.39568599717115</v>
      </c>
      <c r="H29" s="10">
        <v>90</v>
      </c>
      <c r="I29" s="10">
        <v>7</v>
      </c>
      <c r="J29" s="10"/>
      <c r="K29" s="10"/>
      <c r="L29" s="10">
        <v>37</v>
      </c>
      <c r="M29" s="10"/>
      <c r="N29" s="10"/>
      <c r="O29" s="10"/>
      <c r="P29" s="10">
        <v>35</v>
      </c>
      <c r="Q29" s="10"/>
      <c r="R29" s="10"/>
      <c r="S29" s="10">
        <v>101</v>
      </c>
      <c r="T29" s="10"/>
      <c r="U29" s="10"/>
      <c r="V29" s="10"/>
      <c r="W29" s="10"/>
      <c r="X29" s="10"/>
      <c r="Y29" s="10">
        <v>1</v>
      </c>
      <c r="Z29" s="10"/>
      <c r="AA29" s="10"/>
      <c r="AB29" s="10"/>
      <c r="AC29" s="25"/>
    </row>
    <row r="30" s="23" customFormat="1" ht="20" customHeight="1" spans="1:29">
      <c r="A30" s="51">
        <v>46010</v>
      </c>
      <c r="B30" s="40">
        <v>17524</v>
      </c>
      <c r="C30" s="40">
        <v>16477</v>
      </c>
      <c r="D30" s="40">
        <v>517</v>
      </c>
      <c r="E30" s="11">
        <f t="shared" si="9"/>
        <v>2.95023967130792</v>
      </c>
      <c r="F30" s="10">
        <f t="shared" si="8"/>
        <v>530</v>
      </c>
      <c r="G30" s="11">
        <f t="shared" si="10"/>
        <v>3.02442364756905</v>
      </c>
      <c r="H30" s="40">
        <v>129</v>
      </c>
      <c r="I30" s="40">
        <v>73</v>
      </c>
      <c r="J30" s="40"/>
      <c r="K30" s="40"/>
      <c r="L30" s="40">
        <v>44</v>
      </c>
      <c r="M30" s="40"/>
      <c r="N30" s="40"/>
      <c r="O30" s="40"/>
      <c r="P30" s="40">
        <v>86</v>
      </c>
      <c r="Q30" s="40"/>
      <c r="R30" s="40"/>
      <c r="S30" s="40">
        <v>195</v>
      </c>
      <c r="T30" s="40"/>
      <c r="U30" s="40"/>
      <c r="V30" s="40"/>
      <c r="W30" s="40"/>
      <c r="X30" s="40"/>
      <c r="Y30" s="40"/>
      <c r="Z30" s="40">
        <v>3</v>
      </c>
      <c r="AA30" s="40"/>
      <c r="AB30" s="40"/>
      <c r="AC30" s="70"/>
    </row>
    <row r="31" ht="20" customHeight="1" spans="1:28">
      <c r="A31" s="51">
        <v>46011</v>
      </c>
      <c r="B31" s="10">
        <v>9560</v>
      </c>
      <c r="C31" s="10">
        <v>8974</v>
      </c>
      <c r="D31" s="10">
        <v>242</v>
      </c>
      <c r="E31" s="11">
        <f t="shared" si="9"/>
        <v>2.53138075313808</v>
      </c>
      <c r="F31" s="10">
        <f t="shared" si="8"/>
        <v>344</v>
      </c>
      <c r="G31" s="11">
        <f t="shared" si="10"/>
        <v>3.59832635983264</v>
      </c>
      <c r="H31" s="10">
        <v>77</v>
      </c>
      <c r="I31" s="10">
        <v>42</v>
      </c>
      <c r="J31" s="10"/>
      <c r="K31" s="10"/>
      <c r="L31" s="10">
        <v>3</v>
      </c>
      <c r="M31" s="10"/>
      <c r="N31" s="10"/>
      <c r="O31" s="10"/>
      <c r="P31" s="10">
        <v>161</v>
      </c>
      <c r="Q31" s="10"/>
      <c r="R31" s="10"/>
      <c r="S31" s="10">
        <v>50</v>
      </c>
      <c r="T31" s="10"/>
      <c r="U31" s="10"/>
      <c r="V31" s="10"/>
      <c r="W31" s="10"/>
      <c r="X31" s="10"/>
      <c r="Y31" s="10"/>
      <c r="Z31" s="10">
        <v>11</v>
      </c>
      <c r="AA31" s="10"/>
      <c r="AB31" s="10"/>
    </row>
    <row r="32" ht="20" customHeight="1" spans="1:28">
      <c r="A32" s="42" t="s">
        <v>40</v>
      </c>
      <c r="B32" s="43">
        <f t="shared" ref="B32:AB32" si="11">SUM(B25:B31)</f>
        <v>77383</v>
      </c>
      <c r="C32" s="43">
        <f t="shared" si="11"/>
        <v>71714</v>
      </c>
      <c r="D32" s="43">
        <f t="shared" si="11"/>
        <v>2675</v>
      </c>
      <c r="E32" s="44">
        <f t="shared" si="9"/>
        <v>3.45683160384064</v>
      </c>
      <c r="F32" s="43">
        <f t="shared" si="11"/>
        <v>2994</v>
      </c>
      <c r="G32" s="44">
        <f t="shared" si="11"/>
        <v>24.1738829565279</v>
      </c>
      <c r="H32" s="43">
        <f t="shared" si="11"/>
        <v>557</v>
      </c>
      <c r="I32" s="43">
        <f t="shared" si="11"/>
        <v>1011</v>
      </c>
      <c r="J32" s="43">
        <f t="shared" si="11"/>
        <v>0</v>
      </c>
      <c r="K32" s="43">
        <f t="shared" si="11"/>
        <v>0</v>
      </c>
      <c r="L32" s="43">
        <f t="shared" si="11"/>
        <v>369</v>
      </c>
      <c r="M32" s="43">
        <f t="shared" si="11"/>
        <v>0</v>
      </c>
      <c r="N32" s="43">
        <f t="shared" si="11"/>
        <v>0</v>
      </c>
      <c r="O32" s="43">
        <f t="shared" si="11"/>
        <v>0</v>
      </c>
      <c r="P32" s="43">
        <f t="shared" si="11"/>
        <v>328</v>
      </c>
      <c r="Q32" s="43">
        <f t="shared" si="11"/>
        <v>125</v>
      </c>
      <c r="R32" s="43">
        <f t="shared" si="11"/>
        <v>0</v>
      </c>
      <c r="S32" s="43">
        <f t="shared" si="11"/>
        <v>626</v>
      </c>
      <c r="T32" s="43">
        <f t="shared" si="11"/>
        <v>0</v>
      </c>
      <c r="U32" s="43">
        <f t="shared" si="11"/>
        <v>0</v>
      </c>
      <c r="V32" s="43">
        <f t="shared" si="11"/>
        <v>0</v>
      </c>
      <c r="W32" s="43">
        <f t="shared" si="11"/>
        <v>0</v>
      </c>
      <c r="X32" s="43">
        <f t="shared" si="11"/>
        <v>0</v>
      </c>
      <c r="Y32" s="43">
        <f t="shared" si="11"/>
        <v>1</v>
      </c>
      <c r="Z32" s="43">
        <f t="shared" si="11"/>
        <v>17</v>
      </c>
      <c r="AA32" s="43">
        <f t="shared" si="11"/>
        <v>0</v>
      </c>
      <c r="AB32" s="43">
        <f t="shared" si="11"/>
        <v>0</v>
      </c>
    </row>
    <row r="33" ht="20" customHeight="1" spans="1:29">
      <c r="A33" s="45" t="s">
        <v>84</v>
      </c>
      <c r="B33" s="46"/>
      <c r="C33" s="47">
        <f>C32/$B$32*100</f>
        <v>92.6741015468514</v>
      </c>
      <c r="D33" s="47">
        <f>D32/$B$32*100</f>
        <v>3.45683160384064</v>
      </c>
      <c r="E33" s="47"/>
      <c r="F33" s="47">
        <f>F32/$B$32*100</f>
        <v>3.86906684930799</v>
      </c>
      <c r="G33" s="47">
        <f>G32/$B$32*100</f>
        <v>0.0312392682585683</v>
      </c>
      <c r="H33" s="47">
        <f>H32/$B$32*100</f>
        <v>0.71979633769691</v>
      </c>
      <c r="I33" s="47">
        <f>I32/$B$32*100</f>
        <v>1.30648850522725</v>
      </c>
      <c r="J33" s="47">
        <f>J32/$B$32*100</f>
        <v>0</v>
      </c>
      <c r="K33" s="47">
        <f>K32/$B$32*100</f>
        <v>0</v>
      </c>
      <c r="L33" s="47">
        <f>L32/$B$32*100</f>
        <v>0.476848920305493</v>
      </c>
      <c r="M33" s="47">
        <f>M32/$B$32*100</f>
        <v>0</v>
      </c>
      <c r="N33" s="47">
        <f>N32/$B$32*100</f>
        <v>0</v>
      </c>
      <c r="O33" s="47">
        <f>O32/$B$32*100</f>
        <v>0</v>
      </c>
      <c r="P33" s="47">
        <f>P32/$B$32*100</f>
        <v>0.423865706938216</v>
      </c>
      <c r="Q33" s="47">
        <f>Q32/$B$32*100</f>
        <v>0.161534187095357</v>
      </c>
      <c r="R33" s="47">
        <f>R32/$B$32*100</f>
        <v>0</v>
      </c>
      <c r="S33" s="47">
        <f>S32/$B$32*100</f>
        <v>0.808963208973547</v>
      </c>
      <c r="T33" s="47">
        <f>T32/$B$32*100</f>
        <v>0</v>
      </c>
      <c r="U33" s="47">
        <f>U32/$B$32*100</f>
        <v>0</v>
      </c>
      <c r="V33" s="47">
        <f>V32/$B$32*100</f>
        <v>0</v>
      </c>
      <c r="W33" s="47">
        <f>W32/$B$32*100</f>
        <v>0</v>
      </c>
      <c r="X33" s="47">
        <f>X32/$B$32*100</f>
        <v>0</v>
      </c>
      <c r="Y33" s="47">
        <f>Y32/$B$32*100</f>
        <v>0.00129227349676285</v>
      </c>
      <c r="Z33" s="47">
        <f>Z32/$B$32*100</f>
        <v>0.0219686494449685</v>
      </c>
      <c r="AA33" s="47">
        <f>AA32/$B$32*100</f>
        <v>0</v>
      </c>
      <c r="AB33" s="47">
        <f>AB32/$B$32*100</f>
        <v>0</v>
      </c>
      <c r="AC33" s="69">
        <f>SUM(H33:AB33)</f>
        <v>3.9207577891785</v>
      </c>
    </row>
    <row r="34" s="24" customFormat="1" ht="20" customHeight="1" spans="1:29">
      <c r="A34" s="53">
        <v>46012</v>
      </c>
      <c r="B34" s="54"/>
      <c r="C34" s="54"/>
      <c r="D34" s="54"/>
      <c r="E34" s="55" t="e">
        <f t="shared" ref="E34:E41" si="12">D34/B34*100</f>
        <v>#DIV/0!</v>
      </c>
      <c r="F34" s="54">
        <f t="shared" ref="F34:F40" si="13">B34-(C34+D34)</f>
        <v>0</v>
      </c>
      <c r="G34" s="55" t="e">
        <f t="shared" ref="G34:G40" si="14">F34/B34*100</f>
        <v>#DIV/0!</v>
      </c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71"/>
    </row>
    <row r="35" ht="20" customHeight="1" spans="1:28">
      <c r="A35" s="51">
        <v>46013</v>
      </c>
      <c r="B35" s="40">
        <v>19600</v>
      </c>
      <c r="C35" s="40">
        <v>15385</v>
      </c>
      <c r="D35" s="40">
        <v>809</v>
      </c>
      <c r="E35" s="11">
        <f t="shared" si="12"/>
        <v>4.12755102040816</v>
      </c>
      <c r="F35" s="10">
        <f t="shared" si="13"/>
        <v>3406</v>
      </c>
      <c r="G35" s="11">
        <f t="shared" si="14"/>
        <v>17.3775510204082</v>
      </c>
      <c r="H35" s="40">
        <v>205</v>
      </c>
      <c r="I35" s="40">
        <v>23</v>
      </c>
      <c r="J35" s="40"/>
      <c r="K35" s="40"/>
      <c r="L35" s="40">
        <v>31</v>
      </c>
      <c r="M35" s="40"/>
      <c r="N35" s="40"/>
      <c r="O35" s="40"/>
      <c r="P35" s="40">
        <v>202</v>
      </c>
      <c r="Q35" s="40"/>
      <c r="R35" s="40"/>
      <c r="S35" s="40">
        <v>109</v>
      </c>
      <c r="T35" s="40"/>
      <c r="U35" s="40"/>
      <c r="V35" s="40"/>
      <c r="W35" s="40"/>
      <c r="X35" s="40">
        <v>1</v>
      </c>
      <c r="Y35" s="40">
        <v>9</v>
      </c>
      <c r="Z35" s="40">
        <v>25</v>
      </c>
      <c r="AA35" s="40"/>
      <c r="AB35" s="40"/>
    </row>
    <row r="36" ht="20" customHeight="1" spans="1:28">
      <c r="A36" s="51">
        <v>46014</v>
      </c>
      <c r="B36" s="40">
        <v>19123</v>
      </c>
      <c r="C36" s="40">
        <v>17919</v>
      </c>
      <c r="D36" s="40">
        <v>446</v>
      </c>
      <c r="E36" s="11">
        <f t="shared" si="12"/>
        <v>2.33227004131151</v>
      </c>
      <c r="F36" s="10">
        <f t="shared" si="13"/>
        <v>758</v>
      </c>
      <c r="G36" s="11">
        <f t="shared" si="14"/>
        <v>3.96381320922449</v>
      </c>
      <c r="H36" s="40">
        <v>119</v>
      </c>
      <c r="I36" s="40">
        <v>36</v>
      </c>
      <c r="J36" s="40"/>
      <c r="K36" s="40"/>
      <c r="L36" s="40">
        <v>22</v>
      </c>
      <c r="M36" s="40"/>
      <c r="N36" s="40"/>
      <c r="O36" s="40"/>
      <c r="P36" s="40">
        <v>28</v>
      </c>
      <c r="Q36" s="40"/>
      <c r="R36" s="40"/>
      <c r="S36" s="40">
        <v>429</v>
      </c>
      <c r="T36" s="40"/>
      <c r="U36" s="40"/>
      <c r="V36" s="40"/>
      <c r="W36" s="40"/>
      <c r="X36" s="40">
        <v>4</v>
      </c>
      <c r="Y36" s="40">
        <v>8</v>
      </c>
      <c r="Z36" s="40"/>
      <c r="AA36" s="40"/>
      <c r="AB36" s="40"/>
    </row>
    <row r="37" s="23" customFormat="1" ht="20" customHeight="1" spans="1:29">
      <c r="A37" s="51">
        <v>46015</v>
      </c>
      <c r="B37" s="40">
        <v>19044</v>
      </c>
      <c r="C37" s="40">
        <v>15749</v>
      </c>
      <c r="D37" s="40">
        <v>394</v>
      </c>
      <c r="E37" s="11">
        <f t="shared" si="12"/>
        <v>2.06889308968704</v>
      </c>
      <c r="F37" s="10">
        <f t="shared" si="13"/>
        <v>2901</v>
      </c>
      <c r="G37" s="11">
        <f t="shared" si="14"/>
        <v>15.2331442974165</v>
      </c>
      <c r="H37" s="40">
        <v>330</v>
      </c>
      <c r="I37" s="40">
        <v>10</v>
      </c>
      <c r="J37" s="40"/>
      <c r="K37" s="40"/>
      <c r="L37" s="40">
        <v>9</v>
      </c>
      <c r="M37" s="40"/>
      <c r="N37" s="40"/>
      <c r="O37" s="40"/>
      <c r="P37" s="40">
        <v>152</v>
      </c>
      <c r="Q37" s="40"/>
      <c r="R37" s="40"/>
      <c r="S37" s="40">
        <v>119</v>
      </c>
      <c r="T37" s="40"/>
      <c r="U37" s="40"/>
      <c r="V37" s="40"/>
      <c r="W37" s="40"/>
      <c r="X37" s="40">
        <v>13</v>
      </c>
      <c r="Y37" s="40">
        <v>14</v>
      </c>
      <c r="Z37" s="40"/>
      <c r="AA37" s="40"/>
      <c r="AB37" s="40"/>
      <c r="AC37" s="70"/>
    </row>
    <row r="38" ht="20" customHeight="1" spans="1:28">
      <c r="A38" s="51">
        <v>46016</v>
      </c>
      <c r="B38" s="40">
        <v>16287</v>
      </c>
      <c r="C38" s="40">
        <v>13377</v>
      </c>
      <c r="D38" s="40">
        <v>903</v>
      </c>
      <c r="E38" s="11">
        <f t="shared" si="12"/>
        <v>5.54429913427887</v>
      </c>
      <c r="F38" s="10">
        <f t="shared" si="13"/>
        <v>2007</v>
      </c>
      <c r="G38" s="11">
        <f t="shared" si="14"/>
        <v>12.3227113648922</v>
      </c>
      <c r="H38" s="40">
        <v>496</v>
      </c>
      <c r="I38" s="40">
        <v>34</v>
      </c>
      <c r="J38" s="40"/>
      <c r="K38" s="40"/>
      <c r="L38" s="40"/>
      <c r="M38" s="40"/>
      <c r="N38" s="40"/>
      <c r="O38" s="40"/>
      <c r="P38" s="40">
        <v>188</v>
      </c>
      <c r="Q38" s="40"/>
      <c r="R38" s="40"/>
      <c r="S38" s="40">
        <v>226</v>
      </c>
      <c r="T38" s="40"/>
      <c r="U38" s="40"/>
      <c r="V38" s="40"/>
      <c r="W38" s="40"/>
      <c r="X38" s="40">
        <v>482</v>
      </c>
      <c r="Y38" s="40">
        <v>16</v>
      </c>
      <c r="Z38" s="40">
        <v>8</v>
      </c>
      <c r="AA38" s="40"/>
      <c r="AB38" s="40"/>
    </row>
    <row r="39" ht="20" customHeight="1" spans="1:29">
      <c r="A39" s="51">
        <v>46017</v>
      </c>
      <c r="B39" s="40">
        <v>17625</v>
      </c>
      <c r="C39" s="40">
        <v>14380</v>
      </c>
      <c r="D39" s="40">
        <v>1300</v>
      </c>
      <c r="E39" s="11">
        <f t="shared" si="12"/>
        <v>7.3758865248227</v>
      </c>
      <c r="F39" s="10">
        <v>754</v>
      </c>
      <c r="G39" s="11">
        <f t="shared" si="14"/>
        <v>4.27801418439716</v>
      </c>
      <c r="H39" s="40">
        <v>342</v>
      </c>
      <c r="I39" s="40">
        <v>98</v>
      </c>
      <c r="J39" s="40"/>
      <c r="K39" s="40"/>
      <c r="L39" s="40">
        <v>16</v>
      </c>
      <c r="M39" s="40"/>
      <c r="N39" s="40"/>
      <c r="O39" s="40"/>
      <c r="P39" s="40">
        <v>87</v>
      </c>
      <c r="Q39" s="40"/>
      <c r="R39" s="40"/>
      <c r="S39" s="40">
        <v>140</v>
      </c>
      <c r="T39" s="40"/>
      <c r="U39" s="40"/>
      <c r="V39" s="40"/>
      <c r="W39" s="40"/>
      <c r="X39" s="40">
        <v>34</v>
      </c>
      <c r="Y39" s="40">
        <v>27</v>
      </c>
      <c r="Z39" s="40">
        <v>10</v>
      </c>
      <c r="AA39" s="40"/>
      <c r="AB39" s="40"/>
      <c r="AC39" s="72"/>
    </row>
    <row r="40" ht="20" customHeight="1" spans="1:28">
      <c r="A40" s="51">
        <v>46018</v>
      </c>
      <c r="B40" s="40">
        <v>19434</v>
      </c>
      <c r="C40" s="40">
        <v>16312</v>
      </c>
      <c r="D40" s="40">
        <v>359</v>
      </c>
      <c r="E40" s="11">
        <f t="shared" si="12"/>
        <v>1.84727796645055</v>
      </c>
      <c r="F40" s="10">
        <v>951</v>
      </c>
      <c r="G40" s="11">
        <f t="shared" si="14"/>
        <v>4.8934856437172</v>
      </c>
      <c r="H40" s="40">
        <v>401</v>
      </c>
      <c r="I40" s="40">
        <v>109</v>
      </c>
      <c r="J40" s="40"/>
      <c r="K40" s="40"/>
      <c r="L40" s="40"/>
      <c r="M40" s="40"/>
      <c r="N40" s="40"/>
      <c r="O40" s="40"/>
      <c r="P40" s="40">
        <v>207</v>
      </c>
      <c r="Q40" s="40"/>
      <c r="R40" s="40"/>
      <c r="S40" s="40">
        <v>142</v>
      </c>
      <c r="T40" s="40"/>
      <c r="U40" s="40"/>
      <c r="V40" s="40"/>
      <c r="W40" s="40"/>
      <c r="X40" s="40">
        <v>86</v>
      </c>
      <c r="Y40" s="40">
        <v>6</v>
      </c>
      <c r="Z40" s="40"/>
      <c r="AA40" s="40"/>
      <c r="AB40" s="40"/>
    </row>
    <row r="41" ht="20" customHeight="1" spans="1:28">
      <c r="A41" s="42" t="s">
        <v>40</v>
      </c>
      <c r="B41" s="56">
        <f t="shared" ref="B41:AB41" si="15">SUM(B34:B40)</f>
        <v>111113</v>
      </c>
      <c r="C41" s="56">
        <f t="shared" si="15"/>
        <v>93122</v>
      </c>
      <c r="D41" s="56">
        <f t="shared" si="15"/>
        <v>4211</v>
      </c>
      <c r="E41" s="57">
        <f t="shared" si="12"/>
        <v>3.78983557279526</v>
      </c>
      <c r="F41" s="56">
        <f t="shared" si="15"/>
        <v>10777</v>
      </c>
      <c r="G41" s="57" t="e">
        <f t="shared" si="15"/>
        <v>#DIV/0!</v>
      </c>
      <c r="H41" s="56">
        <f t="shared" si="15"/>
        <v>1893</v>
      </c>
      <c r="I41" s="56">
        <f t="shared" si="15"/>
        <v>310</v>
      </c>
      <c r="J41" s="56">
        <f t="shared" si="15"/>
        <v>0</v>
      </c>
      <c r="K41" s="56">
        <f t="shared" si="15"/>
        <v>0</v>
      </c>
      <c r="L41" s="56">
        <f t="shared" si="15"/>
        <v>78</v>
      </c>
      <c r="M41" s="56">
        <f t="shared" si="15"/>
        <v>0</v>
      </c>
      <c r="N41" s="56">
        <f t="shared" si="15"/>
        <v>0</v>
      </c>
      <c r="O41" s="56">
        <f t="shared" si="15"/>
        <v>0</v>
      </c>
      <c r="P41" s="56">
        <f t="shared" si="15"/>
        <v>864</v>
      </c>
      <c r="Q41" s="56">
        <f t="shared" si="15"/>
        <v>0</v>
      </c>
      <c r="R41" s="56">
        <f t="shared" si="15"/>
        <v>0</v>
      </c>
      <c r="S41" s="56">
        <f t="shared" si="15"/>
        <v>1165</v>
      </c>
      <c r="T41" s="56">
        <f t="shared" si="15"/>
        <v>0</v>
      </c>
      <c r="U41" s="56">
        <f t="shared" si="15"/>
        <v>0</v>
      </c>
      <c r="V41" s="56">
        <f t="shared" si="15"/>
        <v>0</v>
      </c>
      <c r="W41" s="56">
        <f t="shared" si="15"/>
        <v>0</v>
      </c>
      <c r="X41" s="56">
        <f t="shared" si="15"/>
        <v>620</v>
      </c>
      <c r="Y41" s="56">
        <f t="shared" si="15"/>
        <v>80</v>
      </c>
      <c r="Z41" s="56">
        <f t="shared" si="15"/>
        <v>43</v>
      </c>
      <c r="AA41" s="56">
        <f t="shared" si="15"/>
        <v>0</v>
      </c>
      <c r="AB41" s="56">
        <f t="shared" si="15"/>
        <v>0</v>
      </c>
    </row>
    <row r="42" ht="20" customHeight="1" spans="1:29">
      <c r="A42" s="45" t="s">
        <v>84</v>
      </c>
      <c r="B42" s="46"/>
      <c r="C42" s="47">
        <f>C41/$B$41*100</f>
        <v>83.8083752576206</v>
      </c>
      <c r="D42" s="47">
        <f>D41/$B$41*100</f>
        <v>3.78983557279526</v>
      </c>
      <c r="E42" s="47"/>
      <c r="F42" s="47">
        <f>F41/$B$41*100</f>
        <v>9.69913511470305</v>
      </c>
      <c r="G42" s="47" t="e">
        <f>G41/$B$41*100</f>
        <v>#DIV/0!</v>
      </c>
      <c r="H42" s="47">
        <f>H41/$B$41*100</f>
        <v>1.70367103759236</v>
      </c>
      <c r="I42" s="47">
        <f>I41/$B$41*100</f>
        <v>0.27899525708063</v>
      </c>
      <c r="J42" s="47">
        <f>J41/$B$41*100</f>
        <v>0</v>
      </c>
      <c r="K42" s="47">
        <f>K41/$B$41*100</f>
        <v>0</v>
      </c>
      <c r="L42" s="47">
        <f>L41/$B$41*100</f>
        <v>0.0701988066202874</v>
      </c>
      <c r="M42" s="47">
        <f>M41/$B$41*100</f>
        <v>0</v>
      </c>
      <c r="N42" s="47">
        <f>N41/$B$41*100</f>
        <v>0</v>
      </c>
      <c r="O42" s="47">
        <f>O41/$B$41*100</f>
        <v>0</v>
      </c>
      <c r="P42" s="47">
        <f>P41/$B$41*100</f>
        <v>0.777586781024723</v>
      </c>
      <c r="Q42" s="47">
        <f>Q41/$B$41*100</f>
        <v>0</v>
      </c>
      <c r="R42" s="47">
        <f>R41/$B$41*100</f>
        <v>0</v>
      </c>
      <c r="S42" s="47">
        <f>S41/$B$41*100</f>
        <v>1.04848217580301</v>
      </c>
      <c r="T42" s="47">
        <f>T41/$B$41*100</f>
        <v>0</v>
      </c>
      <c r="U42" s="47">
        <f>U41/$B$41*100</f>
        <v>0</v>
      </c>
      <c r="V42" s="47">
        <f>V41/$B$41*100</f>
        <v>0</v>
      </c>
      <c r="W42" s="47">
        <f>W41/$B$41*100</f>
        <v>0</v>
      </c>
      <c r="X42" s="47">
        <f>X41/$B$41*100</f>
        <v>0.557990514161259</v>
      </c>
      <c r="Y42" s="47">
        <f>Y41/$B$41*100</f>
        <v>0.0719987760208076</v>
      </c>
      <c r="Z42" s="47">
        <f>Z41/$B$41*100</f>
        <v>0.0386993421111841</v>
      </c>
      <c r="AA42" s="47">
        <f>AA41/$B$41*100</f>
        <v>0</v>
      </c>
      <c r="AB42" s="47">
        <f>AB41/$B$41*100</f>
        <v>0</v>
      </c>
      <c r="AC42" s="69">
        <f>SUM(H42:AB42)</f>
        <v>4.54762269041426</v>
      </c>
    </row>
    <row r="43" ht="20" customHeight="1" spans="1:28">
      <c r="A43" s="48">
        <v>46019</v>
      </c>
      <c r="B43" s="49"/>
      <c r="C43" s="49"/>
      <c r="D43" s="49"/>
      <c r="E43" s="50"/>
      <c r="F43" s="49">
        <f>B43-(C43+D43)</f>
        <v>0</v>
      </c>
      <c r="G43" s="50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</row>
    <row r="44" ht="20" customHeight="1" spans="1:28">
      <c r="A44" s="39">
        <v>46020</v>
      </c>
      <c r="B44" s="58">
        <v>10715</v>
      </c>
      <c r="C44" s="58">
        <v>10073</v>
      </c>
      <c r="D44" s="58">
        <v>146</v>
      </c>
      <c r="E44" s="11">
        <f>D44/B44*100</f>
        <v>1.36257582827811</v>
      </c>
      <c r="F44" s="10">
        <v>281</v>
      </c>
      <c r="G44" s="11">
        <f>F44/B44*100</f>
        <v>2.62249183387774</v>
      </c>
      <c r="H44" s="59">
        <v>113</v>
      </c>
      <c r="I44" s="59">
        <v>61</v>
      </c>
      <c r="J44" s="63"/>
      <c r="K44" s="64"/>
      <c r="L44" s="64"/>
      <c r="M44" s="64"/>
      <c r="N44" s="64"/>
      <c r="O44" s="64"/>
      <c r="P44" s="59"/>
      <c r="Q44" s="64"/>
      <c r="R44" s="64"/>
      <c r="S44" s="59">
        <v>64</v>
      </c>
      <c r="T44" s="64"/>
      <c r="U44" s="64"/>
      <c r="V44" s="64"/>
      <c r="W44" s="59"/>
      <c r="X44" s="59"/>
      <c r="Y44" s="59">
        <v>43</v>
      </c>
      <c r="Z44" s="59"/>
      <c r="AA44" s="64"/>
      <c r="AB44" s="63"/>
    </row>
    <row r="45" ht="20" customHeight="1" spans="1:28">
      <c r="A45" s="39">
        <v>46021</v>
      </c>
      <c r="B45" s="58">
        <v>19266</v>
      </c>
      <c r="C45" s="58">
        <v>18047</v>
      </c>
      <c r="D45" s="58">
        <v>664</v>
      </c>
      <c r="E45" s="11">
        <f>D45/B45*100</f>
        <v>3.44648603757915</v>
      </c>
      <c r="F45" s="10">
        <f>B45-(C45+D45)</f>
        <v>555</v>
      </c>
      <c r="G45" s="11">
        <f>F45/B45*100</f>
        <v>2.88072251635005</v>
      </c>
      <c r="H45" s="59">
        <v>96</v>
      </c>
      <c r="I45" s="59">
        <v>77</v>
      </c>
      <c r="J45" s="63"/>
      <c r="K45" s="64"/>
      <c r="L45" s="64"/>
      <c r="M45" s="64"/>
      <c r="N45" s="64"/>
      <c r="O45" s="64"/>
      <c r="P45" s="59">
        <v>154</v>
      </c>
      <c r="Q45" s="64"/>
      <c r="R45" s="64"/>
      <c r="S45" s="59">
        <v>228</v>
      </c>
      <c r="T45" s="64"/>
      <c r="U45" s="64"/>
      <c r="V45" s="64"/>
      <c r="W45" s="59"/>
      <c r="X45" s="59"/>
      <c r="Y45" s="59"/>
      <c r="Z45" s="59"/>
      <c r="AA45" s="64"/>
      <c r="AB45" s="63"/>
    </row>
    <row r="46" ht="20" customHeight="1" spans="1:28">
      <c r="A46" s="39">
        <v>46022</v>
      </c>
      <c r="B46" s="58">
        <v>15691</v>
      </c>
      <c r="C46" s="58">
        <v>15030</v>
      </c>
      <c r="D46" s="58">
        <v>213</v>
      </c>
      <c r="E46" s="11">
        <f>D46/B46*100</f>
        <v>1.35746606334842</v>
      </c>
      <c r="F46" s="10">
        <f>B46-(C46+D46)</f>
        <v>448</v>
      </c>
      <c r="G46" s="11">
        <f>F46/B46*100</f>
        <v>2.85513988910841</v>
      </c>
      <c r="H46" s="59">
        <v>140</v>
      </c>
      <c r="I46" s="59">
        <v>93</v>
      </c>
      <c r="J46" s="63"/>
      <c r="K46" s="64"/>
      <c r="L46" s="64">
        <v>10</v>
      </c>
      <c r="M46" s="64"/>
      <c r="N46" s="64"/>
      <c r="O46" s="64"/>
      <c r="P46" s="59">
        <v>97</v>
      </c>
      <c r="Q46" s="64"/>
      <c r="R46" s="64"/>
      <c r="S46" s="59">
        <v>69</v>
      </c>
      <c r="T46" s="64"/>
      <c r="U46" s="64"/>
      <c r="V46" s="64"/>
      <c r="W46" s="59"/>
      <c r="X46" s="59">
        <v>4</v>
      </c>
      <c r="Y46" s="59">
        <v>35</v>
      </c>
      <c r="Z46" s="59"/>
      <c r="AA46" s="64"/>
      <c r="AB46" s="63"/>
    </row>
    <row r="47" ht="22" customHeight="1" spans="1:28">
      <c r="A47" s="42" t="s">
        <v>40</v>
      </c>
      <c r="B47" s="56">
        <f>SUM(B43:B46)</f>
        <v>45672</v>
      </c>
      <c r="C47" s="56">
        <f>SUM(C43:C46)</f>
        <v>43150</v>
      </c>
      <c r="D47" s="56">
        <f>SUM(D43:D46)</f>
        <v>1023</v>
      </c>
      <c r="E47" s="57">
        <f>SUM(E43:E46)</f>
        <v>6.16652792920568</v>
      </c>
      <c r="F47" s="56">
        <f t="shared" ref="B47:AB47" si="16">SUM(F43:F46)</f>
        <v>1284</v>
      </c>
      <c r="G47" s="57">
        <f t="shared" si="16"/>
        <v>8.3583542393362</v>
      </c>
      <c r="H47" s="56">
        <f t="shared" si="16"/>
        <v>349</v>
      </c>
      <c r="I47" s="56">
        <f t="shared" si="16"/>
        <v>231</v>
      </c>
      <c r="J47" s="56">
        <f t="shared" si="16"/>
        <v>0</v>
      </c>
      <c r="K47" s="56">
        <f t="shared" si="16"/>
        <v>0</v>
      </c>
      <c r="L47" s="56">
        <f t="shared" si="16"/>
        <v>10</v>
      </c>
      <c r="M47" s="56">
        <f t="shared" si="16"/>
        <v>0</v>
      </c>
      <c r="N47" s="56">
        <f t="shared" si="16"/>
        <v>0</v>
      </c>
      <c r="O47" s="56">
        <f t="shared" si="16"/>
        <v>0</v>
      </c>
      <c r="P47" s="56">
        <f t="shared" si="16"/>
        <v>251</v>
      </c>
      <c r="Q47" s="56">
        <f t="shared" si="16"/>
        <v>0</v>
      </c>
      <c r="R47" s="56">
        <f t="shared" si="16"/>
        <v>0</v>
      </c>
      <c r="S47" s="56">
        <f t="shared" si="16"/>
        <v>361</v>
      </c>
      <c r="T47" s="56">
        <f t="shared" si="16"/>
        <v>0</v>
      </c>
      <c r="U47" s="56">
        <f t="shared" si="16"/>
        <v>0</v>
      </c>
      <c r="V47" s="56">
        <f t="shared" si="16"/>
        <v>0</v>
      </c>
      <c r="W47" s="56">
        <f t="shared" si="16"/>
        <v>0</v>
      </c>
      <c r="X47" s="56">
        <f t="shared" si="16"/>
        <v>4</v>
      </c>
      <c r="Y47" s="56">
        <f t="shared" si="16"/>
        <v>78</v>
      </c>
      <c r="Z47" s="56">
        <f t="shared" si="16"/>
        <v>0</v>
      </c>
      <c r="AA47" s="56">
        <f t="shared" si="16"/>
        <v>0</v>
      </c>
      <c r="AB47" s="56">
        <f t="shared" si="16"/>
        <v>0</v>
      </c>
    </row>
    <row r="48" ht="22" customHeight="1" spans="1:29">
      <c r="A48" s="45" t="s">
        <v>84</v>
      </c>
      <c r="B48" s="46"/>
      <c r="C48" s="47">
        <f>C47/$B$47*100</f>
        <v>94.4780171658784</v>
      </c>
      <c r="D48" s="47">
        <f>D47/$B$47*100</f>
        <v>2.23988439306358</v>
      </c>
      <c r="E48" s="47">
        <f>E47/$B$47*100</f>
        <v>0.0135017689814453</v>
      </c>
      <c r="F48" s="47">
        <f>F47/$B$47*100</f>
        <v>2.81135049921177</v>
      </c>
      <c r="G48" s="47">
        <f>G47/$B$47*100</f>
        <v>0.0183008281646002</v>
      </c>
      <c r="H48" s="47">
        <f>H47/$B$47*100</f>
        <v>0.764144333508495</v>
      </c>
      <c r="I48" s="47">
        <f>I47/$B$47*100</f>
        <v>0.505780346820809</v>
      </c>
      <c r="J48" s="47">
        <f>J47/$B$47*100</f>
        <v>0</v>
      </c>
      <c r="K48" s="47">
        <f>K47/$B$47*100</f>
        <v>0</v>
      </c>
      <c r="L48" s="47">
        <f>L47/$B$47*100</f>
        <v>0.0218952531091259</v>
      </c>
      <c r="M48" s="47">
        <f>M47/$B$47*100</f>
        <v>0</v>
      </c>
      <c r="N48" s="47">
        <f>N47/$B$47*100</f>
        <v>0</v>
      </c>
      <c r="O48" s="47">
        <f>O47/$B$47*100</f>
        <v>0</v>
      </c>
      <c r="P48" s="47">
        <f>P47/$B$47*100</f>
        <v>0.549570853039061</v>
      </c>
      <c r="Q48" s="47">
        <f>Q47/$B$47*100</f>
        <v>0</v>
      </c>
      <c r="R48" s="47">
        <f>R47/$B$47*100</f>
        <v>0</v>
      </c>
      <c r="S48" s="47">
        <f>S47/$B$47*100</f>
        <v>0.790418637239446</v>
      </c>
      <c r="T48" s="47">
        <f>T47/$B$47*100</f>
        <v>0</v>
      </c>
      <c r="U48" s="47">
        <f>U47/$B$47*100</f>
        <v>0</v>
      </c>
      <c r="V48" s="47">
        <f>V47/$B$47*100</f>
        <v>0</v>
      </c>
      <c r="W48" s="47">
        <f>W47/$B$47*100</f>
        <v>0</v>
      </c>
      <c r="X48" s="47">
        <f>X47/$B$47*100</f>
        <v>0.00875810124365038</v>
      </c>
      <c r="Y48" s="47">
        <f>Y47/$B$47*100</f>
        <v>0.170782974251182</v>
      </c>
      <c r="Z48" s="47">
        <f>Z47/$B$47*100</f>
        <v>0</v>
      </c>
      <c r="AA48" s="47">
        <f>AA47/$B$47*100</f>
        <v>0</v>
      </c>
      <c r="AB48" s="47">
        <f>AB47/$B$47*100</f>
        <v>0</v>
      </c>
      <c r="AC48" s="69">
        <f>SUM(H48:AB48)</f>
        <v>2.81135049921177</v>
      </c>
    </row>
    <row r="49" ht="36" customHeight="1" spans="1:28">
      <c r="A49" s="12" t="s">
        <v>40</v>
      </c>
      <c r="B49" s="13">
        <f>B47+B41+B32+B23+B14</f>
        <v>331957</v>
      </c>
      <c r="C49" s="13">
        <f t="shared" ref="B49:F49" si="17">C47+C41+C32+C23+C14</f>
        <v>297260</v>
      </c>
      <c r="D49" s="13">
        <f t="shared" si="17"/>
        <v>10309</v>
      </c>
      <c r="E49" s="14">
        <f>D49/B49*100</f>
        <v>3.10552270324168</v>
      </c>
      <c r="F49" s="13">
        <f t="shared" si="17"/>
        <v>21170</v>
      </c>
      <c r="G49" s="14">
        <f>F49/B49*100</f>
        <v>6.37733200384387</v>
      </c>
      <c r="H49" s="13">
        <f>H47+H41+H32+H23+H14</f>
        <v>4187</v>
      </c>
      <c r="I49" s="13">
        <f t="shared" ref="H49:AB49" si="18">I47+I41+I32+I23+I14</f>
        <v>3162</v>
      </c>
      <c r="J49" s="13">
        <f t="shared" si="18"/>
        <v>0</v>
      </c>
      <c r="K49" s="13">
        <f t="shared" si="18"/>
        <v>0</v>
      </c>
      <c r="L49" s="13">
        <f t="shared" si="18"/>
        <v>1239</v>
      </c>
      <c r="M49" s="13">
        <f t="shared" si="18"/>
        <v>0</v>
      </c>
      <c r="N49" s="13">
        <f t="shared" si="18"/>
        <v>0</v>
      </c>
      <c r="O49" s="13">
        <f t="shared" si="18"/>
        <v>0</v>
      </c>
      <c r="P49" s="13">
        <f t="shared" si="18"/>
        <v>1611</v>
      </c>
      <c r="Q49" s="13">
        <f t="shared" si="18"/>
        <v>446</v>
      </c>
      <c r="R49" s="13">
        <f t="shared" si="18"/>
        <v>35</v>
      </c>
      <c r="S49" s="13">
        <f t="shared" si="18"/>
        <v>3192</v>
      </c>
      <c r="T49" s="13">
        <f t="shared" si="18"/>
        <v>0</v>
      </c>
      <c r="U49" s="13">
        <f t="shared" si="18"/>
        <v>0</v>
      </c>
      <c r="V49" s="13">
        <f t="shared" si="18"/>
        <v>0</v>
      </c>
      <c r="W49" s="13">
        <f t="shared" si="18"/>
        <v>0</v>
      </c>
      <c r="X49" s="13">
        <f t="shared" si="18"/>
        <v>861</v>
      </c>
      <c r="Y49" s="13">
        <f t="shared" si="18"/>
        <v>395</v>
      </c>
      <c r="Z49" s="13">
        <f t="shared" si="18"/>
        <v>90</v>
      </c>
      <c r="AA49" s="13">
        <f t="shared" si="18"/>
        <v>0</v>
      </c>
      <c r="AB49" s="13">
        <f t="shared" si="18"/>
        <v>0</v>
      </c>
    </row>
    <row r="50" ht="45" customHeight="1" spans="1:28">
      <c r="A50" s="17"/>
      <c r="B50" s="17"/>
      <c r="C50" s="11">
        <f>C49/B49*100</f>
        <v>89.5477426293164</v>
      </c>
      <c r="D50" s="11">
        <f>D49/B49*100</f>
        <v>3.10552270324168</v>
      </c>
      <c r="E50" s="11" t="s">
        <v>94</v>
      </c>
      <c r="F50" s="11">
        <f>F49/B49*100</f>
        <v>6.37733200384387</v>
      </c>
      <c r="G50" s="60" t="s">
        <v>86</v>
      </c>
      <c r="H50" s="11">
        <f>H49/$B$49*100</f>
        <v>1.26130794048627</v>
      </c>
      <c r="I50" s="11">
        <f>I49/$B$49*100</f>
        <v>0.952533008793308</v>
      </c>
      <c r="J50" s="11">
        <f>J49/$B$49*100</f>
        <v>0</v>
      </c>
      <c r="K50" s="11">
        <f>K49/$B$49*100</f>
        <v>0</v>
      </c>
      <c r="L50" s="11">
        <f>L49/B49*100</f>
        <v>0.373241112553734</v>
      </c>
      <c r="M50" s="11">
        <f>M49/B49*100</f>
        <v>0</v>
      </c>
      <c r="N50" s="11">
        <f>N49/B49*100</f>
        <v>0</v>
      </c>
      <c r="O50" s="11">
        <f>O49/B49*100</f>
        <v>0</v>
      </c>
      <c r="P50" s="11">
        <f>P49/$B$49*100</f>
        <v>0.485303819470594</v>
      </c>
      <c r="Q50" s="11">
        <f>Q49/$B$49*100</f>
        <v>0.134354750765912</v>
      </c>
      <c r="R50" s="11">
        <f>R49/$B$49*100</f>
        <v>0.0105435342529304</v>
      </c>
      <c r="S50" s="11">
        <f>S49/$B$49*100</f>
        <v>0.961570323867248</v>
      </c>
      <c r="T50" s="11">
        <f>T49/$B$49*100</f>
        <v>0</v>
      </c>
      <c r="U50" s="11">
        <f>U49/$B$49*100</f>
        <v>0</v>
      </c>
      <c r="V50" s="11">
        <f>V49/$B$49*100</f>
        <v>0</v>
      </c>
      <c r="W50" s="11">
        <f>W49/$B$49*100</f>
        <v>0</v>
      </c>
      <c r="X50" s="11">
        <f>X49/$B$49*100</f>
        <v>0.259370942622087</v>
      </c>
      <c r="Y50" s="11">
        <f>Y49/B49*100</f>
        <v>0.118991315140214</v>
      </c>
      <c r="Z50" s="11">
        <f>Z49/$B$49*100</f>
        <v>0.0271119452218209</v>
      </c>
      <c r="AA50" s="11">
        <f>AA49/$B$49*100</f>
        <v>0</v>
      </c>
      <c r="AB50" s="11">
        <f>AB49/$B$49*100</f>
        <v>0</v>
      </c>
    </row>
    <row r="51" ht="22" customHeight="1" spans="7:30">
      <c r="G51" s="61" t="s">
        <v>87</v>
      </c>
      <c r="H51" s="62">
        <v>0.5</v>
      </c>
      <c r="I51" s="62">
        <v>0.7</v>
      </c>
      <c r="J51" s="62">
        <v>0.1</v>
      </c>
      <c r="K51" s="62">
        <v>0.1</v>
      </c>
      <c r="L51" s="62">
        <v>0.7</v>
      </c>
      <c r="M51" s="62">
        <v>0.1</v>
      </c>
      <c r="N51" s="62">
        <v>0.1</v>
      </c>
      <c r="O51" s="62">
        <v>0.1</v>
      </c>
      <c r="P51" s="62">
        <v>0.3</v>
      </c>
      <c r="Q51" s="62">
        <v>0.1</v>
      </c>
      <c r="R51" s="62">
        <v>0.1</v>
      </c>
      <c r="S51" s="62">
        <v>1</v>
      </c>
      <c r="T51" s="62">
        <v>0.1</v>
      </c>
      <c r="U51" s="62">
        <v>0.1</v>
      </c>
      <c r="V51" s="62">
        <v>0.1</v>
      </c>
      <c r="W51" s="62">
        <v>0.1</v>
      </c>
      <c r="X51" s="62">
        <v>0.1</v>
      </c>
      <c r="Y51" s="62">
        <v>0.3</v>
      </c>
      <c r="Z51" s="62">
        <v>0.1</v>
      </c>
      <c r="AA51" s="62">
        <v>0.1</v>
      </c>
      <c r="AB51" s="62">
        <v>0.1</v>
      </c>
      <c r="AC51" s="74">
        <f>SUM(H51:AB51)</f>
        <v>5</v>
      </c>
      <c r="AD51" s="75"/>
    </row>
    <row r="52" ht="21" customHeight="1" spans="7:28">
      <c r="G52" s="18" t="s">
        <v>88</v>
      </c>
      <c r="H52" s="11">
        <f t="shared" ref="H52:AB52" si="19">H51-H50</f>
        <v>-0.761307940486268</v>
      </c>
      <c r="I52" s="11">
        <f t="shared" si="19"/>
        <v>-0.252533008793308</v>
      </c>
      <c r="J52" s="11">
        <f t="shared" si="19"/>
        <v>0.1</v>
      </c>
      <c r="K52" s="11">
        <f t="shared" si="19"/>
        <v>0.1</v>
      </c>
      <c r="L52" s="11">
        <f t="shared" si="19"/>
        <v>0.326758887446266</v>
      </c>
      <c r="M52" s="11">
        <f t="shared" si="19"/>
        <v>0.1</v>
      </c>
      <c r="N52" s="11">
        <f t="shared" si="19"/>
        <v>0.1</v>
      </c>
      <c r="O52" s="11">
        <f t="shared" si="19"/>
        <v>0.1</v>
      </c>
      <c r="P52" s="11">
        <f t="shared" si="19"/>
        <v>-0.185303819470594</v>
      </c>
      <c r="Q52" s="11">
        <f t="shared" si="19"/>
        <v>-0.0343547507659124</v>
      </c>
      <c r="R52" s="11">
        <f t="shared" si="19"/>
        <v>0.0894564657470697</v>
      </c>
      <c r="S52" s="11">
        <f t="shared" si="19"/>
        <v>0.0384296761327521</v>
      </c>
      <c r="T52" s="11">
        <f t="shared" si="19"/>
        <v>0.1</v>
      </c>
      <c r="U52" s="11">
        <f t="shared" si="19"/>
        <v>0.1</v>
      </c>
      <c r="V52" s="11">
        <f t="shared" si="19"/>
        <v>0.1</v>
      </c>
      <c r="W52" s="11">
        <f t="shared" si="19"/>
        <v>0.1</v>
      </c>
      <c r="X52" s="11">
        <f t="shared" si="19"/>
        <v>-0.159370942622087</v>
      </c>
      <c r="Y52" s="11">
        <f t="shared" si="19"/>
        <v>0.181008684859786</v>
      </c>
      <c r="Z52" s="11">
        <f t="shared" si="19"/>
        <v>0.0728880547781791</v>
      </c>
      <c r="AA52" s="11">
        <f t="shared" si="19"/>
        <v>0.1</v>
      </c>
      <c r="AB52" s="11">
        <f t="shared" si="19"/>
        <v>0.1</v>
      </c>
    </row>
    <row r="53" spans="8:28"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</row>
  </sheetData>
  <mergeCells count="18">
    <mergeCell ref="X1:Z1"/>
    <mergeCell ref="AA1:AB1"/>
    <mergeCell ref="X2:Z2"/>
    <mergeCell ref="AA2:AB2"/>
    <mergeCell ref="X3:Z3"/>
    <mergeCell ref="AA3:AB3"/>
    <mergeCell ref="B4:W4"/>
    <mergeCell ref="X4:AB4"/>
    <mergeCell ref="H5:AB5"/>
    <mergeCell ref="A1:A4"/>
    <mergeCell ref="A5:A7"/>
    <mergeCell ref="B5:B7"/>
    <mergeCell ref="C5:C7"/>
    <mergeCell ref="D5:D7"/>
    <mergeCell ref="E5:E7"/>
    <mergeCell ref="F5:F7"/>
    <mergeCell ref="G5:G7"/>
    <mergeCell ref="B1:W3"/>
  </mergeCells>
  <conditionalFormatting sqref="H50:K50">
    <cfRule type="cellIs" dxfId="0" priority="14" operator="lessThan">
      <formula>$J$51</formula>
    </cfRule>
    <cfRule type="cellIs" dxfId="1" priority="15" operator="greaterThan">
      <formula>$J$51</formula>
    </cfRule>
  </conditionalFormatting>
  <conditionalFormatting sqref="L50:O50">
    <cfRule type="cellIs" dxfId="0" priority="12" operator="lessThan">
      <formula>$M$51</formula>
    </cfRule>
    <cfRule type="cellIs" dxfId="1" priority="13" operator="greaterThan">
      <formula>$M$51</formula>
    </cfRule>
  </conditionalFormatting>
  <conditionalFormatting sqref="P50:R50">
    <cfRule type="cellIs" dxfId="0" priority="10" operator="lessThan">
      <formula>$Q$51</formula>
    </cfRule>
    <cfRule type="cellIs" dxfId="1" priority="11" operator="greaterThan">
      <formula>$Q$51</formula>
    </cfRule>
  </conditionalFormatting>
  <conditionalFormatting sqref="S50:X50">
    <cfRule type="cellIs" dxfId="0" priority="8" operator="lessThan">
      <formula>$X$51</formula>
    </cfRule>
    <cfRule type="cellIs" dxfId="1" priority="9" operator="greaterThan">
      <formula>$X$51</formula>
    </cfRule>
  </conditionalFormatting>
  <conditionalFormatting sqref="Y50">
    <cfRule type="cellIs" dxfId="0" priority="6" operator="lessThan">
      <formula>$Y$51</formula>
    </cfRule>
    <cfRule type="cellIs" dxfId="1" priority="7" operator="greaterThan">
      <formula>$Y$51</formula>
    </cfRule>
  </conditionalFormatting>
  <conditionalFormatting sqref="Z50:AB50">
    <cfRule type="cellIs" dxfId="0" priority="4" operator="lessThan">
      <formula>$AA$51</formula>
    </cfRule>
    <cfRule type="cellIs" dxfId="1" priority="5" operator="greaterThan">
      <formula>$AA$51</formula>
    </cfRule>
  </conditionalFormatting>
  <conditionalFormatting sqref="H52">
    <cfRule type="cellIs" dxfId="1" priority="3" operator="lessThan">
      <formula>0</formula>
    </cfRule>
  </conditionalFormatting>
  <conditionalFormatting sqref="H52:AB52">
    <cfRule type="cellIs" dxfId="3" priority="1" operator="greaterThan">
      <formula>0</formula>
    </cfRule>
    <cfRule type="cellIs" dxfId="2" priority="2" operator="lessThan">
      <formula>0</formula>
    </cfRule>
  </conditionalFormatting>
  <pageMargins left="0.251388888888889" right="0.251388888888889" top="0.197222222222222" bottom="0.251388888888889" header="0.298611111111111" footer="0.298611111111111"/>
  <pageSetup paperSize="9" scale="52" orientation="landscape" horizontalDpi="600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D53"/>
  <sheetViews>
    <sheetView tabSelected="1" zoomScale="85" zoomScaleNormal="85" zoomScalePageLayoutView="85" workbookViewId="0">
      <pane xSplit="1" ySplit="7" topLeftCell="B23" activePane="bottomRight" state="frozen"/>
      <selection/>
      <selection pane="topRight"/>
      <selection pane="bottomLeft"/>
      <selection pane="bottomRight" activeCell="Z33" sqref="Z33"/>
    </sheetView>
  </sheetViews>
  <sheetFormatPr defaultColWidth="9.14285714285714" defaultRowHeight="15"/>
  <cols>
    <col min="1" max="1" width="13.7142857142857" customWidth="1"/>
    <col min="2" max="7" width="10.952380952381" customWidth="1"/>
    <col min="8" max="28" width="8.71428571428571" customWidth="1"/>
    <col min="29" max="29" width="9.14285714285714" style="25"/>
    <col min="30" max="30" width="12.8571428571429"/>
  </cols>
  <sheetData>
    <row r="1" ht="20" customHeight="1" spans="1:28">
      <c r="A1" s="1"/>
      <c r="B1" s="26" t="s">
        <v>82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65"/>
    </row>
    <row r="2" spans="1:28">
      <c r="A2" s="1"/>
      <c r="B2" s="28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66"/>
    </row>
    <row r="3" ht="22" customHeight="1" spans="1:28">
      <c r="A3" s="1"/>
      <c r="B3" s="30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67"/>
    </row>
    <row r="4" ht="23.25" spans="1:28">
      <c r="A4" s="1"/>
      <c r="B4" s="32" t="s">
        <v>80</v>
      </c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68"/>
    </row>
    <row r="5" spans="1:28">
      <c r="A5" s="34" t="s">
        <v>81</v>
      </c>
      <c r="B5" s="34" t="s">
        <v>12</v>
      </c>
      <c r="C5" s="35" t="s">
        <v>13</v>
      </c>
      <c r="D5" s="35" t="s">
        <v>14</v>
      </c>
      <c r="E5" s="36" t="s">
        <v>90</v>
      </c>
      <c r="F5" s="35" t="s">
        <v>16</v>
      </c>
      <c r="G5" s="34" t="s">
        <v>17</v>
      </c>
      <c r="H5" s="34" t="s">
        <v>18</v>
      </c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</row>
    <row r="6" spans="1:28">
      <c r="A6" s="34"/>
      <c r="B6" s="34"/>
      <c r="C6" s="35"/>
      <c r="D6" s="35"/>
      <c r="E6" s="37"/>
      <c r="F6" s="35"/>
      <c r="G6" s="34"/>
      <c r="H6" s="34">
        <v>1</v>
      </c>
      <c r="I6" s="34">
        <v>2</v>
      </c>
      <c r="J6" s="34">
        <v>3</v>
      </c>
      <c r="K6" s="34">
        <v>4</v>
      </c>
      <c r="L6" s="34">
        <v>5</v>
      </c>
      <c r="M6" s="34">
        <v>6</v>
      </c>
      <c r="N6" s="34">
        <v>7</v>
      </c>
      <c r="O6" s="34">
        <v>8</v>
      </c>
      <c r="P6" s="34">
        <v>9</v>
      </c>
      <c r="Q6" s="34">
        <v>10</v>
      </c>
      <c r="R6" s="34">
        <v>11</v>
      </c>
      <c r="S6" s="34">
        <v>12</v>
      </c>
      <c r="T6" s="34">
        <v>13</v>
      </c>
      <c r="U6" s="34">
        <v>14</v>
      </c>
      <c r="V6" s="34">
        <v>15</v>
      </c>
      <c r="W6" s="34">
        <v>16</v>
      </c>
      <c r="X6" s="34">
        <v>17</v>
      </c>
      <c r="Y6" s="34">
        <v>18</v>
      </c>
      <c r="Z6" s="34">
        <v>19</v>
      </c>
      <c r="AA6" s="34">
        <v>20</v>
      </c>
      <c r="AB6" s="34">
        <v>21</v>
      </c>
    </row>
    <row r="7" spans="1:28">
      <c r="A7" s="34"/>
      <c r="B7" s="34"/>
      <c r="C7" s="35"/>
      <c r="D7" s="35"/>
      <c r="E7" s="38"/>
      <c r="F7" s="35"/>
      <c r="G7" s="34"/>
      <c r="H7" s="34" t="s">
        <v>19</v>
      </c>
      <c r="I7" s="34" t="s">
        <v>20</v>
      </c>
      <c r="J7" s="34" t="s">
        <v>21</v>
      </c>
      <c r="K7" s="34" t="s">
        <v>22</v>
      </c>
      <c r="L7" s="34" t="s">
        <v>23</v>
      </c>
      <c r="M7" s="34" t="s">
        <v>24</v>
      </c>
      <c r="N7" s="34" t="s">
        <v>25</v>
      </c>
      <c r="O7" s="34" t="s">
        <v>26</v>
      </c>
      <c r="P7" s="34" t="s">
        <v>27</v>
      </c>
      <c r="Q7" s="34" t="s">
        <v>28</v>
      </c>
      <c r="R7" s="34" t="s">
        <v>29</v>
      </c>
      <c r="S7" s="34" t="s">
        <v>30</v>
      </c>
      <c r="T7" s="34" t="s">
        <v>31</v>
      </c>
      <c r="U7" s="34" t="s">
        <v>32</v>
      </c>
      <c r="V7" s="34" t="s">
        <v>33</v>
      </c>
      <c r="W7" s="34" t="s">
        <v>34</v>
      </c>
      <c r="X7" s="34" t="s">
        <v>35</v>
      </c>
      <c r="Y7" s="34" t="s">
        <v>36</v>
      </c>
      <c r="Z7" s="34" t="s">
        <v>37</v>
      </c>
      <c r="AA7" s="34" t="s">
        <v>38</v>
      </c>
      <c r="AB7" s="34" t="s">
        <v>39</v>
      </c>
    </row>
    <row r="8" ht="20" customHeight="1" spans="1:28">
      <c r="A8" s="39">
        <v>46023</v>
      </c>
      <c r="B8" s="10">
        <v>11003</v>
      </c>
      <c r="C8" s="10">
        <v>10760</v>
      </c>
      <c r="D8" s="10">
        <v>81</v>
      </c>
      <c r="E8" s="11">
        <f>D8/B8*100</f>
        <v>0.736162864673271</v>
      </c>
      <c r="F8" s="40">
        <f>B8-(C8+D8)</f>
        <v>162</v>
      </c>
      <c r="G8" s="11">
        <f>F8/B8*100</f>
        <v>1.47232572934654</v>
      </c>
      <c r="H8" s="10">
        <v>74</v>
      </c>
      <c r="I8" s="10">
        <v>32</v>
      </c>
      <c r="J8" s="10"/>
      <c r="K8" s="10"/>
      <c r="L8" s="10">
        <v>10</v>
      </c>
      <c r="M8" s="10"/>
      <c r="N8" s="10"/>
      <c r="O8" s="10"/>
      <c r="P8" s="10"/>
      <c r="Q8" s="10"/>
      <c r="R8" s="10"/>
      <c r="S8" s="10">
        <v>43</v>
      </c>
      <c r="T8" s="10"/>
      <c r="U8" s="10"/>
      <c r="V8" s="10"/>
      <c r="W8" s="10"/>
      <c r="X8" s="10"/>
      <c r="Y8" s="10"/>
      <c r="Z8" s="10">
        <v>3</v>
      </c>
      <c r="AA8" s="10"/>
      <c r="AB8" s="10"/>
    </row>
    <row r="9" ht="20" customHeight="1" spans="1:28">
      <c r="A9" s="39">
        <v>46024</v>
      </c>
      <c r="B9" s="41">
        <v>7976</v>
      </c>
      <c r="C9" s="41">
        <v>7413</v>
      </c>
      <c r="D9" s="41">
        <v>289</v>
      </c>
      <c r="E9" s="11">
        <f>D9/B9*100</f>
        <v>3.62337011033099</v>
      </c>
      <c r="F9" s="40">
        <f>B9-(C9+D9)</f>
        <v>274</v>
      </c>
      <c r="G9" s="11">
        <f>F9/B9*100</f>
        <v>3.43530591775326</v>
      </c>
      <c r="H9" s="41">
        <v>81</v>
      </c>
      <c r="I9" s="41">
        <v>20</v>
      </c>
      <c r="J9" s="41"/>
      <c r="K9" s="41"/>
      <c r="L9" s="41">
        <v>8</v>
      </c>
      <c r="M9" s="41"/>
      <c r="N9" s="41"/>
      <c r="O9" s="41"/>
      <c r="P9" s="41">
        <v>26</v>
      </c>
      <c r="Q9" s="41"/>
      <c r="R9" s="41"/>
      <c r="S9" s="41">
        <v>85</v>
      </c>
      <c r="T9" s="41"/>
      <c r="U9" s="41"/>
      <c r="V9" s="41"/>
      <c r="W9" s="41"/>
      <c r="X9" s="41">
        <v>27</v>
      </c>
      <c r="Y9" s="41">
        <v>24</v>
      </c>
      <c r="Z9" s="41">
        <v>3</v>
      </c>
      <c r="AA9" s="41"/>
      <c r="AB9" s="10"/>
    </row>
    <row r="10" ht="20" customHeight="1" spans="1:28">
      <c r="A10" s="39">
        <v>46025</v>
      </c>
      <c r="B10" s="41">
        <v>8964</v>
      </c>
      <c r="C10" s="41">
        <v>8175</v>
      </c>
      <c r="D10" s="41">
        <v>340</v>
      </c>
      <c r="E10" s="11">
        <f>D10/B10*100</f>
        <v>3.79294957608211</v>
      </c>
      <c r="F10" s="40">
        <f>B10-(C10+D10)</f>
        <v>449</v>
      </c>
      <c r="G10" s="11">
        <f>F10/B10*100</f>
        <v>5.00892458723784</v>
      </c>
      <c r="H10" s="41">
        <v>117</v>
      </c>
      <c r="I10" s="41">
        <v>32</v>
      </c>
      <c r="J10" s="41"/>
      <c r="K10" s="41"/>
      <c r="L10" s="41"/>
      <c r="M10" s="41"/>
      <c r="N10" s="41"/>
      <c r="O10" s="41"/>
      <c r="P10" s="41">
        <v>59</v>
      </c>
      <c r="Q10" s="41"/>
      <c r="R10" s="41"/>
      <c r="S10" s="41">
        <v>127</v>
      </c>
      <c r="T10" s="41"/>
      <c r="U10" s="41"/>
      <c r="V10" s="41"/>
      <c r="W10" s="41"/>
      <c r="X10" s="41">
        <v>72</v>
      </c>
      <c r="Y10" s="41">
        <v>42</v>
      </c>
      <c r="Z10" s="41"/>
      <c r="AA10" s="41"/>
      <c r="AB10" s="10"/>
    </row>
    <row r="11" ht="20" customHeight="1" spans="1:28">
      <c r="A11" s="42" t="s">
        <v>40</v>
      </c>
      <c r="B11" s="43">
        <f>SUM(B8:B10)</f>
        <v>27943</v>
      </c>
      <c r="C11" s="43">
        <f>SUM(C8:C10)</f>
        <v>26348</v>
      </c>
      <c r="D11" s="43">
        <f>SUM(D8:D10)</f>
        <v>710</v>
      </c>
      <c r="E11" s="44">
        <f>SUM(E8:E10)</f>
        <v>8.15248255108637</v>
      </c>
      <c r="F11" s="43">
        <f>SUM(F8:F10)</f>
        <v>885</v>
      </c>
      <c r="G11" s="44">
        <f>F11/B11*100</f>
        <v>3.16716172207709</v>
      </c>
      <c r="H11" s="43">
        <f t="shared" ref="H11:AB11" si="0">SUM(H8:H10)</f>
        <v>272</v>
      </c>
      <c r="I11" s="43">
        <f t="shared" si="0"/>
        <v>84</v>
      </c>
      <c r="J11" s="43">
        <f t="shared" si="0"/>
        <v>0</v>
      </c>
      <c r="K11" s="43">
        <f t="shared" si="0"/>
        <v>0</v>
      </c>
      <c r="L11" s="43">
        <f t="shared" si="0"/>
        <v>18</v>
      </c>
      <c r="M11" s="43">
        <f t="shared" si="0"/>
        <v>0</v>
      </c>
      <c r="N11" s="43">
        <f t="shared" si="0"/>
        <v>0</v>
      </c>
      <c r="O11" s="43">
        <f t="shared" si="0"/>
        <v>0</v>
      </c>
      <c r="P11" s="43">
        <f t="shared" si="0"/>
        <v>85</v>
      </c>
      <c r="Q11" s="43">
        <f t="shared" si="0"/>
        <v>0</v>
      </c>
      <c r="R11" s="43">
        <f t="shared" si="0"/>
        <v>0</v>
      </c>
      <c r="S11" s="43">
        <f t="shared" si="0"/>
        <v>255</v>
      </c>
      <c r="T11" s="43">
        <f t="shared" si="0"/>
        <v>0</v>
      </c>
      <c r="U11" s="43">
        <f t="shared" si="0"/>
        <v>0</v>
      </c>
      <c r="V11" s="43">
        <f t="shared" si="0"/>
        <v>0</v>
      </c>
      <c r="W11" s="43">
        <f t="shared" si="0"/>
        <v>0</v>
      </c>
      <c r="X11" s="43">
        <f t="shared" si="0"/>
        <v>99</v>
      </c>
      <c r="Y11" s="43">
        <f t="shared" si="0"/>
        <v>66</v>
      </c>
      <c r="Z11" s="43">
        <f t="shared" si="0"/>
        <v>6</v>
      </c>
      <c r="AA11" s="43">
        <f t="shared" si="0"/>
        <v>0</v>
      </c>
      <c r="AB11" s="43">
        <f t="shared" si="0"/>
        <v>0</v>
      </c>
    </row>
    <row r="12" ht="20" customHeight="1" spans="1:29">
      <c r="A12" s="45" t="s">
        <v>84</v>
      </c>
      <c r="B12" s="46"/>
      <c r="C12" s="47">
        <f>C11/$B$11*100</f>
        <v>94.2919514726407</v>
      </c>
      <c r="D12" s="47">
        <f>D11/$B$11*100</f>
        <v>2.54088680528218</v>
      </c>
      <c r="E12" s="47">
        <f>E11/$B$11*100</f>
        <v>0.0291754018934487</v>
      </c>
      <c r="F12" s="47">
        <f>F11/$B$11*100</f>
        <v>3.16716172207709</v>
      </c>
      <c r="G12" s="47">
        <f>G11/$B$11*100</f>
        <v>0.0113343653941133</v>
      </c>
      <c r="H12" s="47">
        <f>H11/$B$11*100</f>
        <v>0.973410156389794</v>
      </c>
      <c r="I12" s="47">
        <f>I11/$B$11*100</f>
        <v>0.300611960061554</v>
      </c>
      <c r="J12" s="47">
        <f>J11/$B$11*100</f>
        <v>0</v>
      </c>
      <c r="K12" s="47">
        <f>K11/$B$11*100</f>
        <v>0</v>
      </c>
      <c r="L12" s="47">
        <f>L11/$B$11*100</f>
        <v>0.0644168485846187</v>
      </c>
      <c r="M12" s="47">
        <f>M11/$B$11*100</f>
        <v>0</v>
      </c>
      <c r="N12" s="47">
        <f>N11/$B$11*100</f>
        <v>0</v>
      </c>
      <c r="O12" s="47">
        <f>O11/$B$11*100</f>
        <v>0</v>
      </c>
      <c r="P12" s="47">
        <f>P11/$B$11*100</f>
        <v>0.30419067387181</v>
      </c>
      <c r="Q12" s="47">
        <f>Q11/$B$11*100</f>
        <v>0</v>
      </c>
      <c r="R12" s="47">
        <f>R11/$B$11*100</f>
        <v>0</v>
      </c>
      <c r="S12" s="47">
        <f>S11/$B$11*100</f>
        <v>0.912572021615431</v>
      </c>
      <c r="T12" s="47">
        <f>T11/$B$11*100</f>
        <v>0</v>
      </c>
      <c r="U12" s="47">
        <f>U11/$B$11*100</f>
        <v>0</v>
      </c>
      <c r="V12" s="47">
        <f>V11/$B$11*100</f>
        <v>0</v>
      </c>
      <c r="W12" s="47">
        <f>W11/$B$11*100</f>
        <v>0</v>
      </c>
      <c r="X12" s="47">
        <f>X11/$B$11*100</f>
        <v>0.354292667215403</v>
      </c>
      <c r="Y12" s="47">
        <f>Y11/$B$11*100</f>
        <v>0.236195111476935</v>
      </c>
      <c r="Z12" s="47">
        <f>Z11/$B$11*100</f>
        <v>0.0214722828615396</v>
      </c>
      <c r="AA12" s="47">
        <f>AA11/$B$11*100</f>
        <v>0</v>
      </c>
      <c r="AB12" s="47">
        <f>AB11/$B$11*100</f>
        <v>0</v>
      </c>
      <c r="AC12" s="69">
        <f>SUM(H12:AB12)</f>
        <v>3.16716172207709</v>
      </c>
    </row>
    <row r="13" ht="20" customHeight="1" spans="1:28">
      <c r="A13" s="48">
        <v>46026</v>
      </c>
      <c r="B13" s="49"/>
      <c r="C13" s="49"/>
      <c r="D13" s="49"/>
      <c r="E13" s="50" t="e">
        <f t="shared" ref="E13:E20" si="1">D13/B13*100</f>
        <v>#DIV/0!</v>
      </c>
      <c r="F13" s="49">
        <f t="shared" ref="F13:F19" si="2">B13-(C13+D13)</f>
        <v>0</v>
      </c>
      <c r="G13" s="50" t="e">
        <f t="shared" ref="G13:G19" si="3">F13/B13*100</f>
        <v>#DIV/0!</v>
      </c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</row>
    <row r="14" ht="20" customHeight="1" spans="1:28">
      <c r="A14" s="51">
        <v>46027</v>
      </c>
      <c r="B14" s="10">
        <v>12695</v>
      </c>
      <c r="C14" s="10">
        <v>12034</v>
      </c>
      <c r="D14" s="10">
        <v>112</v>
      </c>
      <c r="E14" s="11">
        <f t="shared" si="1"/>
        <v>0.882237101220953</v>
      </c>
      <c r="F14" s="10">
        <f t="shared" si="2"/>
        <v>549</v>
      </c>
      <c r="G14" s="11">
        <f t="shared" si="3"/>
        <v>4.32453721937771</v>
      </c>
      <c r="H14" s="10">
        <v>181</v>
      </c>
      <c r="I14" s="10">
        <v>4</v>
      </c>
      <c r="J14" s="10"/>
      <c r="K14" s="10"/>
      <c r="L14" s="10">
        <v>9</v>
      </c>
      <c r="M14" s="10"/>
      <c r="N14" s="10"/>
      <c r="O14" s="10"/>
      <c r="P14" s="10">
        <v>145</v>
      </c>
      <c r="Q14" s="10"/>
      <c r="R14" s="10"/>
      <c r="S14" s="10">
        <v>139</v>
      </c>
      <c r="T14" s="10"/>
      <c r="U14" s="10"/>
      <c r="V14" s="10"/>
      <c r="W14" s="10"/>
      <c r="X14" s="10">
        <v>34</v>
      </c>
      <c r="Y14" s="10">
        <v>37</v>
      </c>
      <c r="Z14" s="10"/>
      <c r="AA14" s="10"/>
      <c r="AB14" s="10"/>
    </row>
    <row r="15" ht="20" customHeight="1" spans="1:28">
      <c r="A15" s="51">
        <v>46028</v>
      </c>
      <c r="B15" s="10">
        <v>9853</v>
      </c>
      <c r="C15" s="10">
        <v>9166</v>
      </c>
      <c r="D15" s="10">
        <v>191</v>
      </c>
      <c r="E15" s="11">
        <f t="shared" si="1"/>
        <v>1.93849588957678</v>
      </c>
      <c r="F15" s="10">
        <f t="shared" si="2"/>
        <v>496</v>
      </c>
      <c r="G15" s="11">
        <f t="shared" si="3"/>
        <v>5.03399979701614</v>
      </c>
      <c r="H15" s="10">
        <v>114</v>
      </c>
      <c r="I15" s="10">
        <v>21</v>
      </c>
      <c r="J15" s="10"/>
      <c r="K15" s="10"/>
      <c r="L15" s="10"/>
      <c r="M15" s="10"/>
      <c r="N15" s="10"/>
      <c r="O15" s="10"/>
      <c r="P15" s="10">
        <v>142</v>
      </c>
      <c r="Q15" s="10"/>
      <c r="R15" s="10"/>
      <c r="S15" s="10">
        <v>147</v>
      </c>
      <c r="T15" s="10"/>
      <c r="U15" s="10"/>
      <c r="V15" s="10"/>
      <c r="W15" s="10"/>
      <c r="X15" s="10">
        <v>38</v>
      </c>
      <c r="Y15" s="10">
        <v>34</v>
      </c>
      <c r="Z15" s="10"/>
      <c r="AA15" s="10"/>
      <c r="AB15" s="10"/>
    </row>
    <row r="16" s="23" customFormat="1" ht="20" customHeight="1" spans="1:29">
      <c r="A16" s="51">
        <v>46029</v>
      </c>
      <c r="B16" s="40">
        <v>10889</v>
      </c>
      <c r="C16" s="40">
        <v>10024</v>
      </c>
      <c r="D16" s="40">
        <v>435</v>
      </c>
      <c r="E16" s="11">
        <f t="shared" si="1"/>
        <v>3.99485719533474</v>
      </c>
      <c r="F16" s="40">
        <f t="shared" si="2"/>
        <v>430</v>
      </c>
      <c r="G16" s="52">
        <f t="shared" si="3"/>
        <v>3.94893929653779</v>
      </c>
      <c r="H16" s="40">
        <v>124</v>
      </c>
      <c r="I16" s="40">
        <v>28</v>
      </c>
      <c r="J16" s="40"/>
      <c r="K16" s="40"/>
      <c r="L16" s="40">
        <v>9</v>
      </c>
      <c r="M16" s="40"/>
      <c r="N16" s="40"/>
      <c r="O16" s="40"/>
      <c r="P16" s="40">
        <v>47</v>
      </c>
      <c r="Q16" s="40"/>
      <c r="R16" s="40"/>
      <c r="S16" s="40">
        <v>143</v>
      </c>
      <c r="T16" s="40"/>
      <c r="U16" s="40"/>
      <c r="V16" s="40"/>
      <c r="W16" s="40"/>
      <c r="X16" s="40">
        <v>52</v>
      </c>
      <c r="Y16" s="40">
        <v>27</v>
      </c>
      <c r="Z16" s="40"/>
      <c r="AA16" s="40"/>
      <c r="AB16" s="40"/>
      <c r="AC16" s="70"/>
    </row>
    <row r="17" ht="20" customHeight="1" spans="1:28">
      <c r="A17" s="51">
        <v>46030</v>
      </c>
      <c r="B17" s="10">
        <v>10471</v>
      </c>
      <c r="C17" s="10">
        <v>9918</v>
      </c>
      <c r="D17" s="10">
        <v>234</v>
      </c>
      <c r="E17" s="11">
        <f t="shared" si="1"/>
        <v>2.23474357749976</v>
      </c>
      <c r="F17" s="40">
        <f t="shared" si="2"/>
        <v>319</v>
      </c>
      <c r="G17" s="11">
        <f t="shared" si="3"/>
        <v>3.04650940693344</v>
      </c>
      <c r="H17" s="10">
        <v>92</v>
      </c>
      <c r="I17" s="10">
        <v>25</v>
      </c>
      <c r="J17" s="10">
        <v>25</v>
      </c>
      <c r="K17" s="10"/>
      <c r="L17" s="10"/>
      <c r="M17" s="10"/>
      <c r="N17" s="10"/>
      <c r="O17" s="10"/>
      <c r="P17" s="10">
        <v>45</v>
      </c>
      <c r="Q17" s="10"/>
      <c r="R17" s="10"/>
      <c r="S17" s="10">
        <v>131</v>
      </c>
      <c r="T17" s="10"/>
      <c r="U17" s="10"/>
      <c r="V17" s="10"/>
      <c r="W17" s="10"/>
      <c r="X17" s="10">
        <v>21</v>
      </c>
      <c r="Y17" s="10">
        <v>5</v>
      </c>
      <c r="Z17" s="10"/>
      <c r="AA17" s="10"/>
      <c r="AB17" s="10"/>
    </row>
    <row r="18" ht="20" customHeight="1" spans="1:28">
      <c r="A18" s="51">
        <v>46031</v>
      </c>
      <c r="B18" s="10">
        <v>16214</v>
      </c>
      <c r="C18" s="10">
        <v>14580</v>
      </c>
      <c r="D18" s="10">
        <v>689</v>
      </c>
      <c r="E18" s="11">
        <f t="shared" si="1"/>
        <v>4.24941408659183</v>
      </c>
      <c r="F18" s="40">
        <f t="shared" si="2"/>
        <v>945</v>
      </c>
      <c r="G18" s="11">
        <f t="shared" si="3"/>
        <v>5.82829653385963</v>
      </c>
      <c r="H18" s="10">
        <v>313</v>
      </c>
      <c r="I18" s="10">
        <v>37</v>
      </c>
      <c r="J18" s="10"/>
      <c r="K18" s="10"/>
      <c r="L18" s="10">
        <v>24</v>
      </c>
      <c r="M18" s="10"/>
      <c r="N18" s="10"/>
      <c r="O18" s="10"/>
      <c r="P18" s="10">
        <v>281</v>
      </c>
      <c r="Q18" s="10"/>
      <c r="R18" s="10"/>
      <c r="S18" s="10">
        <v>231</v>
      </c>
      <c r="T18" s="10"/>
      <c r="U18" s="10"/>
      <c r="V18" s="10"/>
      <c r="W18" s="10"/>
      <c r="X18" s="10">
        <v>49</v>
      </c>
      <c r="Y18" s="10">
        <v>10</v>
      </c>
      <c r="Z18" s="10"/>
      <c r="AA18" s="10"/>
      <c r="AB18" s="10"/>
    </row>
    <row r="19" ht="20" customHeight="1" spans="1:28">
      <c r="A19" s="51">
        <v>46032</v>
      </c>
      <c r="B19" s="10">
        <v>18477</v>
      </c>
      <c r="C19" s="10">
        <v>15887</v>
      </c>
      <c r="D19" s="10">
        <v>469</v>
      </c>
      <c r="E19" s="11">
        <f t="shared" si="1"/>
        <v>2.5382908480814</v>
      </c>
      <c r="F19" s="40">
        <v>621</v>
      </c>
      <c r="G19" s="11">
        <f t="shared" si="3"/>
        <v>3.36093521675597</v>
      </c>
      <c r="H19" s="10">
        <v>203</v>
      </c>
      <c r="I19" s="10">
        <v>43</v>
      </c>
      <c r="J19" s="10"/>
      <c r="K19" s="10"/>
      <c r="L19" s="10"/>
      <c r="M19" s="10"/>
      <c r="N19" s="10"/>
      <c r="O19" s="10"/>
      <c r="P19" s="10">
        <v>167</v>
      </c>
      <c r="Q19" s="10"/>
      <c r="R19" s="10"/>
      <c r="S19" s="10">
        <v>178</v>
      </c>
      <c r="T19" s="10"/>
      <c r="U19" s="10"/>
      <c r="V19" s="10"/>
      <c r="W19" s="10"/>
      <c r="X19" s="10"/>
      <c r="Y19" s="10">
        <v>30</v>
      </c>
      <c r="Z19" s="10"/>
      <c r="AA19" s="10"/>
      <c r="AB19" s="10"/>
    </row>
    <row r="20" ht="20" customHeight="1" spans="1:28">
      <c r="A20" s="42" t="s">
        <v>40</v>
      </c>
      <c r="B20" s="43">
        <f t="shared" ref="B20:AB20" si="4">SUM(B13:B19)</f>
        <v>78599</v>
      </c>
      <c r="C20" s="43">
        <f t="shared" si="4"/>
        <v>71609</v>
      </c>
      <c r="D20" s="43">
        <f t="shared" si="4"/>
        <v>2130</v>
      </c>
      <c r="E20" s="44">
        <f t="shared" si="1"/>
        <v>2.70995814196109</v>
      </c>
      <c r="F20" s="43">
        <f t="shared" si="4"/>
        <v>3360</v>
      </c>
      <c r="G20" s="43" t="e">
        <f t="shared" si="4"/>
        <v>#DIV/0!</v>
      </c>
      <c r="H20" s="43">
        <f t="shared" si="4"/>
        <v>1027</v>
      </c>
      <c r="I20" s="43">
        <f t="shared" si="4"/>
        <v>158</v>
      </c>
      <c r="J20" s="43">
        <f t="shared" si="4"/>
        <v>25</v>
      </c>
      <c r="K20" s="43">
        <f t="shared" si="4"/>
        <v>0</v>
      </c>
      <c r="L20" s="43">
        <f t="shared" si="4"/>
        <v>42</v>
      </c>
      <c r="M20" s="43">
        <f t="shared" si="4"/>
        <v>0</v>
      </c>
      <c r="N20" s="43">
        <f t="shared" si="4"/>
        <v>0</v>
      </c>
      <c r="O20" s="43">
        <f t="shared" si="4"/>
        <v>0</v>
      </c>
      <c r="P20" s="43">
        <f t="shared" si="4"/>
        <v>827</v>
      </c>
      <c r="Q20" s="43">
        <f t="shared" si="4"/>
        <v>0</v>
      </c>
      <c r="R20" s="43">
        <f t="shared" si="4"/>
        <v>0</v>
      </c>
      <c r="S20" s="43">
        <f t="shared" si="4"/>
        <v>969</v>
      </c>
      <c r="T20" s="43">
        <f t="shared" si="4"/>
        <v>0</v>
      </c>
      <c r="U20" s="43">
        <f t="shared" si="4"/>
        <v>0</v>
      </c>
      <c r="V20" s="43">
        <f t="shared" si="4"/>
        <v>0</v>
      </c>
      <c r="W20" s="43">
        <f t="shared" si="4"/>
        <v>0</v>
      </c>
      <c r="X20" s="43">
        <f t="shared" si="4"/>
        <v>194</v>
      </c>
      <c r="Y20" s="43">
        <f t="shared" si="4"/>
        <v>143</v>
      </c>
      <c r="Z20" s="43">
        <f t="shared" si="4"/>
        <v>0</v>
      </c>
      <c r="AA20" s="43">
        <f t="shared" si="4"/>
        <v>0</v>
      </c>
      <c r="AB20" s="43">
        <f t="shared" si="4"/>
        <v>0</v>
      </c>
    </row>
    <row r="21" ht="20" customHeight="1" spans="1:29">
      <c r="A21" s="45" t="s">
        <v>84</v>
      </c>
      <c r="B21" s="46"/>
      <c r="C21" s="47">
        <f>C20/$B$20*100</f>
        <v>91.1067570834234</v>
      </c>
      <c r="D21" s="47">
        <f>D20/$B$20*100</f>
        <v>2.70995814196109</v>
      </c>
      <c r="E21" s="47">
        <f>E20/$B$20*100</f>
        <v>0.00344782776111795</v>
      </c>
      <c r="F21" s="47">
        <f>F20/$B$20*100</f>
        <v>4.27486354788229</v>
      </c>
      <c r="G21" s="47" t="e">
        <f>G20/$B$20*100</f>
        <v>#DIV/0!</v>
      </c>
      <c r="H21" s="47">
        <f>H20/$B$20*100</f>
        <v>1.30663239990331</v>
      </c>
      <c r="I21" s="47">
        <f>I20/$B$20*100</f>
        <v>0.201020369215893</v>
      </c>
      <c r="J21" s="47">
        <f>J20/$B$20*100</f>
        <v>0.0318070204455527</v>
      </c>
      <c r="K21" s="47">
        <f>K20/$B$20*100</f>
        <v>0</v>
      </c>
      <c r="L21" s="47">
        <f>L20/$B$20*100</f>
        <v>0.0534357943485286</v>
      </c>
      <c r="M21" s="47">
        <f>M20/$B$20*100</f>
        <v>0</v>
      </c>
      <c r="N21" s="47">
        <f>N20/$B$20*100</f>
        <v>0</v>
      </c>
      <c r="O21" s="47">
        <f>O20/$B$20*100</f>
        <v>0</v>
      </c>
      <c r="P21" s="47">
        <f>P20/$B$20*100</f>
        <v>1.05217623633888</v>
      </c>
      <c r="Q21" s="47">
        <f>Q20/$B$20*100</f>
        <v>0</v>
      </c>
      <c r="R21" s="47">
        <f>R20/$B$20*100</f>
        <v>0</v>
      </c>
      <c r="S21" s="47">
        <f>S20/$B$20*100</f>
        <v>1.23284011246962</v>
      </c>
      <c r="T21" s="47">
        <f>T20/$B$20*100</f>
        <v>0</v>
      </c>
      <c r="U21" s="47">
        <f>U20/$B$20*100</f>
        <v>0</v>
      </c>
      <c r="V21" s="47">
        <f>V20/$B$20*100</f>
        <v>0</v>
      </c>
      <c r="W21" s="47">
        <f>W20/$B$20*100</f>
        <v>0</v>
      </c>
      <c r="X21" s="47">
        <f>X20/$B$20*100</f>
        <v>0.246822478657489</v>
      </c>
      <c r="Y21" s="47">
        <f>Y20/$B$20*100</f>
        <v>0.181936156948562</v>
      </c>
      <c r="Z21" s="47">
        <f>Z20/$B$20*100</f>
        <v>0</v>
      </c>
      <c r="AA21" s="47">
        <f>AA20/$B$20*100</f>
        <v>0</v>
      </c>
      <c r="AB21" s="47">
        <f>AB20/$B$20*100</f>
        <v>0</v>
      </c>
      <c r="AC21" s="69">
        <f>SUM(H21:AB21)</f>
        <v>4.30667056832784</v>
      </c>
    </row>
    <row r="22" ht="20" customHeight="1" spans="1:28">
      <c r="A22" s="48">
        <v>46033</v>
      </c>
      <c r="B22" s="49"/>
      <c r="C22" s="49"/>
      <c r="D22" s="49"/>
      <c r="E22" s="50">
        <v>0</v>
      </c>
      <c r="F22" s="49">
        <f t="shared" ref="F22:F28" si="5">B22-(C22+D22)</f>
        <v>0</v>
      </c>
      <c r="G22" s="50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</row>
    <row r="23" ht="20" customHeight="1" spans="1:28">
      <c r="A23" s="51">
        <v>46034</v>
      </c>
      <c r="B23" s="10">
        <v>14954</v>
      </c>
      <c r="C23" s="10">
        <v>13853</v>
      </c>
      <c r="D23" s="10">
        <v>456</v>
      </c>
      <c r="E23" s="11">
        <f t="shared" ref="E23:E29" si="6">D23/B23*100</f>
        <v>3.04935134412197</v>
      </c>
      <c r="F23" s="10">
        <f t="shared" si="5"/>
        <v>645</v>
      </c>
      <c r="G23" s="11">
        <f t="shared" ref="G23:G28" si="7">F23/B23*100</f>
        <v>4.31322723017253</v>
      </c>
      <c r="H23" s="10">
        <v>236</v>
      </c>
      <c r="I23" s="10">
        <v>40</v>
      </c>
      <c r="J23" s="10"/>
      <c r="K23" s="10"/>
      <c r="L23" s="10">
        <v>16</v>
      </c>
      <c r="M23" s="10"/>
      <c r="N23" s="10"/>
      <c r="O23" s="10"/>
      <c r="P23" s="10">
        <v>110</v>
      </c>
      <c r="Q23" s="10"/>
      <c r="R23" s="10"/>
      <c r="S23" s="10">
        <v>223</v>
      </c>
      <c r="T23" s="10"/>
      <c r="U23" s="10"/>
      <c r="V23" s="10"/>
      <c r="W23" s="10"/>
      <c r="X23" s="10">
        <v>12</v>
      </c>
      <c r="Y23" s="10">
        <v>8</v>
      </c>
      <c r="Z23" s="10"/>
      <c r="AA23" s="10"/>
      <c r="AB23" s="10"/>
    </row>
    <row r="24" ht="20" customHeight="1" spans="1:28">
      <c r="A24" s="51">
        <v>46035</v>
      </c>
      <c r="B24" s="10">
        <v>12860</v>
      </c>
      <c r="C24" s="10">
        <v>11778</v>
      </c>
      <c r="D24" s="10">
        <v>326</v>
      </c>
      <c r="E24" s="11">
        <f t="shared" si="6"/>
        <v>2.53499222395023</v>
      </c>
      <c r="F24" s="10">
        <f t="shared" si="5"/>
        <v>756</v>
      </c>
      <c r="G24" s="11">
        <f t="shared" si="7"/>
        <v>5.87869362363919</v>
      </c>
      <c r="H24" s="10">
        <v>225</v>
      </c>
      <c r="I24" s="10">
        <v>98</v>
      </c>
      <c r="J24" s="10"/>
      <c r="K24" s="10"/>
      <c r="L24" s="10"/>
      <c r="M24" s="10"/>
      <c r="N24" s="10"/>
      <c r="O24" s="10"/>
      <c r="P24" s="10">
        <v>65</v>
      </c>
      <c r="Q24" s="10"/>
      <c r="R24" s="10"/>
      <c r="S24" s="10">
        <v>171</v>
      </c>
      <c r="T24" s="10"/>
      <c r="U24" s="10"/>
      <c r="V24" s="10"/>
      <c r="W24" s="10"/>
      <c r="X24" s="10">
        <v>117</v>
      </c>
      <c r="Y24" s="10">
        <v>80</v>
      </c>
      <c r="Z24" s="10"/>
      <c r="AA24" s="10"/>
      <c r="AB24" s="10"/>
    </row>
    <row r="25" customFormat="1" ht="20" customHeight="1" spans="1:29">
      <c r="A25" s="51">
        <v>46036</v>
      </c>
      <c r="B25" s="10">
        <v>17632</v>
      </c>
      <c r="C25" s="10">
        <v>15964</v>
      </c>
      <c r="D25" s="10">
        <v>928</v>
      </c>
      <c r="E25" s="11">
        <f t="shared" si="6"/>
        <v>5.26315789473684</v>
      </c>
      <c r="F25" s="10">
        <f t="shared" si="5"/>
        <v>740</v>
      </c>
      <c r="G25" s="11">
        <f t="shared" si="7"/>
        <v>4.19691470054446</v>
      </c>
      <c r="H25" s="10">
        <v>217</v>
      </c>
      <c r="I25" s="10">
        <v>28</v>
      </c>
      <c r="J25" s="10"/>
      <c r="K25" s="10"/>
      <c r="L25" s="10">
        <v>13</v>
      </c>
      <c r="M25" s="10"/>
      <c r="N25" s="10"/>
      <c r="O25" s="10"/>
      <c r="P25" s="10">
        <v>226</v>
      </c>
      <c r="Q25" s="10"/>
      <c r="R25" s="10"/>
      <c r="S25" s="10">
        <v>216</v>
      </c>
      <c r="T25" s="10"/>
      <c r="U25" s="10"/>
      <c r="V25" s="10"/>
      <c r="W25" s="10"/>
      <c r="X25" s="10"/>
      <c r="Y25" s="10">
        <v>40</v>
      </c>
      <c r="Z25" s="10"/>
      <c r="AA25" s="10"/>
      <c r="AB25" s="10"/>
      <c r="AC25" s="25"/>
    </row>
    <row r="26" customFormat="1" ht="20" customHeight="1" spans="1:29">
      <c r="A26" s="51">
        <v>46037</v>
      </c>
      <c r="B26" s="10">
        <v>10997</v>
      </c>
      <c r="C26" s="10">
        <v>9964</v>
      </c>
      <c r="D26" s="10">
        <v>303</v>
      </c>
      <c r="E26" s="11">
        <f t="shared" si="6"/>
        <v>2.75529689915431</v>
      </c>
      <c r="F26" s="10">
        <f t="shared" si="5"/>
        <v>730</v>
      </c>
      <c r="G26" s="11">
        <f t="shared" si="7"/>
        <v>6.63817404746749</v>
      </c>
      <c r="H26" s="10">
        <v>182</v>
      </c>
      <c r="I26" s="10">
        <v>188</v>
      </c>
      <c r="J26" s="10"/>
      <c r="K26" s="10"/>
      <c r="L26" s="10"/>
      <c r="M26" s="10"/>
      <c r="N26" s="10"/>
      <c r="O26" s="10"/>
      <c r="P26" s="10">
        <v>18</v>
      </c>
      <c r="Q26" s="10"/>
      <c r="R26" s="10"/>
      <c r="S26" s="10">
        <v>144</v>
      </c>
      <c r="T26" s="10"/>
      <c r="U26" s="10"/>
      <c r="V26" s="10"/>
      <c r="W26" s="10"/>
      <c r="X26" s="10">
        <v>80</v>
      </c>
      <c r="Y26" s="10">
        <v>79</v>
      </c>
      <c r="Z26" s="10">
        <v>39</v>
      </c>
      <c r="AA26" s="10"/>
      <c r="AB26" s="10"/>
      <c r="AC26" s="25"/>
    </row>
    <row r="27" s="23" customFormat="1" ht="20" customHeight="1" spans="1:29">
      <c r="A27" s="51">
        <v>46038</v>
      </c>
      <c r="B27" s="40">
        <v>10228</v>
      </c>
      <c r="C27" s="40">
        <v>9107</v>
      </c>
      <c r="D27" s="40">
        <v>238</v>
      </c>
      <c r="E27" s="11">
        <f t="shared" si="6"/>
        <v>2.3269456394212</v>
      </c>
      <c r="F27" s="10">
        <f t="shared" si="5"/>
        <v>883</v>
      </c>
      <c r="G27" s="11">
        <f t="shared" si="7"/>
        <v>8.63316386390301</v>
      </c>
      <c r="H27" s="40">
        <v>268</v>
      </c>
      <c r="I27" s="40">
        <v>151</v>
      </c>
      <c r="J27" s="40"/>
      <c r="K27" s="40"/>
      <c r="L27" s="40"/>
      <c r="M27" s="40"/>
      <c r="N27" s="40"/>
      <c r="O27" s="40"/>
      <c r="P27" s="40">
        <v>21</v>
      </c>
      <c r="Q27" s="40"/>
      <c r="R27" s="40"/>
      <c r="S27" s="40">
        <v>154</v>
      </c>
      <c r="T27" s="40"/>
      <c r="U27" s="40"/>
      <c r="V27" s="40"/>
      <c r="W27" s="40"/>
      <c r="X27" s="40">
        <v>142</v>
      </c>
      <c r="Y27" s="40">
        <v>31</v>
      </c>
      <c r="Z27" s="40">
        <v>116</v>
      </c>
      <c r="AA27" s="40"/>
      <c r="AB27" s="40"/>
      <c r="AC27" s="70"/>
    </row>
    <row r="28" ht="20" customHeight="1" spans="1:28">
      <c r="A28" s="51">
        <v>46039</v>
      </c>
      <c r="B28" s="10">
        <v>15894</v>
      </c>
      <c r="C28" s="10">
        <v>14521</v>
      </c>
      <c r="D28" s="10">
        <v>461</v>
      </c>
      <c r="E28" s="11">
        <f t="shared" si="6"/>
        <v>2.90046558449729</v>
      </c>
      <c r="F28" s="10">
        <f t="shared" si="5"/>
        <v>912</v>
      </c>
      <c r="G28" s="11">
        <f t="shared" si="7"/>
        <v>5.73801434503586</v>
      </c>
      <c r="H28" s="10">
        <v>178</v>
      </c>
      <c r="I28" s="10">
        <v>44</v>
      </c>
      <c r="J28" s="10"/>
      <c r="K28" s="10"/>
      <c r="L28" s="10"/>
      <c r="M28" s="10"/>
      <c r="N28" s="10"/>
      <c r="O28" s="10"/>
      <c r="P28" s="10">
        <v>203</v>
      </c>
      <c r="Q28" s="10"/>
      <c r="R28" s="10"/>
      <c r="S28" s="10">
        <v>234</v>
      </c>
      <c r="T28" s="10"/>
      <c r="U28" s="10"/>
      <c r="V28" s="10"/>
      <c r="W28" s="10"/>
      <c r="X28" s="10">
        <v>151</v>
      </c>
      <c r="Y28" s="10">
        <v>70</v>
      </c>
      <c r="Z28" s="10">
        <v>32</v>
      </c>
      <c r="AA28" s="10"/>
      <c r="AB28" s="10"/>
    </row>
    <row r="29" ht="20" customHeight="1" spans="1:28">
      <c r="A29" s="42" t="s">
        <v>40</v>
      </c>
      <c r="B29" s="43">
        <f t="shared" ref="B29:AB29" si="8">SUM(B22:B28)</f>
        <v>82565</v>
      </c>
      <c r="C29" s="43">
        <f t="shared" si="8"/>
        <v>75187</v>
      </c>
      <c r="D29" s="43">
        <f t="shared" si="8"/>
        <v>2712</v>
      </c>
      <c r="E29" s="44">
        <f t="shared" si="6"/>
        <v>3.28468479379883</v>
      </c>
      <c r="F29" s="43">
        <f t="shared" si="8"/>
        <v>4666</v>
      </c>
      <c r="G29" s="44">
        <f t="shared" si="8"/>
        <v>35.3981878107626</v>
      </c>
      <c r="H29" s="43">
        <f t="shared" si="8"/>
        <v>1306</v>
      </c>
      <c r="I29" s="43">
        <f t="shared" si="8"/>
        <v>549</v>
      </c>
      <c r="J29" s="43">
        <f t="shared" si="8"/>
        <v>0</v>
      </c>
      <c r="K29" s="43">
        <f t="shared" si="8"/>
        <v>0</v>
      </c>
      <c r="L29" s="43">
        <f t="shared" si="8"/>
        <v>29</v>
      </c>
      <c r="M29" s="43">
        <f t="shared" si="8"/>
        <v>0</v>
      </c>
      <c r="N29" s="43">
        <f t="shared" si="8"/>
        <v>0</v>
      </c>
      <c r="O29" s="43">
        <f t="shared" si="8"/>
        <v>0</v>
      </c>
      <c r="P29" s="43">
        <f t="shared" si="8"/>
        <v>643</v>
      </c>
      <c r="Q29" s="43">
        <f t="shared" si="8"/>
        <v>0</v>
      </c>
      <c r="R29" s="43">
        <f t="shared" si="8"/>
        <v>0</v>
      </c>
      <c r="S29" s="43">
        <f t="shared" si="8"/>
        <v>1142</v>
      </c>
      <c r="T29" s="43">
        <f t="shared" si="8"/>
        <v>0</v>
      </c>
      <c r="U29" s="43">
        <f t="shared" si="8"/>
        <v>0</v>
      </c>
      <c r="V29" s="43">
        <f t="shared" si="8"/>
        <v>0</v>
      </c>
      <c r="W29" s="43">
        <f t="shared" si="8"/>
        <v>0</v>
      </c>
      <c r="X29" s="43">
        <f t="shared" si="8"/>
        <v>502</v>
      </c>
      <c r="Y29" s="43">
        <f t="shared" si="8"/>
        <v>308</v>
      </c>
      <c r="Z29" s="43">
        <f t="shared" si="8"/>
        <v>187</v>
      </c>
      <c r="AA29" s="43">
        <f t="shared" si="8"/>
        <v>0</v>
      </c>
      <c r="AB29" s="43">
        <f t="shared" si="8"/>
        <v>0</v>
      </c>
    </row>
    <row r="30" ht="20" customHeight="1" spans="1:29">
      <c r="A30" s="45" t="s">
        <v>84</v>
      </c>
      <c r="B30" s="46"/>
      <c r="C30" s="47">
        <f>C29/$B$29*100</f>
        <v>91.0640101738025</v>
      </c>
      <c r="D30" s="47">
        <f>D29/$B$29*100</f>
        <v>3.28468479379883</v>
      </c>
      <c r="E30" s="47"/>
      <c r="F30" s="47">
        <f>F29/$B$29*100</f>
        <v>5.65130503239872</v>
      </c>
      <c r="G30" s="47">
        <f>G29/$B$29*100</f>
        <v>0.0428731154978048</v>
      </c>
      <c r="H30" s="47">
        <f>H29/$B$29*100</f>
        <v>1.58178404893115</v>
      </c>
      <c r="I30" s="47">
        <f>I29/$B$29*100</f>
        <v>0.664930660691576</v>
      </c>
      <c r="J30" s="47">
        <f>J29/$B$29*100</f>
        <v>0</v>
      </c>
      <c r="K30" s="47">
        <f>K29/$B$29*100</f>
        <v>0</v>
      </c>
      <c r="L30" s="47">
        <f>L29/$B$29*100</f>
        <v>0.0351238418215951</v>
      </c>
      <c r="M30" s="47">
        <f>M29/$B$29*100</f>
        <v>0</v>
      </c>
      <c r="N30" s="47">
        <f>N29/$B$29*100</f>
        <v>0</v>
      </c>
      <c r="O30" s="47">
        <f>O29/$B$29*100</f>
        <v>0</v>
      </c>
      <c r="P30" s="47">
        <f>P29/$B$29*100</f>
        <v>0.778780354871919</v>
      </c>
      <c r="Q30" s="47">
        <f>Q29/$B$29*100</f>
        <v>0</v>
      </c>
      <c r="R30" s="47">
        <f>R29/$B$29*100</f>
        <v>0</v>
      </c>
      <c r="S30" s="47">
        <f>S29/$B$29*100</f>
        <v>1.38315266759523</v>
      </c>
      <c r="T30" s="47">
        <f>T29/$B$29*100</f>
        <v>0</v>
      </c>
      <c r="U30" s="47">
        <f>U29/$B$29*100</f>
        <v>0</v>
      </c>
      <c r="V30" s="47">
        <f>V29/$B$29*100</f>
        <v>0</v>
      </c>
      <c r="W30" s="47">
        <f>W29/$B$29*100</f>
        <v>0</v>
      </c>
      <c r="X30" s="47">
        <f>X29/$B$29*100</f>
        <v>0.608005813601405</v>
      </c>
      <c r="Y30" s="47">
        <f>Y29/$B$29*100</f>
        <v>0.373039423484527</v>
      </c>
      <c r="Z30" s="47">
        <f>Z29/$B$29*100</f>
        <v>0.22648822140132</v>
      </c>
      <c r="AA30" s="47">
        <f>AA29/$B$29*100</f>
        <v>0</v>
      </c>
      <c r="AB30" s="47">
        <f>AB29/$B$29*100</f>
        <v>0</v>
      </c>
      <c r="AC30" s="69">
        <f>SUM(H30:AB30)</f>
        <v>5.65130503239872</v>
      </c>
    </row>
    <row r="31" s="24" customFormat="1" ht="20" customHeight="1" spans="1:29">
      <c r="A31" s="53">
        <v>46040</v>
      </c>
      <c r="B31" s="54"/>
      <c r="C31" s="54"/>
      <c r="D31" s="54"/>
      <c r="E31" s="55" t="e">
        <f t="shared" ref="E31:E38" si="9">D31/B31*100</f>
        <v>#DIV/0!</v>
      </c>
      <c r="F31" s="54">
        <f t="shared" ref="F31:F37" si="10">B31-(C31+D31)</f>
        <v>0</v>
      </c>
      <c r="G31" s="55" t="e">
        <f t="shared" ref="G31:G37" si="11">F31/B31*100</f>
        <v>#DIV/0!</v>
      </c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71"/>
    </row>
    <row r="32" ht="20" customHeight="1" spans="1:28">
      <c r="A32" s="51">
        <v>46041</v>
      </c>
      <c r="B32" s="40">
        <v>15322</v>
      </c>
      <c r="C32" s="40">
        <v>14328</v>
      </c>
      <c r="D32" s="40">
        <v>320</v>
      </c>
      <c r="E32" s="11">
        <f t="shared" si="9"/>
        <v>2.08850019579689</v>
      </c>
      <c r="F32" s="10">
        <f t="shared" si="10"/>
        <v>674</v>
      </c>
      <c r="G32" s="11">
        <f t="shared" si="11"/>
        <v>4.39890353739721</v>
      </c>
      <c r="H32" s="40">
        <v>263</v>
      </c>
      <c r="I32" s="40">
        <v>58</v>
      </c>
      <c r="J32" s="40"/>
      <c r="K32" s="40"/>
      <c r="L32" s="40"/>
      <c r="M32" s="40"/>
      <c r="N32" s="40"/>
      <c r="O32" s="40"/>
      <c r="P32" s="40">
        <v>50</v>
      </c>
      <c r="Q32" s="40"/>
      <c r="R32" s="40"/>
      <c r="S32" s="40">
        <v>257</v>
      </c>
      <c r="T32" s="40"/>
      <c r="U32" s="40"/>
      <c r="V32" s="40"/>
      <c r="W32" s="40"/>
      <c r="X32" s="40">
        <v>10</v>
      </c>
      <c r="Y32" s="40">
        <v>36</v>
      </c>
      <c r="Z32" s="40"/>
      <c r="AA32" s="40"/>
      <c r="AB32" s="40"/>
    </row>
    <row r="33" ht="20" customHeight="1" spans="1:28">
      <c r="A33" s="51">
        <v>46042</v>
      </c>
      <c r="B33" s="40">
        <v>13089</v>
      </c>
      <c r="C33" s="40">
        <v>12225</v>
      </c>
      <c r="D33" s="40">
        <v>216</v>
      </c>
      <c r="E33" s="11">
        <f t="shared" si="9"/>
        <v>1.65024066009626</v>
      </c>
      <c r="F33" s="10">
        <f t="shared" si="10"/>
        <v>648</v>
      </c>
      <c r="G33" s="11">
        <f t="shared" si="11"/>
        <v>4.95072198028879</v>
      </c>
      <c r="H33" s="40">
        <v>199</v>
      </c>
      <c r="I33" s="40">
        <v>16</v>
      </c>
      <c r="J33" s="40"/>
      <c r="K33" s="40"/>
      <c r="L33" s="40">
        <v>3</v>
      </c>
      <c r="M33" s="40"/>
      <c r="N33" s="40"/>
      <c r="O33" s="40"/>
      <c r="P33" s="40">
        <v>77</v>
      </c>
      <c r="Q33" s="40"/>
      <c r="R33" s="40"/>
      <c r="S33" s="40">
        <v>245</v>
      </c>
      <c r="T33" s="40"/>
      <c r="U33" s="40"/>
      <c r="V33" s="40"/>
      <c r="W33" s="40"/>
      <c r="X33" s="40"/>
      <c r="Y33" s="40">
        <v>108</v>
      </c>
      <c r="Z33" s="40"/>
      <c r="AA33" s="40"/>
      <c r="AB33" s="40"/>
    </row>
    <row r="34" s="23" customFormat="1" ht="20" customHeight="1" spans="1:29">
      <c r="A34" s="51">
        <v>46043</v>
      </c>
      <c r="B34" s="40">
        <v>12469</v>
      </c>
      <c r="C34" s="40">
        <v>11664</v>
      </c>
      <c r="D34" s="40">
        <v>267</v>
      </c>
      <c r="E34" s="11">
        <f t="shared" si="9"/>
        <v>2.14131044991579</v>
      </c>
      <c r="F34" s="10">
        <f t="shared" si="10"/>
        <v>538</v>
      </c>
      <c r="G34" s="11">
        <f t="shared" si="11"/>
        <v>4.31470045713369</v>
      </c>
      <c r="H34" s="40">
        <v>166</v>
      </c>
      <c r="I34" s="40">
        <v>27</v>
      </c>
      <c r="J34" s="40"/>
      <c r="K34" s="40"/>
      <c r="L34" s="40"/>
      <c r="M34" s="40"/>
      <c r="N34" s="40"/>
      <c r="O34" s="40"/>
      <c r="P34" s="40">
        <v>51</v>
      </c>
      <c r="Q34" s="40"/>
      <c r="R34" s="40"/>
      <c r="S34" s="40">
        <v>90</v>
      </c>
      <c r="T34" s="40">
        <v>13</v>
      </c>
      <c r="U34" s="40"/>
      <c r="V34" s="40"/>
      <c r="W34" s="40"/>
      <c r="X34" s="40">
        <v>45</v>
      </c>
      <c r="Y34" s="40">
        <v>57</v>
      </c>
      <c r="Z34" s="40">
        <v>3</v>
      </c>
      <c r="AA34" s="40">
        <v>86</v>
      </c>
      <c r="AB34" s="40"/>
      <c r="AC34" s="70"/>
    </row>
    <row r="35" ht="20" customHeight="1" spans="1:28">
      <c r="A35" s="51">
        <v>46044</v>
      </c>
      <c r="B35" s="40">
        <v>14332</v>
      </c>
      <c r="C35" s="40">
        <v>13592</v>
      </c>
      <c r="D35" s="40">
        <v>303</v>
      </c>
      <c r="E35" s="11">
        <f t="shared" si="9"/>
        <v>2.11415015350265</v>
      </c>
      <c r="F35" s="10">
        <f t="shared" si="10"/>
        <v>437</v>
      </c>
      <c r="G35" s="11">
        <f t="shared" si="11"/>
        <v>3.04912084845102</v>
      </c>
      <c r="H35" s="40">
        <v>144</v>
      </c>
      <c r="I35" s="40">
        <v>18</v>
      </c>
      <c r="J35" s="40"/>
      <c r="K35" s="40"/>
      <c r="L35" s="40"/>
      <c r="M35" s="40"/>
      <c r="N35" s="40"/>
      <c r="O35" s="40"/>
      <c r="P35" s="40">
        <v>47</v>
      </c>
      <c r="Q35" s="40"/>
      <c r="R35" s="40"/>
      <c r="S35" s="40">
        <v>161</v>
      </c>
      <c r="T35" s="40"/>
      <c r="U35" s="40"/>
      <c r="V35" s="40"/>
      <c r="W35" s="40"/>
      <c r="X35" s="40">
        <v>11</v>
      </c>
      <c r="Y35" s="40">
        <v>29</v>
      </c>
      <c r="Z35" s="40"/>
      <c r="AA35" s="40">
        <v>27</v>
      </c>
      <c r="AB35" s="40"/>
    </row>
    <row r="36" ht="20" customHeight="1" spans="1:29">
      <c r="A36" s="51">
        <v>46045</v>
      </c>
      <c r="B36" s="40">
        <v>10830</v>
      </c>
      <c r="C36" s="40">
        <v>9754</v>
      </c>
      <c r="D36" s="40">
        <v>566</v>
      </c>
      <c r="E36" s="11">
        <f t="shared" si="9"/>
        <v>5.22622345337027</v>
      </c>
      <c r="F36" s="10">
        <f t="shared" si="10"/>
        <v>510</v>
      </c>
      <c r="G36" s="11">
        <f t="shared" si="11"/>
        <v>4.70914127423823</v>
      </c>
      <c r="H36" s="40">
        <v>165</v>
      </c>
      <c r="I36" s="40">
        <v>100</v>
      </c>
      <c r="J36" s="40"/>
      <c r="K36" s="40"/>
      <c r="L36" s="40"/>
      <c r="M36" s="40"/>
      <c r="N36" s="40"/>
      <c r="O36" s="40"/>
      <c r="P36" s="40">
        <v>123</v>
      </c>
      <c r="Q36" s="40"/>
      <c r="R36" s="40"/>
      <c r="S36" s="40">
        <v>122</v>
      </c>
      <c r="T36" s="40"/>
      <c r="U36" s="40"/>
      <c r="V36" s="40"/>
      <c r="W36" s="40"/>
      <c r="X36" s="40"/>
      <c r="Y36" s="40"/>
      <c r="Z36" s="40"/>
      <c r="AA36" s="40"/>
      <c r="AB36" s="40"/>
      <c r="AC36" s="72"/>
    </row>
    <row r="37" ht="20" customHeight="1" spans="1:28">
      <c r="A37" s="51">
        <v>46046</v>
      </c>
      <c r="B37" s="40">
        <v>11841</v>
      </c>
      <c r="C37" s="40">
        <v>10878</v>
      </c>
      <c r="D37" s="40">
        <v>242</v>
      </c>
      <c r="E37" s="11">
        <f t="shared" si="9"/>
        <v>2.04374630521071</v>
      </c>
      <c r="F37" s="10">
        <f t="shared" si="10"/>
        <v>721</v>
      </c>
      <c r="G37" s="11">
        <f t="shared" si="11"/>
        <v>6.08901275230133</v>
      </c>
      <c r="H37" s="40">
        <v>181</v>
      </c>
      <c r="I37" s="40">
        <v>6</v>
      </c>
      <c r="J37" s="40"/>
      <c r="K37" s="40"/>
      <c r="L37" s="40"/>
      <c r="M37" s="40"/>
      <c r="N37" s="40"/>
      <c r="O37" s="40"/>
      <c r="P37" s="40">
        <v>93</v>
      </c>
      <c r="Q37" s="40"/>
      <c r="R37" s="40"/>
      <c r="S37" s="40">
        <v>126</v>
      </c>
      <c r="T37" s="40"/>
      <c r="U37" s="40"/>
      <c r="V37" s="40"/>
      <c r="W37" s="40"/>
      <c r="X37" s="40">
        <v>198</v>
      </c>
      <c r="Y37" s="40">
        <v>83</v>
      </c>
      <c r="Z37" s="40">
        <v>34</v>
      </c>
      <c r="AA37" s="40"/>
      <c r="AB37" s="40"/>
    </row>
    <row r="38" ht="20" customHeight="1" spans="1:28">
      <c r="A38" s="42" t="s">
        <v>40</v>
      </c>
      <c r="B38" s="56">
        <f t="shared" ref="B38:AB38" si="12">SUM(B31:B37)</f>
        <v>77883</v>
      </c>
      <c r="C38" s="56">
        <f t="shared" si="12"/>
        <v>72441</v>
      </c>
      <c r="D38" s="56">
        <f t="shared" si="12"/>
        <v>1914</v>
      </c>
      <c r="E38" s="57">
        <f t="shared" si="9"/>
        <v>2.45753245252494</v>
      </c>
      <c r="F38" s="56">
        <f t="shared" si="12"/>
        <v>3528</v>
      </c>
      <c r="G38" s="57" t="e">
        <f t="shared" si="12"/>
        <v>#DIV/0!</v>
      </c>
      <c r="H38" s="56">
        <f t="shared" si="12"/>
        <v>1118</v>
      </c>
      <c r="I38" s="56">
        <f t="shared" si="12"/>
        <v>225</v>
      </c>
      <c r="J38" s="56">
        <f t="shared" si="12"/>
        <v>0</v>
      </c>
      <c r="K38" s="56">
        <f t="shared" si="12"/>
        <v>0</v>
      </c>
      <c r="L38" s="56">
        <f t="shared" si="12"/>
        <v>3</v>
      </c>
      <c r="M38" s="56">
        <f t="shared" si="12"/>
        <v>0</v>
      </c>
      <c r="N38" s="56">
        <f t="shared" si="12"/>
        <v>0</v>
      </c>
      <c r="O38" s="56">
        <f t="shared" si="12"/>
        <v>0</v>
      </c>
      <c r="P38" s="56">
        <f t="shared" si="12"/>
        <v>441</v>
      </c>
      <c r="Q38" s="56">
        <f t="shared" si="12"/>
        <v>0</v>
      </c>
      <c r="R38" s="56">
        <f t="shared" si="12"/>
        <v>0</v>
      </c>
      <c r="S38" s="56">
        <f t="shared" si="12"/>
        <v>1001</v>
      </c>
      <c r="T38" s="56">
        <f t="shared" si="12"/>
        <v>13</v>
      </c>
      <c r="U38" s="56">
        <f t="shared" si="12"/>
        <v>0</v>
      </c>
      <c r="V38" s="56">
        <f t="shared" si="12"/>
        <v>0</v>
      </c>
      <c r="W38" s="56">
        <f t="shared" si="12"/>
        <v>0</v>
      </c>
      <c r="X38" s="56">
        <f t="shared" si="12"/>
        <v>264</v>
      </c>
      <c r="Y38" s="56">
        <f t="shared" si="12"/>
        <v>313</v>
      </c>
      <c r="Z38" s="56">
        <f t="shared" si="12"/>
        <v>37</v>
      </c>
      <c r="AA38" s="56">
        <f t="shared" si="12"/>
        <v>113</v>
      </c>
      <c r="AB38" s="56">
        <f t="shared" si="12"/>
        <v>0</v>
      </c>
    </row>
    <row r="39" ht="20" customHeight="1" spans="1:29">
      <c r="A39" s="45" t="s">
        <v>84</v>
      </c>
      <c r="B39" s="46"/>
      <c r="C39" s="47">
        <f>C38/$B$38*100</f>
        <v>93.0125958168021</v>
      </c>
      <c r="D39" s="47">
        <f>D38/$B$38*100</f>
        <v>2.45753245252494</v>
      </c>
      <c r="E39" s="47"/>
      <c r="F39" s="47">
        <f>F38/$B$38*100</f>
        <v>4.52987173067293</v>
      </c>
      <c r="G39" s="47" t="e">
        <f>G38/$B$38*100</f>
        <v>#DIV/0!</v>
      </c>
      <c r="H39" s="47">
        <f>H38/$B$38*100</f>
        <v>1.4354865631781</v>
      </c>
      <c r="I39" s="47">
        <f>I38/$B$38*100</f>
        <v>0.288894880782713</v>
      </c>
      <c r="J39" s="47">
        <f>J38/$B$38*100</f>
        <v>0</v>
      </c>
      <c r="K39" s="47">
        <f>K38/$B$38*100</f>
        <v>0</v>
      </c>
      <c r="L39" s="47">
        <f>L38/$B$38*100</f>
        <v>0.0038519317437695</v>
      </c>
      <c r="M39" s="47">
        <f>M38/$B$38*100</f>
        <v>0</v>
      </c>
      <c r="N39" s="47">
        <f>N38/$B$38*100</f>
        <v>0</v>
      </c>
      <c r="O39" s="47">
        <f>O38/$B$38*100</f>
        <v>0</v>
      </c>
      <c r="P39" s="47">
        <f>P38/$B$38*100</f>
        <v>0.566233966334117</v>
      </c>
      <c r="Q39" s="47">
        <f>Q38/$B$38*100</f>
        <v>0</v>
      </c>
      <c r="R39" s="47">
        <f>R38/$B$38*100</f>
        <v>0</v>
      </c>
      <c r="S39" s="47">
        <f>S38/$B$38*100</f>
        <v>1.28526122517109</v>
      </c>
      <c r="T39" s="47">
        <f>T38/$B$38*100</f>
        <v>0.0166917042230012</v>
      </c>
      <c r="U39" s="47">
        <f>U38/$B$38*100</f>
        <v>0</v>
      </c>
      <c r="V39" s="47">
        <f>V38/$B$38*100</f>
        <v>0</v>
      </c>
      <c r="W39" s="47">
        <f>W38/$B$38*100</f>
        <v>0</v>
      </c>
      <c r="X39" s="47">
        <f>X38/$B$38*100</f>
        <v>0.338969993451716</v>
      </c>
      <c r="Y39" s="47">
        <f>Y38/$B$38*100</f>
        <v>0.401884878599951</v>
      </c>
      <c r="Z39" s="47">
        <f>Z38/$B$38*100</f>
        <v>0.0475071581731572</v>
      </c>
      <c r="AA39" s="47">
        <f>AA38/$B$38*100</f>
        <v>0.145089429015318</v>
      </c>
      <c r="AB39" s="47">
        <f>AB38/$B$38*100</f>
        <v>0</v>
      </c>
      <c r="AC39" s="69">
        <f>SUM(H39:AB39)</f>
        <v>4.52987173067293</v>
      </c>
    </row>
    <row r="40" ht="20" customHeight="1" spans="1:28">
      <c r="A40" s="48">
        <v>46047</v>
      </c>
      <c r="B40" s="49"/>
      <c r="C40" s="49"/>
      <c r="D40" s="49"/>
      <c r="E40" s="50" t="e">
        <f t="shared" ref="E40:E46" si="13">D40/B40*100</f>
        <v>#DIV/0!</v>
      </c>
      <c r="F40" s="49">
        <f t="shared" ref="F40:F46" si="14">B40-(C40+D40)</f>
        <v>0</v>
      </c>
      <c r="G40" s="50" t="e">
        <f t="shared" ref="G40:G46" si="15">F40/B40*100</f>
        <v>#DIV/0!</v>
      </c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</row>
    <row r="41" ht="20" customHeight="1" spans="1:28">
      <c r="A41" s="39">
        <v>46048</v>
      </c>
      <c r="B41" s="58"/>
      <c r="C41" s="58"/>
      <c r="D41" s="58"/>
      <c r="E41" s="11" t="e">
        <f t="shared" si="13"/>
        <v>#DIV/0!</v>
      </c>
      <c r="F41" s="10">
        <f t="shared" si="14"/>
        <v>0</v>
      </c>
      <c r="G41" s="11" t="e">
        <f t="shared" si="15"/>
        <v>#DIV/0!</v>
      </c>
      <c r="H41" s="59"/>
      <c r="I41" s="59"/>
      <c r="J41" s="63"/>
      <c r="K41" s="64"/>
      <c r="L41" s="64"/>
      <c r="M41" s="64"/>
      <c r="N41" s="64"/>
      <c r="O41" s="64"/>
      <c r="P41" s="59"/>
      <c r="Q41" s="64"/>
      <c r="R41" s="64"/>
      <c r="S41" s="59"/>
      <c r="T41" s="64"/>
      <c r="U41" s="64"/>
      <c r="V41" s="64"/>
      <c r="W41" s="59"/>
      <c r="X41" s="59"/>
      <c r="Y41" s="59"/>
      <c r="Z41" s="59"/>
      <c r="AA41" s="64"/>
      <c r="AB41" s="63"/>
    </row>
    <row r="42" ht="20" customHeight="1" spans="1:28">
      <c r="A42" s="39">
        <v>46049</v>
      </c>
      <c r="B42" s="58">
        <v>14398</v>
      </c>
      <c r="C42" s="58">
        <v>13166</v>
      </c>
      <c r="D42" s="58">
        <v>517</v>
      </c>
      <c r="E42" s="11">
        <f t="shared" si="13"/>
        <v>3.59077649673566</v>
      </c>
      <c r="F42" s="10">
        <f t="shared" si="14"/>
        <v>715</v>
      </c>
      <c r="G42" s="11">
        <f t="shared" si="15"/>
        <v>4.96596749548548</v>
      </c>
      <c r="H42" s="59">
        <v>269</v>
      </c>
      <c r="I42" s="59"/>
      <c r="J42" s="63"/>
      <c r="K42" s="64"/>
      <c r="L42" s="64"/>
      <c r="M42" s="64"/>
      <c r="N42" s="64"/>
      <c r="O42" s="64"/>
      <c r="P42" s="59">
        <v>59</v>
      </c>
      <c r="Q42" s="64"/>
      <c r="R42" s="64"/>
      <c r="S42" s="59">
        <v>163</v>
      </c>
      <c r="T42" s="64"/>
      <c r="U42" s="64"/>
      <c r="V42" s="64"/>
      <c r="W42" s="59"/>
      <c r="X42" s="59">
        <v>46</v>
      </c>
      <c r="Y42" s="59">
        <v>45</v>
      </c>
      <c r="Z42" s="59">
        <v>69</v>
      </c>
      <c r="AA42" s="64">
        <v>109</v>
      </c>
      <c r="AB42" s="63"/>
    </row>
    <row r="43" ht="20" customHeight="1" spans="1:28">
      <c r="A43" s="39">
        <v>46050</v>
      </c>
      <c r="B43" s="58"/>
      <c r="C43" s="58"/>
      <c r="D43" s="58"/>
      <c r="E43" s="11" t="e">
        <f t="shared" si="13"/>
        <v>#DIV/0!</v>
      </c>
      <c r="F43" s="10">
        <f t="shared" si="14"/>
        <v>0</v>
      </c>
      <c r="G43" s="11" t="e">
        <f t="shared" si="15"/>
        <v>#DIV/0!</v>
      </c>
      <c r="H43" s="59"/>
      <c r="I43" s="59"/>
      <c r="J43" s="63"/>
      <c r="K43" s="64"/>
      <c r="L43" s="64"/>
      <c r="M43" s="64"/>
      <c r="N43" s="64"/>
      <c r="O43" s="64"/>
      <c r="P43" s="59"/>
      <c r="Q43" s="64"/>
      <c r="R43" s="64"/>
      <c r="S43" s="59"/>
      <c r="T43" s="64"/>
      <c r="U43" s="64"/>
      <c r="V43" s="64"/>
      <c r="W43" s="59"/>
      <c r="X43" s="59"/>
      <c r="Y43" s="59"/>
      <c r="Z43" s="59"/>
      <c r="AA43" s="64"/>
      <c r="AB43" s="63"/>
    </row>
    <row r="44" ht="20" customHeight="1" spans="1:28">
      <c r="A44" s="39">
        <v>46051</v>
      </c>
      <c r="B44" s="58"/>
      <c r="C44" s="58"/>
      <c r="D44" s="58"/>
      <c r="E44" s="11" t="e">
        <f t="shared" si="13"/>
        <v>#DIV/0!</v>
      </c>
      <c r="F44" s="10">
        <f t="shared" si="14"/>
        <v>0</v>
      </c>
      <c r="G44" s="11" t="e">
        <f t="shared" si="15"/>
        <v>#DIV/0!</v>
      </c>
      <c r="H44" s="59"/>
      <c r="I44" s="59"/>
      <c r="J44" s="63"/>
      <c r="K44" s="64"/>
      <c r="L44" s="64"/>
      <c r="M44" s="64"/>
      <c r="N44" s="64"/>
      <c r="O44" s="64"/>
      <c r="P44" s="59"/>
      <c r="Q44" s="64"/>
      <c r="R44" s="64"/>
      <c r="S44" s="59"/>
      <c r="T44" s="64"/>
      <c r="U44" s="64"/>
      <c r="V44" s="64"/>
      <c r="W44" s="59"/>
      <c r="X44" s="59"/>
      <c r="Y44" s="59"/>
      <c r="Z44" s="59"/>
      <c r="AA44" s="64"/>
      <c r="AB44" s="63"/>
    </row>
    <row r="45" ht="20" customHeight="1" spans="1:28">
      <c r="A45" s="39">
        <v>46052</v>
      </c>
      <c r="B45" s="58"/>
      <c r="C45" s="58"/>
      <c r="D45" s="58"/>
      <c r="E45" s="11" t="e">
        <f t="shared" si="13"/>
        <v>#DIV/0!</v>
      </c>
      <c r="F45" s="10">
        <f t="shared" si="14"/>
        <v>0</v>
      </c>
      <c r="G45" s="11" t="e">
        <f t="shared" si="15"/>
        <v>#DIV/0!</v>
      </c>
      <c r="H45" s="59"/>
      <c r="I45" s="59"/>
      <c r="J45" s="63"/>
      <c r="K45" s="64"/>
      <c r="L45" s="64"/>
      <c r="M45" s="64"/>
      <c r="N45" s="64"/>
      <c r="O45" s="64"/>
      <c r="P45" s="59"/>
      <c r="Q45" s="64"/>
      <c r="R45" s="64"/>
      <c r="S45" s="59"/>
      <c r="T45" s="64"/>
      <c r="U45" s="64"/>
      <c r="V45" s="64"/>
      <c r="W45" s="59"/>
      <c r="X45" s="59"/>
      <c r="Y45" s="59"/>
      <c r="Z45" s="59"/>
      <c r="AA45" s="64"/>
      <c r="AB45" s="63"/>
    </row>
    <row r="46" ht="20" customHeight="1" spans="1:28">
      <c r="A46" s="39">
        <v>46053</v>
      </c>
      <c r="B46" s="58"/>
      <c r="C46" s="58"/>
      <c r="D46" s="58"/>
      <c r="E46" s="11" t="e">
        <f t="shared" si="13"/>
        <v>#DIV/0!</v>
      </c>
      <c r="F46" s="10">
        <f t="shared" si="14"/>
        <v>0</v>
      </c>
      <c r="G46" s="11" t="e">
        <f t="shared" si="15"/>
        <v>#DIV/0!</v>
      </c>
      <c r="H46" s="59"/>
      <c r="I46" s="59"/>
      <c r="J46" s="63"/>
      <c r="K46" s="64"/>
      <c r="L46" s="64"/>
      <c r="M46" s="64"/>
      <c r="N46" s="64"/>
      <c r="O46" s="64"/>
      <c r="P46" s="59"/>
      <c r="Q46" s="64"/>
      <c r="R46" s="64"/>
      <c r="S46" s="59"/>
      <c r="T46" s="64"/>
      <c r="U46" s="64"/>
      <c r="V46" s="64"/>
      <c r="W46" s="59"/>
      <c r="X46" s="59"/>
      <c r="Y46" s="59"/>
      <c r="Z46" s="59"/>
      <c r="AA46" s="64"/>
      <c r="AB46" s="63"/>
    </row>
    <row r="47" ht="22" customHeight="1" spans="1:28">
      <c r="A47" s="42" t="s">
        <v>40</v>
      </c>
      <c r="B47" s="56">
        <f t="shared" ref="B47:AB47" si="16">SUM(B40:B46)</f>
        <v>14398</v>
      </c>
      <c r="C47" s="56">
        <f t="shared" si="16"/>
        <v>13166</v>
      </c>
      <c r="D47" s="56">
        <f t="shared" si="16"/>
        <v>517</v>
      </c>
      <c r="E47" s="57" t="e">
        <f t="shared" si="16"/>
        <v>#DIV/0!</v>
      </c>
      <c r="F47" s="56">
        <f t="shared" si="16"/>
        <v>715</v>
      </c>
      <c r="G47" s="56" t="e">
        <f t="shared" si="16"/>
        <v>#DIV/0!</v>
      </c>
      <c r="H47" s="56">
        <f t="shared" si="16"/>
        <v>269</v>
      </c>
      <c r="I47" s="56">
        <f t="shared" si="16"/>
        <v>0</v>
      </c>
      <c r="J47" s="56">
        <f t="shared" si="16"/>
        <v>0</v>
      </c>
      <c r="K47" s="56">
        <f t="shared" si="16"/>
        <v>0</v>
      </c>
      <c r="L47" s="56">
        <f t="shared" si="16"/>
        <v>0</v>
      </c>
      <c r="M47" s="56">
        <f t="shared" si="16"/>
        <v>0</v>
      </c>
      <c r="N47" s="56">
        <f t="shared" si="16"/>
        <v>0</v>
      </c>
      <c r="O47" s="56">
        <f t="shared" si="16"/>
        <v>0</v>
      </c>
      <c r="P47" s="56">
        <f t="shared" si="16"/>
        <v>59</v>
      </c>
      <c r="Q47" s="56">
        <f t="shared" si="16"/>
        <v>0</v>
      </c>
      <c r="R47" s="56">
        <f t="shared" si="16"/>
        <v>0</v>
      </c>
      <c r="S47" s="56">
        <f t="shared" si="16"/>
        <v>163</v>
      </c>
      <c r="T47" s="56">
        <f t="shared" si="16"/>
        <v>0</v>
      </c>
      <c r="U47" s="56">
        <f t="shared" si="16"/>
        <v>0</v>
      </c>
      <c r="V47" s="56">
        <f t="shared" si="16"/>
        <v>0</v>
      </c>
      <c r="W47" s="56">
        <f t="shared" si="16"/>
        <v>0</v>
      </c>
      <c r="X47" s="56">
        <f t="shared" si="16"/>
        <v>46</v>
      </c>
      <c r="Y47" s="56">
        <f t="shared" si="16"/>
        <v>45</v>
      </c>
      <c r="Z47" s="56">
        <f t="shared" si="16"/>
        <v>69</v>
      </c>
      <c r="AA47" s="56">
        <f t="shared" si="16"/>
        <v>109</v>
      </c>
      <c r="AB47" s="56">
        <f t="shared" si="16"/>
        <v>0</v>
      </c>
    </row>
    <row r="48" ht="22" customHeight="1" spans="1:29">
      <c r="A48" s="45" t="s">
        <v>84</v>
      </c>
      <c r="B48" s="46"/>
      <c r="C48" s="47">
        <f>C47/$B$47*100</f>
        <v>91.4432560077789</v>
      </c>
      <c r="D48" s="47">
        <f>D47/$B$47*100</f>
        <v>3.59077649673566</v>
      </c>
      <c r="E48" s="47" t="e">
        <f>E47/$B$47*100</f>
        <v>#DIV/0!</v>
      </c>
      <c r="F48" s="47">
        <f>F47/$B$47*100</f>
        <v>4.96596749548548</v>
      </c>
      <c r="G48" s="47" t="e">
        <f>G47/$B$47*100</f>
        <v>#DIV/0!</v>
      </c>
      <c r="H48" s="47">
        <f>H47/$B$47*100</f>
        <v>1.86831504375608</v>
      </c>
      <c r="I48" s="47">
        <f>I47/$B$47*100</f>
        <v>0</v>
      </c>
      <c r="J48" s="47">
        <f>J47/$B$47*100</f>
        <v>0</v>
      </c>
      <c r="K48" s="47">
        <f>K47/$B$47*100</f>
        <v>0</v>
      </c>
      <c r="L48" s="47">
        <f>L47/$B$47*100</f>
        <v>0</v>
      </c>
      <c r="M48" s="47">
        <f>M47/$B$47*100</f>
        <v>0</v>
      </c>
      <c r="N48" s="47">
        <f>N47/$B$47*100</f>
        <v>0</v>
      </c>
      <c r="O48" s="47">
        <f>O47/$B$47*100</f>
        <v>0</v>
      </c>
      <c r="P48" s="47">
        <f>P47/$B$47*100</f>
        <v>0.40977913599111</v>
      </c>
      <c r="Q48" s="47">
        <f>Q47/$B$47*100</f>
        <v>0</v>
      </c>
      <c r="R48" s="47">
        <f>R47/$B$47*100</f>
        <v>0</v>
      </c>
      <c r="S48" s="47">
        <f>S47/$B$47*100</f>
        <v>1.132101680789</v>
      </c>
      <c r="T48" s="47">
        <f>T47/$B$47*100</f>
        <v>0</v>
      </c>
      <c r="U48" s="47">
        <f>U47/$B$47*100</f>
        <v>0</v>
      </c>
      <c r="V48" s="47">
        <f>V47/$B$47*100</f>
        <v>0</v>
      </c>
      <c r="W48" s="47">
        <f>W47/$B$47*100</f>
        <v>0</v>
      </c>
      <c r="X48" s="47">
        <f>X47/$B$47*100</f>
        <v>0.319488817891374</v>
      </c>
      <c r="Y48" s="47">
        <f>Y47/$B$47*100</f>
        <v>0.312543408806779</v>
      </c>
      <c r="Z48" s="47">
        <f>Z47/$B$47*100</f>
        <v>0.479233226837061</v>
      </c>
      <c r="AA48" s="47">
        <f>AA47/$B$47*100</f>
        <v>0.757049590220864</v>
      </c>
      <c r="AB48" s="47">
        <f>AB47/$B$47*100</f>
        <v>0</v>
      </c>
      <c r="AC48" s="69">
        <f>SUM(H48:AB48)</f>
        <v>5.27851090429226</v>
      </c>
    </row>
    <row r="49" ht="36" customHeight="1" spans="1:28">
      <c r="A49" s="12" t="s">
        <v>40</v>
      </c>
      <c r="B49" s="13">
        <f t="shared" ref="B49:F49" si="17">B47+B38+B29+B20+B11</f>
        <v>281388</v>
      </c>
      <c r="C49" s="13">
        <f t="shared" si="17"/>
        <v>258751</v>
      </c>
      <c r="D49" s="13">
        <f t="shared" si="17"/>
        <v>7983</v>
      </c>
      <c r="E49" s="14">
        <f>D49/B49*100</f>
        <v>2.83700797475372</v>
      </c>
      <c r="F49" s="13">
        <f t="shared" si="17"/>
        <v>13154</v>
      </c>
      <c r="G49" s="14">
        <f>F49/B49*100</f>
        <v>4.67468406612933</v>
      </c>
      <c r="H49" s="13">
        <f t="shared" ref="H49:AB49" si="18">H47+H38+H29+H20+H11</f>
        <v>3992</v>
      </c>
      <c r="I49" s="13">
        <f t="shared" si="18"/>
        <v>1016</v>
      </c>
      <c r="J49" s="13">
        <f t="shared" si="18"/>
        <v>25</v>
      </c>
      <c r="K49" s="13">
        <f t="shared" si="18"/>
        <v>0</v>
      </c>
      <c r="L49" s="13">
        <f t="shared" si="18"/>
        <v>92</v>
      </c>
      <c r="M49" s="13">
        <f t="shared" si="18"/>
        <v>0</v>
      </c>
      <c r="N49" s="13">
        <f t="shared" si="18"/>
        <v>0</v>
      </c>
      <c r="O49" s="13">
        <f t="shared" si="18"/>
        <v>0</v>
      </c>
      <c r="P49" s="13">
        <f t="shared" si="18"/>
        <v>2055</v>
      </c>
      <c r="Q49" s="13">
        <f t="shared" si="18"/>
        <v>0</v>
      </c>
      <c r="R49" s="13">
        <f t="shared" si="18"/>
        <v>0</v>
      </c>
      <c r="S49" s="13">
        <f t="shared" si="18"/>
        <v>3530</v>
      </c>
      <c r="T49" s="13">
        <f t="shared" si="18"/>
        <v>13</v>
      </c>
      <c r="U49" s="13">
        <f t="shared" si="18"/>
        <v>0</v>
      </c>
      <c r="V49" s="13">
        <f t="shared" si="18"/>
        <v>0</v>
      </c>
      <c r="W49" s="13">
        <f t="shared" si="18"/>
        <v>0</v>
      </c>
      <c r="X49" s="13">
        <f t="shared" si="18"/>
        <v>1105</v>
      </c>
      <c r="Y49" s="13">
        <f t="shared" si="18"/>
        <v>875</v>
      </c>
      <c r="Z49" s="13">
        <f t="shared" si="18"/>
        <v>299</v>
      </c>
      <c r="AA49" s="13">
        <f t="shared" si="18"/>
        <v>222</v>
      </c>
      <c r="AB49" s="13">
        <f t="shared" si="18"/>
        <v>0</v>
      </c>
    </row>
    <row r="50" ht="45" customHeight="1" spans="1:29">
      <c r="A50" s="17"/>
      <c r="B50" s="17"/>
      <c r="C50" s="11">
        <f>C49/B49*100</f>
        <v>91.9552361863335</v>
      </c>
      <c r="D50" s="11">
        <f>D49/B49*100</f>
        <v>2.83700797475372</v>
      </c>
      <c r="E50" s="11" t="s">
        <v>94</v>
      </c>
      <c r="F50" s="11">
        <f>F49/B49*100</f>
        <v>4.67468406612933</v>
      </c>
      <c r="G50" s="60" t="s">
        <v>86</v>
      </c>
      <c r="H50" s="11">
        <f>H49/$B$49*100</f>
        <v>1.41868167796779</v>
      </c>
      <c r="I50" s="11">
        <f>I49/$B$49*100</f>
        <v>0.361067280765349</v>
      </c>
      <c r="J50" s="11">
        <f>J49/$B$49*100</f>
        <v>0.00888452954639146</v>
      </c>
      <c r="K50" s="11">
        <f>K49/$B$49*100</f>
        <v>0</v>
      </c>
      <c r="L50" s="11">
        <f>L49/B49*100</f>
        <v>0.0326950687307206</v>
      </c>
      <c r="M50" s="11">
        <f>M49/B49*100</f>
        <v>0</v>
      </c>
      <c r="N50" s="11">
        <f>N49/B49*100</f>
        <v>0</v>
      </c>
      <c r="O50" s="11">
        <f>O49/B49*100</f>
        <v>0</v>
      </c>
      <c r="P50" s="11">
        <f>P49/$B$49*100</f>
        <v>0.730308328713378</v>
      </c>
      <c r="Q50" s="11">
        <f>Q49/$B$49*100</f>
        <v>0</v>
      </c>
      <c r="R50" s="11">
        <f>R49/$B$49*100</f>
        <v>0</v>
      </c>
      <c r="S50" s="11">
        <f>S49/$B$49*100</f>
        <v>1.25449557195047</v>
      </c>
      <c r="T50" s="11">
        <f>T49/$B$49*100</f>
        <v>0.00461995536412356</v>
      </c>
      <c r="U50" s="11">
        <f>U49/$B$49*100</f>
        <v>0</v>
      </c>
      <c r="V50" s="11">
        <f>V49/$B$49*100</f>
        <v>0</v>
      </c>
      <c r="W50" s="11">
        <f>W49/$B$49*100</f>
        <v>0</v>
      </c>
      <c r="X50" s="11">
        <f>X49/$B$49*100</f>
        <v>0.392696205950502</v>
      </c>
      <c r="Y50" s="11">
        <f>Y49/B49*100</f>
        <v>0.310958534123701</v>
      </c>
      <c r="Z50" s="11">
        <f>Z49/$B$49*100</f>
        <v>0.106258973374842</v>
      </c>
      <c r="AA50" s="11">
        <f>AA49/$B$49*100</f>
        <v>0.0788946223719562</v>
      </c>
      <c r="AB50" s="11">
        <f>AB49/$B$49*100</f>
        <v>0</v>
      </c>
      <c r="AC50" s="73">
        <f>SUM(H50:AB50)</f>
        <v>4.69956074885923</v>
      </c>
    </row>
    <row r="51" ht="22" customHeight="1" spans="7:30">
      <c r="G51" s="61" t="s">
        <v>87</v>
      </c>
      <c r="H51" s="62">
        <v>0.5</v>
      </c>
      <c r="I51" s="62">
        <v>0.7</v>
      </c>
      <c r="J51" s="62">
        <v>0.1</v>
      </c>
      <c r="K51" s="62">
        <v>0.1</v>
      </c>
      <c r="L51" s="62">
        <v>0.7</v>
      </c>
      <c r="M51" s="62">
        <v>0.1</v>
      </c>
      <c r="N51" s="62">
        <v>0.1</v>
      </c>
      <c r="O51" s="62">
        <v>0.1</v>
      </c>
      <c r="P51" s="62">
        <v>0.3</v>
      </c>
      <c r="Q51" s="62">
        <v>0.1</v>
      </c>
      <c r="R51" s="62">
        <v>0.1</v>
      </c>
      <c r="S51" s="62">
        <v>1</v>
      </c>
      <c r="T51" s="62">
        <v>0.1</v>
      </c>
      <c r="U51" s="62">
        <v>0.1</v>
      </c>
      <c r="V51" s="62">
        <v>0.1</v>
      </c>
      <c r="W51" s="62">
        <v>0.1</v>
      </c>
      <c r="X51" s="62">
        <v>0.1</v>
      </c>
      <c r="Y51" s="62">
        <v>0.3</v>
      </c>
      <c r="Z51" s="62">
        <v>0.1</v>
      </c>
      <c r="AA51" s="62">
        <v>0.1</v>
      </c>
      <c r="AB51" s="62">
        <v>0.1</v>
      </c>
      <c r="AC51" s="74">
        <f>SUM(H51:AB51)</f>
        <v>5</v>
      </c>
      <c r="AD51" s="75"/>
    </row>
    <row r="52" ht="21" customHeight="1" spans="7:28">
      <c r="G52" s="18" t="s">
        <v>88</v>
      </c>
      <c r="H52" s="11">
        <f t="shared" ref="H52:AB52" si="19">H51-H50</f>
        <v>-0.918681677967788</v>
      </c>
      <c r="I52" s="11">
        <f t="shared" si="19"/>
        <v>0.338932719234651</v>
      </c>
      <c r="J52" s="11">
        <f t="shared" si="19"/>
        <v>0.0911154704536085</v>
      </c>
      <c r="K52" s="11">
        <f t="shared" si="19"/>
        <v>0.1</v>
      </c>
      <c r="L52" s="11">
        <f t="shared" si="19"/>
        <v>0.667304931269279</v>
      </c>
      <c r="M52" s="11">
        <f t="shared" si="19"/>
        <v>0.1</v>
      </c>
      <c r="N52" s="11">
        <f t="shared" si="19"/>
        <v>0.1</v>
      </c>
      <c r="O52" s="11">
        <f t="shared" si="19"/>
        <v>0.1</v>
      </c>
      <c r="P52" s="11">
        <f t="shared" si="19"/>
        <v>-0.430308328713378</v>
      </c>
      <c r="Q52" s="11">
        <f t="shared" si="19"/>
        <v>0.1</v>
      </c>
      <c r="R52" s="11">
        <f t="shared" si="19"/>
        <v>0.1</v>
      </c>
      <c r="S52" s="11">
        <f t="shared" si="19"/>
        <v>-0.254495571950474</v>
      </c>
      <c r="T52" s="11">
        <f t="shared" si="19"/>
        <v>0.0953800446358764</v>
      </c>
      <c r="U52" s="11">
        <f t="shared" si="19"/>
        <v>0.1</v>
      </c>
      <c r="V52" s="11">
        <f t="shared" si="19"/>
        <v>0.1</v>
      </c>
      <c r="W52" s="11">
        <f t="shared" si="19"/>
        <v>0.1</v>
      </c>
      <c r="X52" s="11">
        <f t="shared" si="19"/>
        <v>-0.292696205950502</v>
      </c>
      <c r="Y52" s="11">
        <f t="shared" si="19"/>
        <v>-0.0109585341237011</v>
      </c>
      <c r="Z52" s="11">
        <f t="shared" si="19"/>
        <v>-0.00625897337484185</v>
      </c>
      <c r="AA52" s="11">
        <f t="shared" si="19"/>
        <v>0.0211053776280438</v>
      </c>
      <c r="AB52" s="11">
        <f t="shared" si="19"/>
        <v>0.1</v>
      </c>
    </row>
    <row r="53" spans="8:28"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</row>
  </sheetData>
  <mergeCells count="11">
    <mergeCell ref="B4:AB4"/>
    <mergeCell ref="H5:AB5"/>
    <mergeCell ref="A1:A4"/>
    <mergeCell ref="A5:A7"/>
    <mergeCell ref="B5:B7"/>
    <mergeCell ref="C5:C7"/>
    <mergeCell ref="D5:D7"/>
    <mergeCell ref="E5:E7"/>
    <mergeCell ref="F5:F7"/>
    <mergeCell ref="G5:G7"/>
    <mergeCell ref="B1:AB3"/>
  </mergeCells>
  <conditionalFormatting sqref="H50:K50">
    <cfRule type="cellIs" dxfId="0" priority="14" operator="lessThan">
      <formula>$J$51</formula>
    </cfRule>
    <cfRule type="cellIs" dxfId="1" priority="15" operator="greaterThan">
      <formula>$J$51</formula>
    </cfRule>
  </conditionalFormatting>
  <conditionalFormatting sqref="L50:O50">
    <cfRule type="cellIs" dxfId="0" priority="12" operator="lessThan">
      <formula>$M$51</formula>
    </cfRule>
    <cfRule type="cellIs" dxfId="1" priority="13" operator="greaterThan">
      <formula>$M$51</formula>
    </cfRule>
  </conditionalFormatting>
  <conditionalFormatting sqref="P50:R50">
    <cfRule type="cellIs" dxfId="0" priority="10" operator="lessThan">
      <formula>$Q$51</formula>
    </cfRule>
    <cfRule type="cellIs" dxfId="1" priority="11" operator="greaterThan">
      <formula>$Q$51</formula>
    </cfRule>
  </conditionalFormatting>
  <conditionalFormatting sqref="S50:X50">
    <cfRule type="cellIs" dxfId="0" priority="8" operator="lessThan">
      <formula>$X$51</formula>
    </cfRule>
    <cfRule type="cellIs" dxfId="1" priority="9" operator="greaterThan">
      <formula>$X$51</formula>
    </cfRule>
  </conditionalFormatting>
  <conditionalFormatting sqref="Y50">
    <cfRule type="cellIs" dxfId="0" priority="6" operator="lessThan">
      <formula>$Y$51</formula>
    </cfRule>
    <cfRule type="cellIs" dxfId="1" priority="7" operator="greaterThan">
      <formula>$Y$51</formula>
    </cfRule>
  </conditionalFormatting>
  <conditionalFormatting sqref="Z50:AB50">
    <cfRule type="cellIs" dxfId="0" priority="4" operator="lessThan">
      <formula>$AA$51</formula>
    </cfRule>
    <cfRule type="cellIs" dxfId="1" priority="5" operator="greaterThan">
      <formula>$AA$51</formula>
    </cfRule>
  </conditionalFormatting>
  <conditionalFormatting sqref="H52">
    <cfRule type="cellIs" dxfId="1" priority="3" operator="lessThan">
      <formula>0</formula>
    </cfRule>
  </conditionalFormatting>
  <conditionalFormatting sqref="H52:AB52">
    <cfRule type="cellIs" dxfId="3" priority="1" operator="greaterThan">
      <formula>0</formula>
    </cfRule>
    <cfRule type="cellIs" dxfId="2" priority="2" operator="lessThan">
      <formula>0</formula>
    </cfRule>
  </conditionalFormatting>
  <pageMargins left="0.251388888888889" right="0.251388888888889" top="0.197222222222222" bottom="0.251388888888889" header="0.298611111111111" footer="0.298611111111111"/>
  <pageSetup paperSize="9" scale="52" orientation="landscape" horizontalDpi="600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C59"/>
  <sheetViews>
    <sheetView view="pageLayout" zoomScale="80" zoomScaleNormal="100" workbookViewId="0">
      <selection activeCell="N13" sqref="N13"/>
    </sheetView>
  </sheetViews>
  <sheetFormatPr defaultColWidth="9.14285714285714" defaultRowHeight="15"/>
  <cols>
    <col min="1" max="1" width="15" customWidth="1"/>
    <col min="2" max="2" width="8.79047619047619" customWidth="1"/>
    <col min="3" max="3" width="9.26666666666667" customWidth="1"/>
    <col min="4" max="4" width="6.42857142857143" customWidth="1"/>
    <col min="5" max="5" width="6.85714285714286" customWidth="1"/>
    <col min="6" max="6" width="8.14285714285714" customWidth="1"/>
    <col min="7" max="7" width="7.57142857142857" customWidth="1"/>
    <col min="8" max="8" width="6.85714285714286" customWidth="1"/>
    <col min="9" max="9" width="7.14285714285714" customWidth="1"/>
    <col min="10" max="10" width="5" customWidth="1"/>
    <col min="11" max="11" width="5.71428571428571" customWidth="1"/>
    <col min="12" max="12" width="6.14285714285714" customWidth="1"/>
    <col min="13" max="13" width="7.14285714285714" customWidth="1"/>
    <col min="14" max="14" width="6" customWidth="1"/>
    <col min="15" max="15" width="5.71428571428571" customWidth="1"/>
    <col min="16" max="16" width="6.57142857142857" customWidth="1"/>
    <col min="17" max="17" width="6.71428571428571" customWidth="1"/>
    <col min="18" max="18" width="4.14285714285714" customWidth="1"/>
    <col min="19" max="19" width="6.71428571428571" customWidth="1"/>
    <col min="20" max="20" width="7.42857142857143" customWidth="1"/>
    <col min="21" max="21" width="5.57142857142857" customWidth="1"/>
    <col min="22" max="23" width="6.71428571428571" customWidth="1"/>
    <col min="24" max="24" width="7" customWidth="1"/>
    <col min="25" max="25" width="7.28571428571429" customWidth="1"/>
    <col min="26" max="27" width="6.57142857142857" customWidth="1"/>
    <col min="28" max="28" width="7.85714285714286" customWidth="1"/>
  </cols>
  <sheetData>
    <row r="1" ht="22" customHeight="1" spans="1:28">
      <c r="A1" s="1"/>
      <c r="B1" s="2" t="s">
        <v>97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0" t="s">
        <v>98</v>
      </c>
      <c r="Y1" s="20"/>
      <c r="Z1" s="20"/>
      <c r="AA1" s="21" t="s">
        <v>77</v>
      </c>
      <c r="AB1" s="21"/>
    </row>
    <row r="2" ht="18" customHeight="1" spans="1:28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0" t="s">
        <v>99</v>
      </c>
      <c r="Y2" s="20"/>
      <c r="Z2" s="20"/>
      <c r="AA2" s="167" t="s">
        <v>89</v>
      </c>
      <c r="AB2" s="21"/>
    </row>
    <row r="3" ht="23" customHeight="1" spans="1:28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0" t="s">
        <v>100</v>
      </c>
      <c r="Y3" s="20"/>
      <c r="Z3" s="20"/>
      <c r="AA3" s="22">
        <v>45607</v>
      </c>
      <c r="AB3" s="21"/>
    </row>
    <row r="4" ht="22" customHeight="1" spans="1:28">
      <c r="A4" s="1"/>
      <c r="B4" s="3" t="s">
        <v>80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1" t="s">
        <v>8</v>
      </c>
      <c r="Y4" s="1"/>
      <c r="Z4" s="1"/>
      <c r="AA4" s="1"/>
      <c r="AB4" s="1"/>
    </row>
    <row r="5" ht="22" customHeight="1" spans="1:29">
      <c r="A5" s="4"/>
      <c r="B5" s="4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4"/>
      <c r="Z5" s="4"/>
      <c r="AA5" s="4"/>
      <c r="AB5" s="4"/>
      <c r="AC5" s="17"/>
    </row>
    <row r="6" ht="50" customHeight="1" spans="1:28">
      <c r="A6" s="6" t="s">
        <v>101</v>
      </c>
      <c r="B6" s="6" t="s">
        <v>12</v>
      </c>
      <c r="C6" s="7" t="s">
        <v>102</v>
      </c>
      <c r="D6" s="6" t="s">
        <v>65</v>
      </c>
      <c r="E6" s="7" t="s">
        <v>15</v>
      </c>
      <c r="F6" s="7" t="s">
        <v>16</v>
      </c>
      <c r="G6" s="6" t="s">
        <v>17</v>
      </c>
      <c r="H6" s="8" t="s">
        <v>103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 ht="30" customHeight="1" spans="1:28">
      <c r="A7" s="6"/>
      <c r="B7" s="6"/>
      <c r="C7" s="7"/>
      <c r="D7" s="6"/>
      <c r="E7" s="7"/>
      <c r="F7" s="7"/>
      <c r="G7" s="6"/>
      <c r="H7" s="6">
        <v>1</v>
      </c>
      <c r="I7" s="6">
        <v>2</v>
      </c>
      <c r="J7" s="6">
        <v>3</v>
      </c>
      <c r="K7" s="6">
        <v>4</v>
      </c>
      <c r="L7" s="6">
        <v>5</v>
      </c>
      <c r="M7" s="6">
        <v>6</v>
      </c>
      <c r="N7" s="6">
        <v>7</v>
      </c>
      <c r="O7" s="6">
        <v>8</v>
      </c>
      <c r="P7" s="6">
        <v>9</v>
      </c>
      <c r="Q7" s="6">
        <v>10</v>
      </c>
      <c r="R7" s="6">
        <v>11</v>
      </c>
      <c r="S7" s="6">
        <v>12</v>
      </c>
      <c r="T7" s="6">
        <v>13</v>
      </c>
      <c r="U7" s="6">
        <v>14</v>
      </c>
      <c r="V7" s="6">
        <v>15</v>
      </c>
      <c r="W7" s="6">
        <v>16</v>
      </c>
      <c r="X7" s="6">
        <v>17</v>
      </c>
      <c r="Y7" s="6">
        <v>18</v>
      </c>
      <c r="Z7" s="6">
        <v>19</v>
      </c>
      <c r="AA7" s="6">
        <v>20</v>
      </c>
      <c r="AB7" s="6">
        <v>21</v>
      </c>
    </row>
    <row r="8" ht="30" customHeight="1" spans="1:28">
      <c r="A8" s="6"/>
      <c r="B8" s="6"/>
      <c r="C8" s="7"/>
      <c r="D8" s="6"/>
      <c r="E8" s="7"/>
      <c r="F8" s="7"/>
      <c r="G8" s="6"/>
      <c r="H8" s="6" t="s">
        <v>19</v>
      </c>
      <c r="I8" s="6" t="s">
        <v>20</v>
      </c>
      <c r="J8" s="6" t="s">
        <v>21</v>
      </c>
      <c r="K8" s="6" t="s">
        <v>22</v>
      </c>
      <c r="L8" s="6" t="s">
        <v>23</v>
      </c>
      <c r="M8" s="6" t="s">
        <v>24</v>
      </c>
      <c r="N8" s="6" t="s">
        <v>25</v>
      </c>
      <c r="O8" s="6" t="s">
        <v>26</v>
      </c>
      <c r="P8" s="6" t="s">
        <v>27</v>
      </c>
      <c r="Q8" s="6" t="s">
        <v>28</v>
      </c>
      <c r="R8" s="6" t="s">
        <v>29</v>
      </c>
      <c r="S8" s="6" t="s">
        <v>30</v>
      </c>
      <c r="T8" s="6" t="s">
        <v>31</v>
      </c>
      <c r="U8" s="6" t="s">
        <v>32</v>
      </c>
      <c r="V8" s="6" t="s">
        <v>33</v>
      </c>
      <c r="W8" s="6" t="s">
        <v>34</v>
      </c>
      <c r="X8" s="6" t="s">
        <v>35</v>
      </c>
      <c r="Y8" s="6" t="s">
        <v>36</v>
      </c>
      <c r="Z8" s="6" t="s">
        <v>37</v>
      </c>
      <c r="AA8" s="6" t="s">
        <v>38</v>
      </c>
      <c r="AB8" s="6" t="s">
        <v>39</v>
      </c>
    </row>
    <row r="9" ht="35" customHeight="1" spans="1:28">
      <c r="A9" s="9" t="s">
        <v>104</v>
      </c>
      <c r="B9" s="10">
        <f>'APRIL 25'!B35</f>
        <v>247767</v>
      </c>
      <c r="C9" s="10">
        <f>'APRIL 25'!C35</f>
        <v>215296</v>
      </c>
      <c r="D9" s="10">
        <f>'APRIL 25'!D35</f>
        <v>12200</v>
      </c>
      <c r="E9" s="11">
        <f>D9/B9*100</f>
        <v>4.92398099827661</v>
      </c>
      <c r="F9" s="10">
        <f>'APRIL 25'!E35</f>
        <v>19271</v>
      </c>
      <c r="G9" s="11">
        <f>F9/B9*100</f>
        <v>7.77787195227774</v>
      </c>
      <c r="H9" s="10">
        <f>'APRIL 25'!G35</f>
        <v>3421</v>
      </c>
      <c r="I9" s="10">
        <f>'APRIL 25'!H35</f>
        <v>2412</v>
      </c>
      <c r="J9" s="10">
        <f>'APRIL 25'!I35</f>
        <v>486</v>
      </c>
      <c r="K9" s="10">
        <f>'APRIL 25'!J35</f>
        <v>768</v>
      </c>
      <c r="L9" s="10">
        <f>'APRIL 25'!K35</f>
        <v>6809</v>
      </c>
      <c r="M9" s="10">
        <f>'APRIL 25'!L35</f>
        <v>0</v>
      </c>
      <c r="N9" s="10">
        <f>'APRIL 25'!M35</f>
        <v>0</v>
      </c>
      <c r="O9" s="10">
        <f>'APRIL 25'!N35</f>
        <v>0</v>
      </c>
      <c r="P9" s="10">
        <f>'APRIL 25'!O35</f>
        <v>0</v>
      </c>
      <c r="Q9" s="10">
        <f>'APRIL 25'!P35</f>
        <v>1</v>
      </c>
      <c r="R9" s="10">
        <f>'APRIL 25'!Q35</f>
        <v>0</v>
      </c>
      <c r="S9" s="10">
        <f>'APRIL 25'!R35</f>
        <v>3807</v>
      </c>
      <c r="T9" s="10">
        <f>'APRIL 25'!S35</f>
        <v>0</v>
      </c>
      <c r="U9" s="10">
        <f>'APRIL 25'!T35</f>
        <v>0</v>
      </c>
      <c r="V9" s="10">
        <f>'APRIL 25'!U35</f>
        <v>0</v>
      </c>
      <c r="W9" s="10">
        <f>'APRIL 25'!V35</f>
        <v>0</v>
      </c>
      <c r="X9" s="10">
        <f>'APRIL 25'!W35</f>
        <v>98</v>
      </c>
      <c r="Y9" s="10">
        <f>'APRIL 25'!X35</f>
        <v>220</v>
      </c>
      <c r="Z9" s="10">
        <f>'APRIL 25'!Y35</f>
        <v>452</v>
      </c>
      <c r="AA9" s="10">
        <f>'APRIL 25'!Z35</f>
        <v>484</v>
      </c>
      <c r="AB9" s="10">
        <f>'APRIL 25'!AA35</f>
        <v>0</v>
      </c>
    </row>
    <row r="10" ht="35" customHeight="1" spans="1:28">
      <c r="A10" s="9" t="s">
        <v>105</v>
      </c>
      <c r="B10" s="10">
        <f>'MAY 25'!B50</f>
        <v>260949</v>
      </c>
      <c r="C10" s="10">
        <f>'MAY 25'!C50</f>
        <v>232255</v>
      </c>
      <c r="D10" s="10">
        <f>'MAY 25'!D50</f>
        <v>9872</v>
      </c>
      <c r="E10" s="11">
        <f>D10/B10*100</f>
        <v>3.78311470823801</v>
      </c>
      <c r="F10" s="10">
        <f>'MAY 25'!E50</f>
        <v>18788</v>
      </c>
      <c r="G10" s="11">
        <f>F10/B10*100</f>
        <v>7.19987430494081</v>
      </c>
      <c r="H10" s="10">
        <f>'MAY 25'!G50</f>
        <v>933</v>
      </c>
      <c r="I10" s="10">
        <f>'MAY 25'!H50</f>
        <v>2304</v>
      </c>
      <c r="J10" s="10">
        <f>'MAY 25'!I50</f>
        <v>0</v>
      </c>
      <c r="K10" s="10">
        <f>'MAY 25'!J50</f>
        <v>0</v>
      </c>
      <c r="L10" s="10">
        <f>'MAY 25'!K50</f>
        <v>8127</v>
      </c>
      <c r="M10" s="10">
        <f>'MAY 25'!L50</f>
        <v>0</v>
      </c>
      <c r="N10" s="10">
        <f>'MAY 25'!M50</f>
        <v>11</v>
      </c>
      <c r="O10" s="10">
        <f>'MAY 25'!N50</f>
        <v>0</v>
      </c>
      <c r="P10" s="10">
        <f>'MAY 25'!O50</f>
        <v>957</v>
      </c>
      <c r="Q10" s="10">
        <f>'MAY 25'!P50</f>
        <v>0</v>
      </c>
      <c r="R10" s="10">
        <f>'MAY 25'!Q50</f>
        <v>0</v>
      </c>
      <c r="S10" s="10">
        <f>'MAY 25'!R50</f>
        <v>5190</v>
      </c>
      <c r="T10" s="10">
        <f>'MAY 25'!S50</f>
        <v>0</v>
      </c>
      <c r="U10" s="10">
        <f>'MAY 25'!T50</f>
        <v>0</v>
      </c>
      <c r="V10" s="10">
        <f>'MAY 25'!U50</f>
        <v>0</v>
      </c>
      <c r="W10" s="10">
        <f>'MAY 25'!V50</f>
        <v>0</v>
      </c>
      <c r="X10" s="10">
        <f>'MAY 25'!W50</f>
        <v>8</v>
      </c>
      <c r="Y10" s="10">
        <f>'MAY 25'!X50</f>
        <v>541</v>
      </c>
      <c r="Z10" s="10">
        <f>'MAY 25'!Y50</f>
        <v>130</v>
      </c>
      <c r="AA10" s="10">
        <f>'MAY 25'!Z50</f>
        <v>5</v>
      </c>
      <c r="AB10" s="10">
        <f>'MAY 25'!AA50</f>
        <v>0</v>
      </c>
    </row>
    <row r="11" ht="35" customHeight="1" spans="1:28">
      <c r="A11" s="9" t="s">
        <v>106</v>
      </c>
      <c r="B11" s="10">
        <f>'JUNE 25'!B48</f>
        <v>269519</v>
      </c>
      <c r="C11" s="10">
        <f>'JUNE 25'!C48</f>
        <v>245388</v>
      </c>
      <c r="D11" s="10">
        <f>'JUNE 25'!D48</f>
        <v>8564</v>
      </c>
      <c r="E11" s="11">
        <f>D11/B11*100</f>
        <v>3.17751253158404</v>
      </c>
      <c r="F11" s="10">
        <f>'JUNE 25'!F48</f>
        <v>15567</v>
      </c>
      <c r="G11" s="11">
        <f>F11/B11*100</f>
        <v>5.77584511667081</v>
      </c>
      <c r="H11" s="10">
        <f>'JUNE 25'!H48</f>
        <v>2537</v>
      </c>
      <c r="I11" s="10">
        <f>'JUNE 25'!I48</f>
        <v>2038</v>
      </c>
      <c r="J11" s="10">
        <f>'JUNE 25'!J48</f>
        <v>0</v>
      </c>
      <c r="K11" s="10">
        <f>'JUNE 25'!K48</f>
        <v>0</v>
      </c>
      <c r="L11" s="10">
        <f>'JUNE 25'!L48</f>
        <v>1313</v>
      </c>
      <c r="M11" s="10">
        <f>'JUNE 25'!M48</f>
        <v>0</v>
      </c>
      <c r="N11" s="10">
        <f>'JUNE 25'!N48</f>
        <v>0</v>
      </c>
      <c r="O11" s="10">
        <f>'JUNE 25'!O48</f>
        <v>0</v>
      </c>
      <c r="P11" s="10">
        <f>'JUNE 25'!P48</f>
        <v>653</v>
      </c>
      <c r="Q11" s="10">
        <f>'JUNE 25'!Q48</f>
        <v>222</v>
      </c>
      <c r="R11" s="10">
        <f>'JUNE 25'!R48</f>
        <v>0</v>
      </c>
      <c r="S11" s="10">
        <f>'JUNE 25'!S48</f>
        <v>6567</v>
      </c>
      <c r="T11" s="10">
        <f>'JUNE 25'!T48</f>
        <v>0</v>
      </c>
      <c r="U11" s="10">
        <f>'JUNE 25'!U48</f>
        <v>0</v>
      </c>
      <c r="V11" s="10">
        <f>'JUNE 25'!V48</f>
        <v>0</v>
      </c>
      <c r="W11" s="10">
        <f>'JUNE 25'!W48</f>
        <v>0</v>
      </c>
      <c r="X11" s="10">
        <f>'JUNE 25'!X48</f>
        <v>0</v>
      </c>
      <c r="Y11" s="10">
        <f>'JUNE 25'!Y48</f>
        <v>95</v>
      </c>
      <c r="Z11" s="10">
        <f>'JUNE 25'!Z48</f>
        <v>138</v>
      </c>
      <c r="AA11" s="10">
        <f>'JUNE 25'!AA48</f>
        <v>0</v>
      </c>
      <c r="AB11" s="10">
        <f>'JUNE 25'!AB48</f>
        <v>0</v>
      </c>
    </row>
    <row r="12" ht="35" customHeight="1" spans="1:28">
      <c r="A12" s="9" t="s">
        <v>107</v>
      </c>
      <c r="B12" s="10">
        <f>'JULY 25'!B49</f>
        <v>327463</v>
      </c>
      <c r="C12" s="10">
        <f>'JULY 25'!C49</f>
        <v>299311</v>
      </c>
      <c r="D12" s="10">
        <f>'JULY 25'!D49</f>
        <v>9798</v>
      </c>
      <c r="E12" s="11">
        <f>D12/B12*100</f>
        <v>2.99209376326486</v>
      </c>
      <c r="F12" s="10">
        <f>'JULY 25'!F49</f>
        <v>18354</v>
      </c>
      <c r="G12" s="11">
        <f>F12/B12*100</f>
        <v>5.60490803541163</v>
      </c>
      <c r="H12" s="10">
        <f>'JULY 25'!H49</f>
        <v>3437</v>
      </c>
      <c r="I12" s="10">
        <f>'JULY 25'!I49</f>
        <v>2511</v>
      </c>
      <c r="J12" s="10">
        <f>'JULY 25'!J49</f>
        <v>0</v>
      </c>
      <c r="K12" s="10">
        <f>'JULY 25'!K49</f>
        <v>0</v>
      </c>
      <c r="L12" s="10">
        <f>'JULY 25'!L49</f>
        <v>1532</v>
      </c>
      <c r="M12" s="10">
        <f>'JULY 25'!M49</f>
        <v>6</v>
      </c>
      <c r="N12" s="10">
        <f>'JULY 25'!N49</f>
        <v>0</v>
      </c>
      <c r="O12" s="10">
        <f>'JULY 25'!O49</f>
        <v>8</v>
      </c>
      <c r="P12" s="10">
        <f>'JULY 25'!P49</f>
        <v>865</v>
      </c>
      <c r="Q12" s="10">
        <f>'JULY 25'!Q49</f>
        <v>1013</v>
      </c>
      <c r="R12" s="10">
        <f>'JULY 25'!R49</f>
        <v>0</v>
      </c>
      <c r="S12" s="10">
        <f>'JULY 25'!S49</f>
        <v>7746</v>
      </c>
      <c r="T12" s="10">
        <f>'JULY 25'!T49</f>
        <v>13</v>
      </c>
      <c r="U12" s="10">
        <f>'JULY 25'!U49</f>
        <v>0</v>
      </c>
      <c r="V12" s="10">
        <f>'JULY 25'!V49</f>
        <v>0</v>
      </c>
      <c r="W12" s="10">
        <f>'JULY 25'!W49</f>
        <v>0</v>
      </c>
      <c r="X12" s="10">
        <f>'JULY 25'!X49</f>
        <v>199</v>
      </c>
      <c r="Y12" s="10">
        <f>'JULY 25'!Y49</f>
        <v>504</v>
      </c>
      <c r="Z12" s="10">
        <f>'JULY 25'!Z49</f>
        <v>544</v>
      </c>
      <c r="AA12" s="10">
        <f>'JULY 25'!AA49</f>
        <v>0</v>
      </c>
      <c r="AB12" s="10">
        <f>'JULY 25'!AB49</f>
        <v>0</v>
      </c>
    </row>
    <row r="13" ht="35" customHeight="1" spans="1:28">
      <c r="A13" s="9" t="s">
        <v>108</v>
      </c>
      <c r="B13" s="10">
        <f>'AUGUST 25'!B49</f>
        <v>267149</v>
      </c>
      <c r="C13" s="10">
        <f>'AUGUST 25'!C49</f>
        <v>247269</v>
      </c>
      <c r="D13" s="10">
        <f>'AUGUST 25'!D49</f>
        <v>9657</v>
      </c>
      <c r="E13" s="11">
        <f>D13/B13*100</f>
        <v>3.61483666418366</v>
      </c>
      <c r="F13" s="10">
        <f>'AUGUST 25'!F49</f>
        <v>10764</v>
      </c>
      <c r="G13" s="11">
        <f>F13/B13*100</f>
        <v>4.02921216250108</v>
      </c>
      <c r="H13" s="10">
        <f>'AUGUST 25'!H49</f>
        <v>2083</v>
      </c>
      <c r="I13" s="10">
        <f>'AUGUST 25'!I49</f>
        <v>608</v>
      </c>
      <c r="J13" s="10">
        <f>'AUGUST 25'!J49</f>
        <v>0</v>
      </c>
      <c r="K13" s="10">
        <f>'AUGUST 25'!K49</f>
        <v>0</v>
      </c>
      <c r="L13" s="10">
        <f>'AUGUST 25'!L49</f>
        <v>1764</v>
      </c>
      <c r="M13" s="10">
        <f>'AUGUST 25'!M49</f>
        <v>0</v>
      </c>
      <c r="N13" s="10">
        <f>'AUGUST 25'!N49</f>
        <v>0</v>
      </c>
      <c r="O13" s="10">
        <f>'AUGUST 25'!O49</f>
        <v>0</v>
      </c>
      <c r="P13" s="10">
        <f>'AUGUST 25'!P49</f>
        <v>587</v>
      </c>
      <c r="Q13" s="10">
        <f>'AUGUST 25'!Q49</f>
        <v>751</v>
      </c>
      <c r="R13" s="10">
        <f>'AUGUST 25'!R49</f>
        <v>209</v>
      </c>
      <c r="S13" s="10">
        <f>'AUGUST 25'!S49</f>
        <v>3005</v>
      </c>
      <c r="T13" s="10">
        <f>'AUGUST 25'!T49</f>
        <v>0</v>
      </c>
      <c r="U13" s="10">
        <f>'AUGUST 25'!U49</f>
        <v>0</v>
      </c>
      <c r="V13" s="10">
        <f>'AUGUST 25'!V49</f>
        <v>0</v>
      </c>
      <c r="W13" s="10">
        <f>'AUGUST 25'!W49</f>
        <v>0</v>
      </c>
      <c r="X13" s="10">
        <f>'AUGUST 25'!X49</f>
        <v>840</v>
      </c>
      <c r="Y13" s="10">
        <f>'AUGUST 25'!Y49</f>
        <v>823</v>
      </c>
      <c r="Z13" s="10">
        <f>'AUGUST 25'!Z49</f>
        <v>644</v>
      </c>
      <c r="AA13" s="10">
        <f>'AUGUST 25'!AA49</f>
        <v>0</v>
      </c>
      <c r="AB13" s="10">
        <f>'AUGUST 25'!AB49</f>
        <v>0</v>
      </c>
    </row>
    <row r="14" ht="35" customHeight="1" spans="1:28">
      <c r="A14" s="9" t="s">
        <v>109</v>
      </c>
      <c r="B14" s="10">
        <f>'SEPTEMBER 25'!B48</f>
        <v>335960</v>
      </c>
      <c r="C14" s="10">
        <f>'SEPTEMBER 25'!C48</f>
        <v>310725</v>
      </c>
      <c r="D14" s="10">
        <f>'SEPTEMBER 25'!D48</f>
        <v>4509</v>
      </c>
      <c r="E14" s="11">
        <f>'SEPTEMBER 25'!E48</f>
        <v>1.34212406238838</v>
      </c>
      <c r="F14" s="10">
        <f>'SEPTEMBER 25'!F48</f>
        <v>20726</v>
      </c>
      <c r="G14" s="11">
        <f>'SEPTEMBER 25'!G48</f>
        <v>6.16918680795333</v>
      </c>
      <c r="H14" s="10">
        <f>'SEPTEMBER 25'!H48</f>
        <v>1316</v>
      </c>
      <c r="I14" s="10">
        <f>'SEPTEMBER 25'!I48</f>
        <v>1048</v>
      </c>
      <c r="J14" s="10">
        <f>'SEPTEMBER 25'!J48</f>
        <v>0</v>
      </c>
      <c r="K14" s="10">
        <f>'SEPTEMBER 25'!K48</f>
        <v>0</v>
      </c>
      <c r="L14" s="10">
        <f>'SEPTEMBER 25'!L48</f>
        <v>11965</v>
      </c>
      <c r="M14" s="10">
        <f>'SEPTEMBER 25'!M48</f>
        <v>0</v>
      </c>
      <c r="N14" s="10">
        <f>'SEPTEMBER 25'!N48</f>
        <v>0</v>
      </c>
      <c r="O14" s="10">
        <f>'SEPTEMBER 25'!O48</f>
        <v>0</v>
      </c>
      <c r="P14" s="10">
        <f>'SEPTEMBER 25'!P48</f>
        <v>43</v>
      </c>
      <c r="Q14" s="10">
        <f>'SEPTEMBER 25'!Q48</f>
        <v>1459</v>
      </c>
      <c r="R14" s="10">
        <f>'SEPTEMBER 25'!R48</f>
        <v>169</v>
      </c>
      <c r="S14" s="10">
        <f>'SEPTEMBER 25'!S48</f>
        <v>3061</v>
      </c>
      <c r="T14" s="10">
        <f>'SEPTEMBER 25'!T48</f>
        <v>0</v>
      </c>
      <c r="U14" s="10">
        <f>'SEPTEMBER 25'!U48</f>
        <v>0</v>
      </c>
      <c r="V14" s="10">
        <f>'SEPTEMBER 25'!V48</f>
        <v>0</v>
      </c>
      <c r="W14" s="10">
        <f>'SEPTEMBER 25'!W48</f>
        <v>0</v>
      </c>
      <c r="X14" s="10">
        <f>'SEPTEMBER 25'!X48</f>
        <v>550</v>
      </c>
      <c r="Y14" s="10">
        <f>'SEPTEMBER 25'!Y48</f>
        <v>767</v>
      </c>
      <c r="Z14" s="10">
        <f>'SEPTEMBER 25'!Z48</f>
        <v>246</v>
      </c>
      <c r="AA14" s="10">
        <f>'SEPTEMBER 25'!AA48</f>
        <v>0</v>
      </c>
      <c r="AB14" s="10">
        <f>'SEPTEMBER 25'!AB48</f>
        <v>0</v>
      </c>
    </row>
    <row r="15" ht="35" customHeight="1" spans="1:28">
      <c r="A15" s="9" t="s">
        <v>110</v>
      </c>
      <c r="B15" s="10">
        <f>'OCTOBER 25'!B49</f>
        <v>191128</v>
      </c>
      <c r="C15" s="10">
        <f>'OCTOBER 25'!C49</f>
        <v>172231</v>
      </c>
      <c r="D15" s="10">
        <f>'OCTOBER 25'!D49</f>
        <v>7416</v>
      </c>
      <c r="E15" s="11">
        <f>'OCTOBER 25'!E49</f>
        <v>3.88012222175715</v>
      </c>
      <c r="F15" s="10">
        <f>'OCTOBER 25'!F49</f>
        <v>11481</v>
      </c>
      <c r="G15" s="11">
        <f>'OCTOBER 25'!G49</f>
        <v>6.00696915156335</v>
      </c>
      <c r="H15" s="10">
        <f>'OCTOBER 25'!H49</f>
        <v>1116</v>
      </c>
      <c r="I15" s="10">
        <f>'OCTOBER 25'!I49</f>
        <v>1065</v>
      </c>
      <c r="J15" s="10">
        <f>'OCTOBER 25'!J49</f>
        <v>0</v>
      </c>
      <c r="K15" s="10">
        <f>'OCTOBER 25'!K49</f>
        <v>0</v>
      </c>
      <c r="L15" s="10">
        <f>'OCTOBER 25'!L49</f>
        <v>1013</v>
      </c>
      <c r="M15" s="10">
        <f>'OCTOBER 25'!M49</f>
        <v>0</v>
      </c>
      <c r="N15" s="10">
        <f>'OCTOBER 25'!N49</f>
        <v>8</v>
      </c>
      <c r="O15" s="10">
        <f>'OCTOBER 25'!O49</f>
        <v>26</v>
      </c>
      <c r="P15" s="10">
        <f>'OCTOBER 25'!P49</f>
        <v>201</v>
      </c>
      <c r="Q15" s="10">
        <f>'OCTOBER 25'!Q49</f>
        <v>931</v>
      </c>
      <c r="R15" s="10">
        <f>'OCTOBER 25'!R49</f>
        <v>0</v>
      </c>
      <c r="S15" s="10">
        <f>'OCTOBER 25'!S49</f>
        <v>2353</v>
      </c>
      <c r="T15" s="10">
        <f>'OCTOBER 25'!T49</f>
        <v>0</v>
      </c>
      <c r="U15" s="10">
        <f>'OCTOBER 25'!U49</f>
        <v>0</v>
      </c>
      <c r="V15" s="10">
        <f>'OCTOBER 25'!V49</f>
        <v>0</v>
      </c>
      <c r="W15" s="10">
        <f>'OCTOBER 25'!W49</f>
        <v>0</v>
      </c>
      <c r="X15" s="10">
        <f>'OCTOBER 25'!X49</f>
        <v>111</v>
      </c>
      <c r="Y15" s="10">
        <f>'OCTOBER 25'!Y49</f>
        <v>316</v>
      </c>
      <c r="Z15" s="10">
        <f>'OCTOBER 25'!Z49</f>
        <v>22</v>
      </c>
      <c r="AA15" s="10">
        <f>'OCTOBER 25'!AA49</f>
        <v>3</v>
      </c>
      <c r="AB15" s="10">
        <f>'OCTOBER 25'!AB49</f>
        <v>0</v>
      </c>
    </row>
    <row r="16" ht="35" customHeight="1" spans="1:28">
      <c r="A16" s="9" t="s">
        <v>111</v>
      </c>
      <c r="B16" s="10">
        <f>'NOVEMBER 25'!B48</f>
        <v>203088</v>
      </c>
      <c r="C16" s="10">
        <f>'NOVEMBER 25'!C48</f>
        <v>189576</v>
      </c>
      <c r="D16" s="10">
        <f>'NOVEMBER 25'!D48</f>
        <v>2409</v>
      </c>
      <c r="E16" s="11">
        <f>'NOVEMBER 25'!E48</f>
        <v>1.18618529898369</v>
      </c>
      <c r="F16" s="10">
        <f>'NOVEMBER 25'!F48</f>
        <v>11103</v>
      </c>
      <c r="G16" s="11">
        <f>'NOVEMBER 25'!G48</f>
        <v>5.4670881588277</v>
      </c>
      <c r="H16" s="10">
        <f>'NOVEMBER 25'!H48</f>
        <v>1701</v>
      </c>
      <c r="I16" s="10">
        <f>'NOVEMBER 25'!I48</f>
        <v>998</v>
      </c>
      <c r="J16" s="10">
        <f>'NOVEMBER 25'!J48</f>
        <v>0</v>
      </c>
      <c r="K16" s="10">
        <f>'NOVEMBER 25'!K48</f>
        <v>65</v>
      </c>
      <c r="L16" s="10">
        <f>'NOVEMBER 25'!L48</f>
        <v>2816</v>
      </c>
      <c r="M16" s="10">
        <f>'NOVEMBER 25'!M48</f>
        <v>0</v>
      </c>
      <c r="N16" s="10">
        <f>'NOVEMBER 25'!N48</f>
        <v>0</v>
      </c>
      <c r="O16" s="10">
        <f>'NOVEMBER 25'!O48</f>
        <v>0</v>
      </c>
      <c r="P16" s="10">
        <f>'NOVEMBER 25'!P48</f>
        <v>322</v>
      </c>
      <c r="Q16" s="10">
        <f>'NOVEMBER 25'!Q48</f>
        <v>1110</v>
      </c>
      <c r="R16" s="10">
        <f>'NOVEMBER 25'!R48</f>
        <v>359</v>
      </c>
      <c r="S16" s="10">
        <f>'NOVEMBER 25'!S48</f>
        <v>3050</v>
      </c>
      <c r="T16" s="10">
        <f>'NOVEMBER 25'!T48</f>
        <v>0</v>
      </c>
      <c r="U16" s="10">
        <f>'NOVEMBER 25'!U48</f>
        <v>0</v>
      </c>
      <c r="V16" s="10">
        <f>'NOVEMBER 25'!V48</f>
        <v>0</v>
      </c>
      <c r="W16" s="10">
        <f>'NOVEMBER 25'!W48</f>
        <v>0</v>
      </c>
      <c r="X16" s="10">
        <f>'NOVEMBER 25'!X48</f>
        <v>303</v>
      </c>
      <c r="Y16" s="10">
        <f>'NOVEMBER 25'!Y48</f>
        <v>215</v>
      </c>
      <c r="Z16" s="10">
        <f>'NOVEMBER 25'!Z48</f>
        <v>164</v>
      </c>
      <c r="AA16" s="10">
        <f>'NOVEMBER 25'!AA48</f>
        <v>0</v>
      </c>
      <c r="AB16" s="10">
        <f>'NOVEMBER 25'!AB48</f>
        <v>0</v>
      </c>
    </row>
    <row r="17" ht="35" customHeight="1" spans="1:28">
      <c r="A17" s="9" t="s">
        <v>112</v>
      </c>
      <c r="B17" s="10">
        <f>'DECEMBER 25'!B49</f>
        <v>331957</v>
      </c>
      <c r="C17" s="10">
        <f>'DECEMBER 25'!C49</f>
        <v>297260</v>
      </c>
      <c r="D17" s="10">
        <f>'DECEMBER 25'!D49</f>
        <v>10309</v>
      </c>
      <c r="E17" s="11">
        <f>'DECEMBER 25'!E49</f>
        <v>3.10552270324168</v>
      </c>
      <c r="F17" s="10">
        <f>'DECEMBER 25'!F49</f>
        <v>21170</v>
      </c>
      <c r="G17" s="11">
        <f>'DECEMBER 25'!G49</f>
        <v>6.37733200384387</v>
      </c>
      <c r="H17" s="10">
        <f>'DECEMBER 25'!H49</f>
        <v>4187</v>
      </c>
      <c r="I17" s="10">
        <f>'DECEMBER 25'!I49</f>
        <v>3162</v>
      </c>
      <c r="J17" s="10">
        <f>'DECEMBER 25'!J49</f>
        <v>0</v>
      </c>
      <c r="K17" s="10">
        <f>'DECEMBER 25'!K49</f>
        <v>0</v>
      </c>
      <c r="L17" s="10">
        <f>'DECEMBER 25'!L49</f>
        <v>1239</v>
      </c>
      <c r="M17" s="10">
        <f>'DECEMBER 25'!M49</f>
        <v>0</v>
      </c>
      <c r="N17" s="10">
        <f>'DECEMBER 25'!N49</f>
        <v>0</v>
      </c>
      <c r="O17" s="10">
        <f>'DECEMBER 25'!O49</f>
        <v>0</v>
      </c>
      <c r="P17" s="10">
        <f>'DECEMBER 25'!P49</f>
        <v>1611</v>
      </c>
      <c r="Q17" s="10">
        <f>'DECEMBER 25'!Q49</f>
        <v>446</v>
      </c>
      <c r="R17" s="10">
        <f>'DECEMBER 25'!R49</f>
        <v>35</v>
      </c>
      <c r="S17" s="10">
        <f>'DECEMBER 25'!S49</f>
        <v>3192</v>
      </c>
      <c r="T17" s="10">
        <f>'DECEMBER 25'!T49</f>
        <v>0</v>
      </c>
      <c r="U17" s="10">
        <f>'DECEMBER 25'!U49</f>
        <v>0</v>
      </c>
      <c r="V17" s="10">
        <f>'DECEMBER 25'!V49</f>
        <v>0</v>
      </c>
      <c r="W17" s="10">
        <f>'DECEMBER 25'!W49</f>
        <v>0</v>
      </c>
      <c r="X17" s="10">
        <f>'DECEMBER 25'!X49</f>
        <v>861</v>
      </c>
      <c r="Y17" s="10">
        <f>'DECEMBER 25'!Y49</f>
        <v>395</v>
      </c>
      <c r="Z17" s="10">
        <f>'DECEMBER 25'!Z49</f>
        <v>90</v>
      </c>
      <c r="AA17" s="10">
        <f>'DECEMBER 25'!AA49</f>
        <v>0</v>
      </c>
      <c r="AB17" s="10">
        <f>'DECEMBER 25'!AB49</f>
        <v>0</v>
      </c>
    </row>
    <row r="18" ht="35" customHeight="1" spans="1:28">
      <c r="A18" s="9" t="s">
        <v>113</v>
      </c>
      <c r="B18" s="10"/>
      <c r="C18" s="10"/>
      <c r="D18" s="10"/>
      <c r="E18" s="10"/>
      <c r="F18" s="10"/>
      <c r="G18" s="11">
        <f>'APRIL 25'!F44</f>
        <v>0</v>
      </c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</row>
    <row r="19" ht="35" customHeight="1" spans="1:28">
      <c r="A19" s="9" t="s">
        <v>114</v>
      </c>
      <c r="B19" s="10"/>
      <c r="C19" s="10"/>
      <c r="D19" s="10"/>
      <c r="E19" s="10"/>
      <c r="F19" s="10"/>
      <c r="G19" s="11">
        <f>'APRIL 25'!F45</f>
        <v>0</v>
      </c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</row>
    <row r="20" ht="35" customHeight="1" spans="1:28">
      <c r="A20" s="9" t="s">
        <v>115</v>
      </c>
      <c r="B20" s="10"/>
      <c r="C20" s="10"/>
      <c r="D20" s="10"/>
      <c r="E20" s="10"/>
      <c r="F20" s="10"/>
      <c r="G20" s="11">
        <f>'APRIL 25'!F46</f>
        <v>0</v>
      </c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</row>
    <row r="21" ht="39" customHeight="1" spans="1:28">
      <c r="A21" s="12" t="s">
        <v>40</v>
      </c>
      <c r="B21" s="13">
        <f>SUM(B9:B20)</f>
        <v>2434980</v>
      </c>
      <c r="C21" s="13">
        <f>SUM(C9:C20)</f>
        <v>2209311</v>
      </c>
      <c r="D21" s="13">
        <f>SUM(D9:D20)</f>
        <v>74734</v>
      </c>
      <c r="E21" s="12"/>
      <c r="F21" s="13">
        <f>SUM(F9:F20)</f>
        <v>147224</v>
      </c>
      <c r="G21" s="14">
        <f>F21/B21*100</f>
        <v>6.04620982513203</v>
      </c>
      <c r="H21" s="13">
        <f>SUM(H9:H20)</f>
        <v>20731</v>
      </c>
      <c r="I21" s="13">
        <f>SUM(I9:I20)</f>
        <v>16146</v>
      </c>
      <c r="J21" s="13">
        <f>SUM(J9:J20)</f>
        <v>486</v>
      </c>
      <c r="K21" s="13">
        <f t="shared" ref="K21:AB21" si="0">SUM(K9:K20)</f>
        <v>833</v>
      </c>
      <c r="L21" s="13">
        <f t="shared" si="0"/>
        <v>36578</v>
      </c>
      <c r="M21" s="13">
        <f t="shared" si="0"/>
        <v>6</v>
      </c>
      <c r="N21" s="13">
        <f t="shared" si="0"/>
        <v>19</v>
      </c>
      <c r="O21" s="13">
        <f t="shared" si="0"/>
        <v>34</v>
      </c>
      <c r="P21" s="13">
        <f t="shared" si="0"/>
        <v>5239</v>
      </c>
      <c r="Q21" s="13">
        <f t="shared" si="0"/>
        <v>5933</v>
      </c>
      <c r="R21" s="13">
        <f t="shared" si="0"/>
        <v>772</v>
      </c>
      <c r="S21" s="13">
        <f t="shared" si="0"/>
        <v>37971</v>
      </c>
      <c r="T21" s="13">
        <f t="shared" si="0"/>
        <v>13</v>
      </c>
      <c r="U21" s="13">
        <f t="shared" si="0"/>
        <v>0</v>
      </c>
      <c r="V21" s="13">
        <f t="shared" si="0"/>
        <v>0</v>
      </c>
      <c r="W21" s="13">
        <f t="shared" si="0"/>
        <v>0</v>
      </c>
      <c r="X21" s="13">
        <f t="shared" si="0"/>
        <v>2970</v>
      </c>
      <c r="Y21" s="13">
        <f t="shared" si="0"/>
        <v>3876</v>
      </c>
      <c r="Z21" s="13">
        <f t="shared" si="0"/>
        <v>2430</v>
      </c>
      <c r="AA21" s="13">
        <f t="shared" si="0"/>
        <v>492</v>
      </c>
      <c r="AB21" s="13">
        <f t="shared" si="0"/>
        <v>0</v>
      </c>
    </row>
    <row r="22" ht="38" customHeight="1" spans="1:28">
      <c r="A22" s="15" t="s">
        <v>116</v>
      </c>
      <c r="B22" s="15"/>
      <c r="C22" s="16">
        <f>C21/B21*100</f>
        <v>90.7322031392455</v>
      </c>
      <c r="D22" s="16">
        <f>D21/B21*100</f>
        <v>3.06918331978086</v>
      </c>
      <c r="E22" s="16"/>
      <c r="F22" s="16">
        <f>F21/B21*100</f>
        <v>6.04620982513203</v>
      </c>
      <c r="G22" s="16">
        <f>G21/B21*100</f>
        <v>0.000248306344410715</v>
      </c>
      <c r="H22" s="16">
        <f>H21/B21*100</f>
        <v>0.851382762897437</v>
      </c>
      <c r="I22" s="16">
        <f>I21/$B$21*100</f>
        <v>0.663085528423231</v>
      </c>
      <c r="J22" s="16">
        <f>J21/$B$21*100</f>
        <v>0.0199590961732745</v>
      </c>
      <c r="K22" s="16">
        <f>K21/$B$21*100</f>
        <v>0.034209726568596</v>
      </c>
      <c r="L22" s="16">
        <f t="shared" ref="L22:AB22" si="1">L21/$B$21*100</f>
        <v>1.5021889296832</v>
      </c>
      <c r="M22" s="16">
        <f t="shared" si="1"/>
        <v>0.000246408594731784</v>
      </c>
      <c r="N22" s="16">
        <f t="shared" si="1"/>
        <v>0.000780293883317317</v>
      </c>
      <c r="O22" s="16">
        <f t="shared" si="1"/>
        <v>0.00139631537014678</v>
      </c>
      <c r="P22" s="16">
        <f t="shared" si="1"/>
        <v>0.21515577129997</v>
      </c>
      <c r="Q22" s="16">
        <f t="shared" si="1"/>
        <v>0.243657032090613</v>
      </c>
      <c r="R22" s="16">
        <f t="shared" si="1"/>
        <v>0.0317045725221562</v>
      </c>
      <c r="S22" s="16">
        <f t="shared" si="1"/>
        <v>1.5593967917601</v>
      </c>
      <c r="T22" s="16">
        <f t="shared" si="1"/>
        <v>0.000533885288585533</v>
      </c>
      <c r="U22" s="16">
        <f t="shared" si="1"/>
        <v>0</v>
      </c>
      <c r="V22" s="16">
        <f t="shared" si="1"/>
        <v>0</v>
      </c>
      <c r="W22" s="16">
        <f t="shared" si="1"/>
        <v>0</v>
      </c>
      <c r="X22" s="16">
        <f t="shared" si="1"/>
        <v>0.121972254392233</v>
      </c>
      <c r="Y22" s="16">
        <f t="shared" si="1"/>
        <v>0.159179952196733</v>
      </c>
      <c r="Z22" s="16">
        <f t="shared" si="1"/>
        <v>0.0997954808663726</v>
      </c>
      <c r="AA22" s="16">
        <f t="shared" si="1"/>
        <v>0.0202055047680063</v>
      </c>
      <c r="AB22" s="16">
        <f t="shared" si="1"/>
        <v>0</v>
      </c>
    </row>
    <row r="27" spans="2:3">
      <c r="B27" s="17"/>
      <c r="C27" s="17"/>
    </row>
    <row r="28" spans="2:3">
      <c r="B28" s="17"/>
      <c r="C28" s="17"/>
    </row>
    <row r="29" spans="2:3">
      <c r="B29" s="17"/>
      <c r="C29" s="17"/>
    </row>
    <row r="30" spans="2:3">
      <c r="B30" s="17"/>
      <c r="C30" s="17"/>
    </row>
    <row r="31" spans="2:3">
      <c r="B31" s="17"/>
      <c r="C31" s="17"/>
    </row>
    <row r="32" spans="2:3">
      <c r="B32" s="17"/>
      <c r="C32" s="17"/>
    </row>
    <row r="33" spans="2:3">
      <c r="B33" s="17"/>
      <c r="C33" s="17"/>
    </row>
    <row r="34" spans="2:3">
      <c r="B34" s="17"/>
      <c r="C34" s="17"/>
    </row>
    <row r="35" spans="2:3">
      <c r="B35" s="17"/>
      <c r="C35" s="17"/>
    </row>
    <row r="36" spans="2:3">
      <c r="B36" s="17"/>
      <c r="C36" s="17"/>
    </row>
    <row r="37" spans="2:3">
      <c r="B37" s="17"/>
      <c r="C37" s="17"/>
    </row>
    <row r="38" spans="2:3">
      <c r="B38" s="17"/>
      <c r="C38" s="17"/>
    </row>
    <row r="39" spans="2:3">
      <c r="B39" s="18" t="str">
        <f t="array" ref="B39:B59">TRANSPOSE(H8:AB8)</f>
        <v>COAG</v>
      </c>
      <c r="C39" s="18">
        <f>H21</f>
        <v>20731</v>
      </c>
    </row>
    <row r="40" spans="2:3">
      <c r="B40" s="18" t="str">
        <v>SD</v>
      </c>
      <c r="C40" s="18">
        <f>I21</f>
        <v>16146</v>
      </c>
    </row>
    <row r="41" spans="2:11">
      <c r="B41" s="18" t="str">
        <v>TT</v>
      </c>
      <c r="C41" s="18">
        <f>J21</f>
        <v>486</v>
      </c>
      <c r="H41" s="19" t="s">
        <v>12</v>
      </c>
      <c r="I41" s="19"/>
      <c r="J41" s="10">
        <f>B21</f>
        <v>2434980</v>
      </c>
      <c r="K41" s="10"/>
    </row>
    <row r="42" spans="2:11">
      <c r="B42" s="18" t="str">
        <v>BL</v>
      </c>
      <c r="C42" s="18"/>
      <c r="H42" s="19" t="s">
        <v>102</v>
      </c>
      <c r="I42" s="19"/>
      <c r="J42" s="10">
        <f>C21</f>
        <v>2209311</v>
      </c>
      <c r="K42" s="10"/>
    </row>
    <row r="43" spans="2:11">
      <c r="B43" s="18" t="str">
        <v>PS</v>
      </c>
      <c r="C43" s="18">
        <f>L21</f>
        <v>36578</v>
      </c>
      <c r="H43" s="19" t="s">
        <v>65</v>
      </c>
      <c r="I43" s="19"/>
      <c r="J43" s="10">
        <f>D21</f>
        <v>74734</v>
      </c>
      <c r="K43" s="10"/>
    </row>
    <row r="44" spans="2:11">
      <c r="B44" s="18" t="str">
        <v>SB</v>
      </c>
      <c r="C44" s="18">
        <f>M21</f>
        <v>6</v>
      </c>
      <c r="H44" s="19" t="s">
        <v>16</v>
      </c>
      <c r="I44" s="19"/>
      <c r="J44" s="10">
        <f>F21</f>
        <v>147224</v>
      </c>
      <c r="K44" s="10"/>
    </row>
    <row r="45" spans="2:3">
      <c r="B45" s="18" t="str">
        <v>PW</v>
      </c>
      <c r="C45" s="18">
        <f>N21</f>
        <v>19</v>
      </c>
    </row>
    <row r="46" spans="2:3">
      <c r="B46" s="18" t="str">
        <v>FP</v>
      </c>
      <c r="C46" s="18">
        <f>O21</f>
        <v>34</v>
      </c>
    </row>
    <row r="47" spans="2:3">
      <c r="B47" s="18" t="str">
        <v>RW</v>
      </c>
      <c r="C47" s="18">
        <f>P21</f>
        <v>5239</v>
      </c>
    </row>
    <row r="48" spans="2:3">
      <c r="B48" s="18" t="str">
        <v>BEP</v>
      </c>
      <c r="C48" s="18">
        <f>Q21</f>
        <v>5933</v>
      </c>
    </row>
    <row r="49" spans="2:3">
      <c r="B49" s="18" t="str">
        <v>DEC</v>
      </c>
      <c r="C49" s="18">
        <f>R21</f>
        <v>772</v>
      </c>
    </row>
    <row r="50" spans="2:3">
      <c r="B50" s="18" t="str">
        <v>BM</v>
      </c>
      <c r="C50" s="18">
        <f>S21</f>
        <v>37971</v>
      </c>
    </row>
    <row r="51" spans="2:3">
      <c r="B51" s="18" t="str">
        <v>WEB</v>
      </c>
      <c r="C51" s="18">
        <f>T21</f>
        <v>13</v>
      </c>
    </row>
    <row r="52" spans="2:3">
      <c r="B52" s="18" t="str">
        <v>BT</v>
      </c>
      <c r="C52" s="18">
        <f>U21</f>
        <v>0</v>
      </c>
    </row>
    <row r="53" spans="2:3">
      <c r="B53" s="18" t="str">
        <v>SF</v>
      </c>
      <c r="C53" s="18">
        <f>V21</f>
        <v>0</v>
      </c>
    </row>
    <row r="54" spans="2:3">
      <c r="B54" s="18" t="str">
        <v>BIC</v>
      </c>
      <c r="C54" s="18">
        <f>W21</f>
        <v>0</v>
      </c>
    </row>
    <row r="55" spans="2:3">
      <c r="B55" s="18" t="str">
        <v>WK</v>
      </c>
      <c r="C55" s="18">
        <f>X21</f>
        <v>2970</v>
      </c>
    </row>
    <row r="56" spans="2:3">
      <c r="B56" s="18" t="str">
        <v>BMP</v>
      </c>
      <c r="C56" s="18">
        <f>Y21</f>
        <v>3876</v>
      </c>
    </row>
    <row r="57" spans="2:3">
      <c r="B57" s="18" t="str">
        <v>TF</v>
      </c>
      <c r="C57" s="18">
        <f>Z21</f>
        <v>2430</v>
      </c>
    </row>
    <row r="58" spans="2:3">
      <c r="B58" s="18" t="str">
        <v>PH</v>
      </c>
      <c r="C58" s="18">
        <f>AA21</f>
        <v>492</v>
      </c>
    </row>
    <row r="59" spans="2:3">
      <c r="B59" s="18" t="str">
        <v>BST</v>
      </c>
      <c r="C59" s="18">
        <f>AB21</f>
        <v>0</v>
      </c>
    </row>
  </sheetData>
  <mergeCells count="27">
    <mergeCell ref="X1:Z1"/>
    <mergeCell ref="AA1:AB1"/>
    <mergeCell ref="X2:Z2"/>
    <mergeCell ref="AA2:AB2"/>
    <mergeCell ref="X3:Z3"/>
    <mergeCell ref="AA3:AB3"/>
    <mergeCell ref="B4:W4"/>
    <mergeCell ref="X4:AB4"/>
    <mergeCell ref="H6:AB6"/>
    <mergeCell ref="A22:B22"/>
    <mergeCell ref="H41:I41"/>
    <mergeCell ref="J41:K41"/>
    <mergeCell ref="H42:I42"/>
    <mergeCell ref="J42:K42"/>
    <mergeCell ref="H43:I43"/>
    <mergeCell ref="J43:K43"/>
    <mergeCell ref="H44:I44"/>
    <mergeCell ref="J44:K44"/>
    <mergeCell ref="A1:A4"/>
    <mergeCell ref="A6:A8"/>
    <mergeCell ref="B6:B8"/>
    <mergeCell ref="C6:C8"/>
    <mergeCell ref="D6:D8"/>
    <mergeCell ref="E6:E8"/>
    <mergeCell ref="F6:F8"/>
    <mergeCell ref="G6:G8"/>
    <mergeCell ref="B1:W3"/>
  </mergeCells>
  <pageMargins left="0.251388888888889" right="0.251388888888889" top="0.251388888888889" bottom="0.251388888888889" header="0.251388888888889" footer="0.251388888888889"/>
  <pageSetup paperSize="9" scale="72" fitToHeight="0" orientation="landscape" horizontalDpi="600"/>
  <headerFooter>
    <oddFooter>&amp;R&amp;14&amp;BAuth...................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FORMATE</vt:lpstr>
      <vt:lpstr>4-2-25</vt:lpstr>
      <vt:lpstr>APRIL 25</vt:lpstr>
      <vt:lpstr>MAY 25</vt:lpstr>
      <vt:lpstr>JUNE 25</vt:lpstr>
      <vt:lpstr>JULY 25</vt:lpstr>
      <vt:lpstr>AUGUST 25</vt:lpstr>
      <vt:lpstr>SEPTEMBER 25</vt:lpstr>
      <vt:lpstr>OCTOBER 25</vt:lpstr>
      <vt:lpstr>NOVEMBER 25</vt:lpstr>
      <vt:lpstr>DECEMBER 25</vt:lpstr>
      <vt:lpstr>JANUARY 26</vt:lpstr>
      <vt:lpstr>YEARLY 2024-25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PC-134</cp:lastModifiedBy>
  <dcterms:created xsi:type="dcterms:W3CDTF">2025-02-05T05:59:00Z</dcterms:created>
  <dcterms:modified xsi:type="dcterms:W3CDTF">2026-01-28T04:19:06Z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C891B2DC4A2C44F594877C20D8C2922A_13</vt:lpwstr>
  </property>
  <property fmtid="{D5CDD505-2E9C-101B-9397-08002B2CF9AE}" pid="3" name="KSOProductBuildVer">
    <vt:lpwstr>1033-12.2.0.21179</vt:lpwstr>
  </property>
</Properties>
</file>