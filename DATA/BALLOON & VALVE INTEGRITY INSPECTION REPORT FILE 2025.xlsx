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2" activeTab="9"/>
  </bookViews>
  <sheets>
    <sheet name="APRIL 25" sheetId="2" r:id="rId1"/>
    <sheet name=" MAY 25" sheetId="4" r:id="rId2"/>
    <sheet name="JUNE 2025" sheetId="5" r:id="rId3"/>
    <sheet name="JULY 2025" sheetId="6" r:id="rId4"/>
    <sheet name="AUGUST 2025" sheetId="7" r:id="rId5"/>
    <sheet name="SEPTEMBER 2025" sheetId="8" r:id="rId6"/>
    <sheet name="OCTOBER 2025" sheetId="9" r:id="rId7"/>
    <sheet name="NOVEMBER 2025" sheetId="10" r:id="rId8"/>
    <sheet name="DECEMBER 2025" sheetId="11" r:id="rId9"/>
    <sheet name="JANUARY 2026" sheetId="12" r:id="rId10"/>
    <sheet name="YEARLY 2025-26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<sst xmlns="http://schemas.openxmlformats.org/spreadsheetml/2006/main" count="568" uniqueCount="64">
  <si>
    <r>
      <rPr>
        <b/>
        <sz val="28"/>
        <color theme="1"/>
        <rFont val="Times New Roman"/>
        <charset val="134"/>
      </rPr>
      <t>DISPOSAFE HEALTH AND LIFE CARE LIMITED</t>
    </r>
    <r>
      <rPr>
        <b/>
        <sz val="24"/>
        <color theme="1"/>
        <rFont val="Times New Roman"/>
        <charset val="134"/>
      </rPr>
      <t xml:space="preserve">
Plot No.37A, Sector-06, Ballabgarh (Faridabad) Haryana India 121006</t>
    </r>
  </si>
  <si>
    <t>Doc. No            :</t>
  </si>
  <si>
    <t>F/ASSEM/03:00</t>
  </si>
  <si>
    <t xml:space="preserve">Supersedes : </t>
  </si>
  <si>
    <t>None</t>
  </si>
  <si>
    <t>Effective Date  :</t>
  </si>
  <si>
    <t>BALLOON &amp; VALVE INTEGRITY REPORT</t>
  </si>
  <si>
    <t>Page: 1 of 1</t>
  </si>
  <si>
    <t>BALLOON ISPECTION REPORT - P17</t>
  </si>
  <si>
    <t>VALVE INTEGRITY</t>
  </si>
  <si>
    <t>DATE</t>
  </si>
  <si>
    <t>CHECKED QTY</t>
  </si>
  <si>
    <t>ACCEPT QTY</t>
  </si>
  <si>
    <t>HOLD QTY</t>
  </si>
  <si>
    <t>REJ. QTY</t>
  </si>
  <si>
    <t>REJ. %</t>
  </si>
  <si>
    <t>STRUCK BALLOON</t>
  </si>
  <si>
    <t>BALLOOM BRUST</t>
  </si>
  <si>
    <t>LEAKAGE</t>
  </si>
  <si>
    <t>OTHERS</t>
  </si>
  <si>
    <t>Remarks</t>
  </si>
  <si>
    <t>90/10</t>
  </si>
  <si>
    <t>BUBBLE</t>
  </si>
  <si>
    <t>THIN SPOD</t>
  </si>
  <si>
    <t>TOTAL</t>
  </si>
  <si>
    <t>TOTAL %</t>
  </si>
  <si>
    <t>BALLOON INS. REPORT</t>
  </si>
  <si>
    <t>BALLOON BRUST</t>
  </si>
  <si>
    <t>REJ QTY</t>
  </si>
  <si>
    <t>VALV INTEGRITY</t>
  </si>
  <si>
    <r>
      <rPr>
        <b/>
        <sz val="30"/>
        <color theme="1"/>
        <rFont val="Times New Roman"/>
        <charset val="134"/>
      </rPr>
      <t>DISPOSAFE HEALTH AND LIFE CARE LIMITED</t>
    </r>
    <r>
      <rPr>
        <b/>
        <sz val="16"/>
        <color theme="1"/>
        <rFont val="Times New Roman"/>
        <charset val="134"/>
      </rPr>
      <t xml:space="preserve">
</t>
    </r>
    <r>
      <rPr>
        <b/>
        <sz val="25"/>
        <color theme="1"/>
        <rFont val="Times New Roman"/>
        <charset val="134"/>
      </rPr>
      <t>Plot No.37A, Sector-06, Ballabgarh (Faridabad) Haryana India 121006</t>
    </r>
  </si>
  <si>
    <t xml:space="preserve">Supersedes      : </t>
  </si>
  <si>
    <t>Effective Date :</t>
  </si>
  <si>
    <t>DAILY BALLOON &amp; VALVE INTEGRITY REPORT</t>
  </si>
  <si>
    <t>SUNDAY</t>
  </si>
  <si>
    <t xml:space="preserve"> </t>
  </si>
  <si>
    <t>00</t>
  </si>
  <si>
    <t>WEEKLY</t>
  </si>
  <si>
    <t>WEEKLY 1</t>
  </si>
  <si>
    <t>WEEKLY 2</t>
  </si>
  <si>
    <t>WEEKLY 3</t>
  </si>
  <si>
    <t>WEEKLY 4</t>
  </si>
  <si>
    <t>PERCENTAGE OF TOTAL</t>
  </si>
  <si>
    <t>HOLIDAY</t>
  </si>
  <si>
    <t>WEEKLY 5</t>
  </si>
  <si>
    <t>VIJAYA DASHMI</t>
  </si>
  <si>
    <t>HAPPY DIWALI</t>
  </si>
  <si>
    <t>DISPOSAFE HEALTH AND LIFE CARE LIMITED
Plot No.37A, Sector-06, Ballabgarh (Faridabad) Haryana India 121006</t>
  </si>
  <si>
    <t>DAILY BALLOON &amp; VALVE INTEGRITY REPORT
Page: 1 of 1</t>
  </si>
  <si>
    <t>Effective Date:</t>
  </si>
  <si>
    <t>DAILY BALLOON &amp; VALVE INTEGRITY REPORT YEAR 2025-26</t>
  </si>
  <si>
    <t>MONTH</t>
  </si>
  <si>
    <t>APRIL 25</t>
  </si>
  <si>
    <t>MAY 25</t>
  </si>
  <si>
    <t>JUNE 25</t>
  </si>
  <si>
    <t>JULY 25</t>
  </si>
  <si>
    <t>AUGUST 25</t>
  </si>
  <si>
    <t>SEPTEMBER 25</t>
  </si>
  <si>
    <t>OCTOBER 25</t>
  </si>
  <si>
    <t>NOVEMBER 25</t>
  </si>
  <si>
    <t>DECEMBER 25</t>
  </si>
  <si>
    <t>JANUARY 26</t>
  </si>
  <si>
    <t>FEBRUARY 26</t>
  </si>
  <si>
    <t>MARCH 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</si>
</sst>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40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3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4"/>
      <name val="Calibri"/>
      <charset val="134"/>
      <scheme val="minor"/>
    </font>
    <font>
      <b/>
      <sz val="26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28"/>
      <color theme="1"/>
      <name val="Times New Roman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5"/>
      <color theme="1"/>
      <name val="Times New Roman"/>
      <charset val="134"/>
    </font>
    <font>
      <b/>
      <sz val="24"/>
      <color theme="1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FFC3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79E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C0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22" applyNumberFormat="0" applyAlignment="0" applyProtection="0">
      <alignment vertical="center"/>
    </xf>
    <xf numFmtId="0" fontId="28" fillId="15" borderId="23" applyNumberFormat="0" applyAlignment="0" applyProtection="0">
      <alignment vertical="center"/>
    </xf>
    <xf numFmtId="0" fontId="29" fillId="15" borderId="22" applyNumberFormat="0" applyAlignment="0" applyProtection="0">
      <alignment vertical="center"/>
    </xf>
    <xf numFmtId="0" fontId="30" fillId="16" borderId="24" applyNumberFormat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1" xfId="0" applyNumberFormat="1" applyBorder="1">
      <alignment vertical="center"/>
    </xf>
    <xf numFmtId="0" fontId="0" fillId="0" borderId="0" xfId="0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distributed" vertical="center"/>
    </xf>
    <xf numFmtId="0" fontId="9" fillId="0" borderId="11" xfId="0" applyFont="1" applyBorder="1" applyAlignment="1">
      <alignment horizontal="distributed" vertical="center"/>
    </xf>
    <xf numFmtId="0" fontId="2" fillId="0" borderId="8" xfId="0" applyFont="1" applyBorder="1" applyAlignment="1">
      <alignment horizontal="center" vertical="center" wrapText="1"/>
    </xf>
    <xf numFmtId="58" fontId="9" fillId="0" borderId="1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80" fontId="7" fillId="0" borderId="11" xfId="0" applyNumberFormat="1" applyFont="1" applyBorder="1" applyAlignment="1">
      <alignment horizontal="center" vertical="center"/>
    </xf>
    <xf numFmtId="180" fontId="6" fillId="6" borderId="11" xfId="0" applyNumberFormat="1" applyFont="1" applyFill="1" applyBorder="1" applyAlignment="1">
      <alignment horizontal="center" vertical="center"/>
    </xf>
    <xf numFmtId="0" fontId="6" fillId="6" borderId="11" xfId="0" applyNumberFormat="1" applyFont="1" applyFill="1" applyBorder="1" applyAlignment="1">
      <alignment horizontal="center" vertical="center"/>
    </xf>
    <xf numFmtId="2" fontId="6" fillId="7" borderId="11" xfId="0" applyNumberFormat="1" applyFont="1" applyFill="1" applyBorder="1" applyAlignment="1">
      <alignment horizontal="center" vertical="center"/>
    </xf>
    <xf numFmtId="180" fontId="7" fillId="8" borderId="11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2" fontId="7" fillId="8" borderId="11" xfId="0" applyNumberFormat="1" applyFont="1" applyFill="1" applyBorder="1" applyAlignment="1">
      <alignment horizontal="center" vertical="center"/>
    </xf>
    <xf numFmtId="180" fontId="7" fillId="0" borderId="11" xfId="0" applyNumberFormat="1" applyFont="1" applyFill="1" applyBorder="1" applyAlignment="1">
      <alignment horizontal="center" vertical="center"/>
    </xf>
    <xf numFmtId="1" fontId="7" fillId="0" borderId="11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2" fontId="13" fillId="8" borderId="11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0" fontId="6" fillId="8" borderId="11" xfId="0" applyNumberFormat="1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2" fontId="14" fillId="8" borderId="11" xfId="0" applyNumberFormat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1" fontId="6" fillId="9" borderId="11" xfId="0" applyNumberFormat="1" applyFont="1" applyFill="1" applyBorder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2" fontId="6" fillId="3" borderId="1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 applyFill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2" fontId="7" fillId="3" borderId="1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2" fontId="15" fillId="0" borderId="11" xfId="0" applyNumberFormat="1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80" fontId="7" fillId="0" borderId="10" xfId="0" applyNumberFormat="1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/>
    </xf>
    <xf numFmtId="180" fontId="6" fillId="6" borderId="10" xfId="0" applyNumberFormat="1" applyFont="1" applyFill="1" applyBorder="1" applyAlignment="1">
      <alignment horizontal="center" vertical="center"/>
    </xf>
    <xf numFmtId="180" fontId="6" fillId="6" borderId="12" xfId="0" applyNumberFormat="1" applyFont="1" applyFill="1" applyBorder="1" applyAlignment="1">
      <alignment horizontal="center" vertical="center"/>
    </xf>
    <xf numFmtId="180" fontId="7" fillId="8" borderId="10" xfId="0" applyNumberFormat="1" applyFont="1" applyFill="1" applyBorder="1" applyAlignment="1">
      <alignment horizontal="center" vertical="center"/>
    </xf>
    <xf numFmtId="180" fontId="7" fillId="8" borderId="12" xfId="0" applyNumberFormat="1" applyFont="1" applyFill="1" applyBorder="1" applyAlignment="1">
      <alignment horizontal="center" vertical="center"/>
    </xf>
    <xf numFmtId="180" fontId="7" fillId="0" borderId="10" xfId="0" applyNumberFormat="1" applyFont="1" applyFill="1" applyBorder="1" applyAlignment="1">
      <alignment horizontal="center" vertical="center"/>
    </xf>
    <xf numFmtId="180" fontId="7" fillId="0" borderId="12" xfId="0" applyNumberFormat="1" applyFont="1" applyFill="1" applyBorder="1" applyAlignment="1">
      <alignment horizontal="center" vertical="center"/>
    </xf>
    <xf numFmtId="1" fontId="7" fillId="0" borderId="10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180" fontId="6" fillId="6" borderId="7" xfId="0" applyNumberFormat="1" applyFont="1" applyFill="1" applyBorder="1" applyAlignment="1">
      <alignment horizontal="center" vertical="center"/>
    </xf>
    <xf numFmtId="180" fontId="6" fillId="6" borderId="8" xfId="0" applyNumberFormat="1" applyFont="1" applyFill="1" applyBorder="1" applyAlignment="1">
      <alignment horizontal="center" vertical="center"/>
    </xf>
    <xf numFmtId="0" fontId="14" fillId="6" borderId="13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80" fontId="6" fillId="8" borderId="10" xfId="0" applyNumberFormat="1" applyFont="1" applyFill="1" applyBorder="1" applyAlignment="1">
      <alignment horizontal="center" vertical="center"/>
    </xf>
    <xf numFmtId="180" fontId="6" fillId="8" borderId="12" xfId="0" applyNumberFormat="1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2" fontId="14" fillId="8" borderId="15" xfId="0" applyNumberFormat="1" applyFont="1" applyFill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2" fontId="7" fillId="8" borderId="1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1" fontId="6" fillId="9" borderId="10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" fontId="6" fillId="3" borderId="1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2" fontId="7" fillId="3" borderId="13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distributed" vertical="center"/>
    </xf>
    <xf numFmtId="0" fontId="12" fillId="0" borderId="2" xfId="0" applyFont="1" applyBorder="1" applyAlignment="1">
      <alignment horizontal="distributed" vertical="center"/>
    </xf>
    <xf numFmtId="0" fontId="12" fillId="0" borderId="11" xfId="0" applyFont="1" applyBorder="1" applyAlignment="1">
      <alignment horizontal="left" vertical="center"/>
    </xf>
    <xf numFmtId="0" fontId="12" fillId="0" borderId="6" xfId="0" applyFont="1" applyBorder="1" applyAlignment="1">
      <alignment horizontal="distributed" vertical="center"/>
    </xf>
    <xf numFmtId="0" fontId="12" fillId="0" borderId="8" xfId="0" applyFont="1" applyBorder="1" applyAlignment="1">
      <alignment horizontal="distributed" vertical="center"/>
    </xf>
    <xf numFmtId="0" fontId="12" fillId="0" borderId="12" xfId="0" applyFont="1" applyBorder="1" applyAlignment="1">
      <alignment horizontal="distributed" vertical="center"/>
    </xf>
    <xf numFmtId="0" fontId="12" fillId="0" borderId="11" xfId="0" applyFont="1" applyBorder="1" applyAlignment="1">
      <alignment horizontal="distributed" vertical="center"/>
    </xf>
    <xf numFmtId="58" fontId="12" fillId="0" borderId="11" xfId="0" applyNumberFormat="1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0" fontId="14" fillId="6" borderId="10" xfId="0" applyNumberFormat="1" applyFont="1" applyFill="1" applyBorder="1" applyAlignment="1">
      <alignment horizontal="center" vertical="center"/>
    </xf>
    <xf numFmtId="2" fontId="14" fillId="8" borderId="14" xfId="0" applyNumberFormat="1" applyFont="1" applyFill="1" applyBorder="1" applyAlignment="1">
      <alignment horizontal="center" vertical="center"/>
    </xf>
    <xf numFmtId="0" fontId="6" fillId="6" borderId="10" xfId="0" applyNumberFormat="1" applyFont="1" applyFill="1" applyBorder="1" applyAlignment="1">
      <alignment horizontal="center" vertical="center"/>
    </xf>
    <xf numFmtId="2" fontId="7" fillId="8" borderId="1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180" fontId="7" fillId="10" borderId="10" xfId="0" applyNumberFormat="1" applyFont="1" applyFill="1" applyBorder="1" applyAlignment="1">
      <alignment horizontal="center" vertical="center"/>
    </xf>
    <xf numFmtId="180" fontId="7" fillId="10" borderId="12" xfId="0" applyNumberFormat="1" applyFont="1" applyFill="1" applyBorder="1" applyAlignment="1">
      <alignment horizontal="center" vertical="center"/>
    </xf>
    <xf numFmtId="2" fontId="6" fillId="10" borderId="11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15" fillId="10" borderId="1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6" fillId="9" borderId="12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0" fontId="6" fillId="6" borderId="12" xfId="0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4" fillId="6" borderId="12" xfId="0" applyNumberFormat="1" applyFont="1" applyFill="1" applyBorder="1" applyAlignment="1">
      <alignment horizontal="center" vertical="center"/>
    </xf>
    <xf numFmtId="2" fontId="13" fillId="8" borderId="15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6" borderId="7" xfId="0" applyNumberFormat="1" applyFont="1" applyFill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0" fontId="14" fillId="6" borderId="8" xfId="0" applyNumberFormat="1" applyFont="1" applyFill="1" applyBorder="1" applyAlignment="1">
      <alignment horizontal="center" vertical="center"/>
    </xf>
    <xf numFmtId="0" fontId="7" fillId="6" borderId="11" xfId="0" applyNumberFormat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1" fontId="7" fillId="0" borderId="12" xfId="0" applyNumberFormat="1" applyFont="1" applyFill="1" applyBorder="1" applyAlignment="1">
      <alignment horizontal="center" vertical="center"/>
    </xf>
    <xf numFmtId="180" fontId="7" fillId="11" borderId="10" xfId="0" applyNumberFormat="1" applyFont="1" applyFill="1" applyBorder="1" applyAlignment="1">
      <alignment horizontal="center" vertical="center"/>
    </xf>
    <xf numFmtId="180" fontId="7" fillId="11" borderId="12" xfId="0" applyNumberFormat="1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7" fillId="6" borderId="10" xfId="0" applyNumberFormat="1" applyFont="1" applyFill="1" applyBorder="1" applyAlignment="1">
      <alignment horizontal="center" vertical="center"/>
    </xf>
    <xf numFmtId="0" fontId="7" fillId="6" borderId="12" xfId="0" applyNumberFormat="1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2" fontId="6" fillId="8" borderId="10" xfId="0" applyNumberFormat="1" applyFont="1" applyFill="1" applyBorder="1" applyAlignment="1">
      <alignment horizontal="center" vertical="center"/>
    </xf>
    <xf numFmtId="2" fontId="6" fillId="8" borderId="12" xfId="0" applyNumberFormat="1" applyFont="1" applyFill="1" applyBorder="1" applyAlignment="1">
      <alignment horizontal="center" vertical="center"/>
    </xf>
    <xf numFmtId="2" fontId="6" fillId="8" borderId="11" xfId="0" applyNumberFormat="1" applyFont="1" applyFill="1" applyBorder="1" applyAlignment="1">
      <alignment vertical="center"/>
    </xf>
    <xf numFmtId="0" fontId="6" fillId="8" borderId="11" xfId="0" applyFont="1" applyFill="1" applyBorder="1" applyAlignment="1">
      <alignment horizontal="center" vertical="center"/>
    </xf>
    <xf numFmtId="2" fontId="7" fillId="6" borderId="11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2" fontId="6" fillId="8" borderId="11" xfId="0" applyNumberFormat="1" applyFont="1" applyFill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0" fontId="7" fillId="0" borderId="2" xfId="0" applyNumberFormat="1" applyFont="1" applyBorder="1" applyAlignment="1">
      <alignment horizontal="center" vertical="center"/>
    </xf>
    <xf numFmtId="180" fontId="7" fillId="0" borderId="7" xfId="0" applyNumberFormat="1" applyFont="1" applyBorder="1" applyAlignment="1">
      <alignment horizontal="center" vertical="center"/>
    </xf>
    <xf numFmtId="180" fontId="7" fillId="0" borderId="8" xfId="0" applyNumberFormat="1" applyFont="1" applyBorder="1" applyAlignment="1">
      <alignment horizontal="center" vertical="center"/>
    </xf>
    <xf numFmtId="1" fontId="6" fillId="8" borderId="10" xfId="0" applyNumberFormat="1" applyFont="1" applyFill="1" applyBorder="1" applyAlignment="1">
      <alignment horizontal="center" vertical="center"/>
    </xf>
    <xf numFmtId="1" fontId="6" fillId="8" borderId="12" xfId="0" applyNumberFormat="1" applyFont="1" applyFill="1" applyBorder="1" applyAlignment="1">
      <alignment horizontal="center" vertical="center"/>
    </xf>
    <xf numFmtId="1" fontId="6" fillId="8" borderId="11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180" fontId="7" fillId="12" borderId="10" xfId="0" applyNumberFormat="1" applyFont="1" applyFill="1" applyBorder="1" applyAlignment="1">
      <alignment horizontal="center" vertical="center"/>
    </xf>
    <xf numFmtId="180" fontId="7" fillId="12" borderId="12" xfId="0" applyNumberFormat="1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2" fillId="0" borderId="11" xfId="0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3FFC3"/>
      <color rgb="00FF31C8"/>
      <color rgb="0079E5FF"/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APRIL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'APRIL 25'!$B$48:$B$51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'APRIL 25'!$C$48:$C$51</c:f>
              <c:numCache>
                <c:formatCode>General</c:formatCode>
                <c:ptCount val="4"/>
                <c:pt idx="0">
                  <c:v>1064</c:v>
                </c:pt>
                <c:pt idx="1">
                  <c:v>141</c:v>
                </c:pt>
                <c:pt idx="2">
                  <c:v>705</c:v>
                </c:pt>
                <c:pt idx="3">
                  <c:v>1910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6f5a7c-60a0-4087-a127-f36cbe26a6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VALVE INTEGRITY REJECTION IN APRIL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'APRIL 25'!$B$54:$B$59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'APRIL 25'!$C$54:$C$59</c:f>
              <c:numCache>
                <c:formatCode>General</c:formatCode>
                <c:ptCount val="6"/>
                <c:pt idx="0">
                  <c:v>1566</c:v>
                </c:pt>
                <c:pt idx="1">
                  <c:v>305</c:v>
                </c:pt>
                <c:pt idx="2">
                  <c:v>0</c:v>
                </c:pt>
                <c:pt idx="3">
                  <c:v>2417</c:v>
                </c:pt>
                <c:pt idx="4">
                  <c:v>18</c:v>
                </c:pt>
                <c:pt idx="5">
                  <c:v>4306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d9cec4-3ff3-43ff-a91c-1f8204e9c5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MAY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 MAY 25'!$B$51:$B$54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 MAY 25'!$C$51:$C$54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MAY 25'!$B$51:$B$54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 MAY 25'!$D$51:$D$54</c:f>
              <c:numCache>
                <c:formatCode>General</c:formatCode>
                <c:ptCount val="4"/>
                <c:pt idx="0">
                  <c:v>1394</c:v>
                </c:pt>
                <c:pt idx="1">
                  <c:v>429</c:v>
                </c:pt>
                <c:pt idx="2">
                  <c:v>360</c:v>
                </c:pt>
                <c:pt idx="3">
                  <c:v>2183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61d164-a958-4dbd-9d18-1d85cf5bb5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 IN MAY 25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 MAY 25'!$B$57:$B$62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 MAY 25'!$C$57:$C$62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MAY 25'!$B$57:$B$62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 MAY 25'!$D$57:$D$62</c:f>
              <c:numCache>
                <c:formatCode>General</c:formatCode>
                <c:ptCount val="6"/>
                <c:pt idx="0">
                  <c:v>1108</c:v>
                </c:pt>
                <c:pt idx="1">
                  <c:v>18</c:v>
                </c:pt>
                <c:pt idx="2">
                  <c:v>0</c:v>
                </c:pt>
                <c:pt idx="3">
                  <c:v>1085</c:v>
                </c:pt>
                <c:pt idx="4">
                  <c:v>86</c:v>
                </c:pt>
                <c:pt idx="5">
                  <c:v>2297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a3c654-92ac-4dfe-86cf-bab1bfe4f3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MAY 25'!$R$8:$Z$8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MAY 25'!$R$9:$Z$9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MAY 25'!$R$10:$Z$10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MAY 25'!$R$41:$Z$41</c:f>
              <c:numCache>
                <c:formatCode>0.00</c:formatCode>
                <c:ptCount val="9"/>
                <c:pt idx="0">
                  <c:v>1.04959843542104</c:v>
                </c:pt>
                <c:pt idx="1">
                  <c:v>0.916945864926821</c:v>
                </c:pt>
                <c:pt idx="3">
                  <c:v>0.444045462560716</c:v>
                </c:pt>
                <c:pt idx="4">
                  <c:v>0.00721373495134737</c:v>
                </c:pt>
                <c:pt idx="5">
                  <c:v>0</c:v>
                </c:pt>
                <c:pt idx="7">
                  <c:v>0.0344656225453263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26a941-1d5a-4818-a457-4e8abb3c1a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MAY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'JUNE 2025'!$B$52:$B$55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'JUNE 2025'!$C$52:$C$55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'JUNE 2025'!$B$52:$B$55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'JUNE 2025'!$D$52:$D$55</c:f>
              <c:numCache>
                <c:formatCode>General</c:formatCode>
                <c:ptCount val="4"/>
                <c:pt idx="0">
                  <c:v>785</c:v>
                </c:pt>
                <c:pt idx="1">
                  <c:v>457</c:v>
                </c:pt>
                <c:pt idx="2">
                  <c:v>848</c:v>
                </c:pt>
                <c:pt idx="3">
                  <c:v>2090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98f7e2-755b-4cd1-83f2-a7646950dd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 IN MAY 25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'JUNE 2025'!$B$58:$B$63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'JUNE 2025'!$C$58:$C$63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'JUNE 2025'!$B$58:$B$63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'JUNE 2025'!$D$58:$D$63</c:f>
              <c:numCache>
                <c:formatCode>General</c:formatCode>
                <c:ptCount val="6"/>
                <c:pt idx="0">
                  <c:v>2540</c:v>
                </c:pt>
                <c:pt idx="1">
                  <c:v>9</c:v>
                </c:pt>
                <c:pt idx="2">
                  <c:v>2</c:v>
                </c:pt>
                <c:pt idx="3">
                  <c:v>2685</c:v>
                </c:pt>
                <c:pt idx="4">
                  <c:v>2807</c:v>
                </c:pt>
                <c:pt idx="5">
                  <c:v>8043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39b72c-c6cb-431f-b4c3-33507fd357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'JUNE 2025'!$R$8:$Z$8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'JUNE 2025'!$R$9:$Z$9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'JUNE 2025'!$R$10:$Z$10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'JUNE 2025'!$R$42:$Z$42</c:f>
              <c:numCache>
                <c:formatCode>0.00</c:formatCode>
                <c:ptCount val="9"/>
                <c:pt idx="0">
                  <c:v>0</c:v>
                </c:pt>
                <c:pt idx="1">
                  <c:v>2.85342932822362</c:v>
                </c:pt>
                <c:pt idx="3">
                  <c:v>0.89466862037872</c:v>
                </c:pt>
                <c:pt idx="4">
                  <c:v>0.00317008566275924</c:v>
                </c:pt>
                <c:pt idx="5">
                  <c:v>0.000704463480613165</c:v>
                </c:pt>
                <c:pt idx="7">
                  <c:v>0.988714495040577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805876-f9bb-49e6-b7b0-35854d27db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MAY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'JULY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'JULY 2025'!$C$58:$C$61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'JULY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'JULY 2025'!$D$58:$D$61</c:f>
              <c:numCache>
                <c:formatCode>General</c:formatCode>
                <c:ptCount val="4"/>
                <c:pt idx="0">
                  <c:v>668</c:v>
                </c:pt>
                <c:pt idx="1">
                  <c:v>83</c:v>
                </c:pt>
                <c:pt idx="2">
                  <c:v>144</c:v>
                </c:pt>
                <c:pt idx="3">
                  <c:v>895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 IN MAY 25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'JULY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'JULY 2025'!$C$64:$C$69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'JULY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'JULY 2025'!$D$64:$D$69</c:f>
              <c:numCache>
                <c:formatCode>General</c:formatCode>
                <c:ptCount val="6"/>
                <c:pt idx="0">
                  <c:v>989</c:v>
                </c:pt>
                <c:pt idx="1">
                  <c:v>28</c:v>
                </c:pt>
                <c:pt idx="2">
                  <c:v>2</c:v>
                </c:pt>
                <c:pt idx="3">
                  <c:v>386</c:v>
                </c:pt>
                <c:pt idx="4">
                  <c:v>171</c:v>
                </c:pt>
                <c:pt idx="5">
                  <c:v>1576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'JULY 2025'!$R$8:$Z$8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'JULY 2025'!$R$9:$Z$9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'JULY 2025'!$R$10:$Z$10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'JULY 2025'!$R$48:$Z$48</c:f>
              <c:numCache>
                <c:formatCode>0.00</c:formatCode>
                <c:ptCount val="9"/>
                <c:pt idx="0">
                  <c:v>0</c:v>
                </c:pt>
                <c:pt idx="1">
                  <c:v>0.599915440490293</c:v>
                </c:pt>
                <c:pt idx="3">
                  <c:v>0.376708806758666</c:v>
                </c:pt>
                <c:pt idx="4">
                  <c:v>0.0106651633864941</c:v>
                </c:pt>
                <c:pt idx="5">
                  <c:v>0.000761797384749578</c:v>
                </c:pt>
                <c:pt idx="6">
                  <c:v>0.147026895256669</c:v>
                </c:pt>
                <c:pt idx="7">
                  <c:v>0.0651336763960889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MAY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'AUGUST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'AUGUST 2025'!$C$58:$C$61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'AUGUST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'AUGUST 2025'!$D$58:$D$61</c:f>
              <c:numCache>
                <c:formatCode>General</c:formatCode>
                <c:ptCount val="4"/>
                <c:pt idx="0">
                  <c:v>468</c:v>
                </c:pt>
                <c:pt idx="1">
                  <c:v>101</c:v>
                </c:pt>
                <c:pt idx="2">
                  <c:v>66</c:v>
                </c:pt>
                <c:pt idx="3">
                  <c:v>635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 IN MAY 25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'AUGUST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'AUGUST 2025'!$C$64:$C$69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'AUGUST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'AUGUST 2025'!$D$64:$D$69</c:f>
              <c:numCache>
                <c:formatCode>General</c:formatCode>
                <c:ptCount val="6"/>
                <c:pt idx="0">
                  <c:v>567</c:v>
                </c:pt>
                <c:pt idx="1">
                  <c:v>1</c:v>
                </c:pt>
                <c:pt idx="2">
                  <c:v>10</c:v>
                </c:pt>
                <c:pt idx="3">
                  <c:v>2482</c:v>
                </c:pt>
                <c:pt idx="4">
                  <c:v>282</c:v>
                </c:pt>
                <c:pt idx="5">
                  <c:v>3342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'AUGUST 2025'!$R$8:$Z$8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'AUGUST 2025'!$R$9:$Z$9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'AUGUST 2025'!$R$10:$Z$10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'AUGUST 2025'!$R$48:$Z$48</c:f>
              <c:numCache>
                <c:formatCode>0.00</c:formatCode>
                <c:ptCount val="9"/>
                <c:pt idx="0">
                  <c:v>0</c:v>
                </c:pt>
                <c:pt idx="1">
                  <c:v>0.978351556667984</c:v>
                </c:pt>
                <c:pt idx="3">
                  <c:v>0.165986036095376</c:v>
                </c:pt>
                <c:pt idx="4">
                  <c:v>0.000292744331737877</c:v>
                </c:pt>
                <c:pt idx="5">
                  <c:v>0.00292744331737877</c:v>
                </c:pt>
                <c:pt idx="6">
                  <c:v>0.72659143137341</c:v>
                </c:pt>
                <c:pt idx="7">
                  <c:v>0.0825539015500812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 IN MAY 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'SEPTEMBER 2025'!$B$57:$B$60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'SEPTEMBER 2025'!$C$57:$C$60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2025'!$B$57:$B$60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'SEPTEMBER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 IN MAY 25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'SEPTEMBER 2025'!$B$63:$B$68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'SEPTEMBER 2025'!$C$63:$C$68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2025'!$B$63:$B$68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'SEPTEMBER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'SEPTEMBER 2025'!$Q$8:$Y$8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'SEPTEMBER 2025'!$Q$9:$Y$9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'SEPTEMBER 2025'!$Q$10:$Y$10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'SEPTEMBER 2025'!$Q$47:$Y$47</c:f>
              <c:numCache>
                <c:formatCode>0.00</c:formatCode>
                <c:ptCount val="9"/>
                <c:pt idx="0">
                  <c:v>0</c:v>
                </c:pt>
                <c:pt idx="1">
                  <c:v>1.79715189767904</c:v>
                </c:pt>
                <c:pt idx="3">
                  <c:v>0.171713029184547</c:v>
                </c:pt>
                <c:pt idx="4">
                  <c:v>0.520140437918238</c:v>
                </c:pt>
                <c:pt idx="5">
                  <c:v>0.00100027007291969</c:v>
                </c:pt>
                <c:pt idx="6">
                  <c:v>0.944588372193826</c:v>
                </c:pt>
                <c:pt idx="7">
                  <c:v>0.15970978830951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'OCTOBER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'OCTOBER 2025'!$C$58:$C$61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'OCTOBER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'OCTOBER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'OCTOBER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'OCTOBER 2025'!$C$64:$C$69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'OCTOBER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'OCTOBER 2025'!#REF!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'OCTOBER 2025'!$Q$8:$Y$8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'OCTOBER 2025'!$Q$9:$Y$9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'OCTOBER 2025'!$Q$10:$Y$10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'OCTOBER 2025'!$Q$48:$Y$48</c:f>
              <c:numCache>
                <c:formatCode>0.00</c:formatCode>
                <c:ptCount val="9"/>
                <c:pt idx="0">
                  <c:v>0</c:v>
                </c:pt>
                <c:pt idx="1">
                  <c:v>1.30405368626506</c:v>
                </c:pt>
                <c:pt idx="3">
                  <c:v>0.292381744803614</c:v>
                </c:pt>
                <c:pt idx="4">
                  <c:v>0.0474342724282459</c:v>
                </c:pt>
                <c:pt idx="5">
                  <c:v>0.0023328330702416</c:v>
                </c:pt>
                <c:pt idx="6">
                  <c:v>0.923801895815675</c:v>
                </c:pt>
                <c:pt idx="7">
                  <c:v>0.0381029401472795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'NOVEMBER 2025'!$B$57:$B$60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'NOVEMBER 2025'!$C$57:$C$60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'NOVEMBER 2025'!$B$57:$B$60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'NOVEMBER 2025'!$B$63:$B$68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'NOVEMBER 2025'!$C$63:$C$68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'NOVEMBER 2025'!$B$63:$B$68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'NOVEMBER 2025'!$P$8:$W$8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'NOVEMBER 2025'!$P$9:$W$9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'NOVEMBER 2025'!$P$10:$W$10</c:f>
              <c:numCache>
                <c:formatCode>General</c:formatCode>
                <c:ptCount val="8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'NOVEMBER 2025'!$P$47:$W$47</c:f>
              <c:numCache>
                <c:formatCode>0.00</c:formatCode>
                <c:ptCount val="8"/>
                <c:pt idx="0">
                  <c:v>0</c:v>
                </c:pt>
                <c:pt idx="1">
                  <c:v>1.02935234207445</c:v>
                </c:pt>
                <c:pt idx="3">
                  <c:v>0.484888672461846</c:v>
                </c:pt>
                <c:pt idx="4">
                  <c:v>0</c:v>
                </c:pt>
                <c:pt idx="5">
                  <c:v>0</c:v>
                </c:pt>
                <c:pt idx="6">
                  <c:v>0.539283235077758</c:v>
                </c:pt>
                <c:pt idx="7">
                  <c:v>0.00518043453484878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'DECEMBER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'DECEMBER 2025'!$C$58:$C$61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'DECEMBER 2025'!$B$58:$B$61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'DECEMBER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'DECEMBER 2025'!$C$64:$C$69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'DECEMBER 2025'!$B$64:$B$69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'DECEMBER 2025'!$P$8:$W$8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'DECEMBER 2025'!$P$9:$W$9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'DECEMBER 2025'!$P$10:$W$10</c:f>
              <c:numCache>
                <c:formatCode>General</c:formatCode>
                <c:ptCount val="8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'DECEMBER 2025'!$P$48:$W$48</c:f>
              <c:numCache>
                <c:formatCode>0.00</c:formatCode>
                <c:ptCount val="8"/>
                <c:pt idx="0">
                  <c:v>0.508680280723972</c:v>
                </c:pt>
                <c:pt idx="1">
                  <c:v>10.1813448718625</c:v>
                </c:pt>
                <c:pt idx="3">
                  <c:v>0.127697746820748</c:v>
                </c:pt>
                <c:pt idx="4">
                  <c:v>9.68356990836016</c:v>
                </c:pt>
                <c:pt idx="5">
                  <c:v>0</c:v>
                </c:pt>
                <c:pt idx="6">
                  <c:v>0.9002163474223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BALLOON REJECTION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'JANUARY 2026'!$B$58:$B$61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'JANUARY 2026'!$C$58:$C$61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'JANUARY 2026'!$B$58:$B$61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96adb-bc7e-408c-a958-6773481a3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VALVE INTEGRITY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'JANUARY 2026'!$B$64:$B$69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'JANUARY 2026'!$C$64:$C$69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'JANUARY 2026'!$B$64:$B$69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0a57da-794d-4667-8b19-8369c4b4e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REJ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'JANUARY 2026'!$P$8:$W$8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'JANUARY 2026'!$P$9:$W$9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'JANUARY 2026'!$P$10:$W$10</c:f>
              <c:numCache>
                <c:formatCode>General</c:formatCode>
                <c:ptCount val="8"/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'JANUARY 2026'!$P$48:$W$48</c:f>
              <c:numCache>
                <c:formatCode>0.00</c:formatCode>
                <c:ptCount val="8"/>
                <c:pt idx="0">
                  <c:v>6.29485459596959</c:v>
                </c:pt>
                <c:pt idx="1">
                  <c:v>3.17858268640086</c:v>
                </c:pt>
                <c:pt idx="3">
                  <c:v>0.064876514701678</c:v>
                </c:pt>
                <c:pt idx="4">
                  <c:v>3.01217625886096</c:v>
                </c:pt>
                <c:pt idx="5">
                  <c:v>0.0117290874036932</c:v>
                </c:pt>
                <c:pt idx="6">
                  <c:v>0.240079757794345</c:v>
                </c:pt>
                <c:pt idx="7">
                  <c:v>0.413450330980185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30070"/>
        <c:axId val="968892661"/>
      </c:barChart>
      <c:catAx>
        <c:axId val="22433007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92661"/>
        <c:crosses val="autoZero"/>
        <c:auto val="1"/>
        <c:lblAlgn val="ctr"/>
        <c:lblOffset val="100"/>
        <c:noMultiLvlLbl val="0"/>
      </c:catAx>
      <c:valAx>
        <c:axId val="968892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c5f90d-4fb1-4426-8a12-5b7908e8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2025-26'!$B$34:$B$37</c:f>
              <c:strCache>
                <c:ptCount val="4"/>
                <c:pt idx="0">
                  <c:v>STRUCK BALLOON</c:v>
                </c:pt>
                <c:pt idx="1">
                  <c:v>BALLOON BRUST</c:v>
                </c:pt>
                <c:pt idx="2">
                  <c:v>LEAKAGE</c:v>
                </c:pt>
                <c:pt idx="3">
                  <c:v>REJ QTY</c:v>
                </c:pt>
              </c:strCache>
            </c:strRef>
          </c:cat>
          <c:val>
            <c:numRef>
              <c:f>'YEARLY 2025-26'!$C$34:$C$37</c:f>
              <c:numCache>
                <c:formatCode>General</c:formatCode>
                <c:ptCount val="4"/>
                <c:pt idx="0">
                  <c:v>6379</c:v>
                </c:pt>
                <c:pt idx="1">
                  <c:v>1682</c:v>
                </c:pt>
                <c:pt idx="2">
                  <c:v>2244</c:v>
                </c:pt>
                <c:pt idx="3">
                  <c:v>10305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75858366"/>
        <c:axId val="721108574"/>
      </c:barChart>
      <c:catAx>
        <c:axId val="475858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108574"/>
        <c:crosses val="autoZero"/>
        <c:auto val="1"/>
        <c:lblAlgn val="ctr"/>
        <c:lblOffset val="100"/>
        <c:noMultiLvlLbl val="0"/>
      </c:catAx>
      <c:valAx>
        <c:axId val="7211085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83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19fef7-90ba-4ea1-854f-6e00081dba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VALVE INTEGRITY REJECTION YEAR 2025-26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'YEARLY 2025-26'!$B$40:$B$45</c:f>
              <c:strCache>
                <c:ptCount val="6"/>
                <c:pt idx="0">
                  <c:v>LEAKAGE</c:v>
                </c:pt>
                <c:pt idx="1">
                  <c:v>90/10</c:v>
                </c:pt>
                <c:pt idx="2">
                  <c:v>BUBBLE</c:v>
                </c:pt>
                <c:pt idx="3">
                  <c:v>THIN SPOD</c:v>
                </c:pt>
                <c:pt idx="4">
                  <c:v>OTHERS</c:v>
                </c:pt>
                <c:pt idx="5">
                  <c:v>REJ QTY</c:v>
                </c:pt>
              </c:strCache>
            </c:strRef>
          </c:cat>
          <c:val>
            <c:numRef>
              <c:f>'YEARLY 2025-26'!$C$40:$C$45</c:f>
              <c:numCache>
                <c:formatCode>General</c:formatCode>
                <c:ptCount val="6"/>
                <c:pt idx="0">
                  <c:v>7661</c:v>
                </c:pt>
                <c:pt idx="1">
                  <c:v>1982</c:v>
                </c:pt>
                <c:pt idx="2">
                  <c:v>20</c:v>
                </c:pt>
                <c:pt idx="3">
                  <c:v>13076</c:v>
                </c:pt>
                <c:pt idx="4">
                  <c:v>3892</c:v>
                </c:pt>
                <c:pt idx="5">
                  <c:v>26631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6387635"/>
        <c:axId val="537416846"/>
      </c:barChart>
      <c:catAx>
        <c:axId val="846387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16846"/>
        <c:crosses val="autoZero"/>
        <c:auto val="1"/>
        <c:lblAlgn val="ctr"/>
        <c:lblOffset val="100"/>
        <c:noMultiLvlLbl val="0"/>
      </c:catAx>
      <c:valAx>
        <c:axId val="537416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87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84fb54-4399-40cb-8717-607f94f233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83185</xdr:colOff>
      <xdr:row>1</xdr:row>
      <xdr:rowOff>75565</xdr:rowOff>
    </xdr:from>
    <xdr:to>
      <xdr:col>1</xdr:col>
      <xdr:colOff>617220</xdr:colOff>
      <xdr:row>3</xdr:row>
      <xdr:rowOff>275590</xdr:rowOff>
    </xdr:to>
    <xdr:pic>
      <xdr:nvPicPr>
        <xdr:cNvPr id="4" name="Picture 3" descr="Disposafe_logo without b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185" y="361315"/>
          <a:ext cx="887095" cy="82232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42</xdr:row>
      <xdr:rowOff>203200</xdr:rowOff>
    </xdr:from>
    <xdr:to>
      <xdr:col>14</xdr:col>
      <xdr:colOff>236855</xdr:colOff>
      <xdr:row>62</xdr:row>
      <xdr:rowOff>133350</xdr:rowOff>
    </xdr:to>
    <xdr:graphicFrame>
      <xdr:nvGraphicFramePr>
        <xdr:cNvPr id="2" name="Chart 1"/>
        <xdr:cNvGraphicFramePr/>
      </xdr:nvGraphicFramePr>
      <xdr:xfrm>
        <a:off x="3308985" y="13315950"/>
        <a:ext cx="533908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638810</xdr:colOff>
      <xdr:row>42</xdr:row>
      <xdr:rowOff>198120</xdr:rowOff>
    </xdr:from>
    <xdr:to>
      <xdr:col>24</xdr:col>
      <xdr:colOff>161290</xdr:colOff>
      <xdr:row>62</xdr:row>
      <xdr:rowOff>26035</xdr:rowOff>
    </xdr:to>
    <xdr:graphicFrame>
      <xdr:nvGraphicFramePr>
        <xdr:cNvPr id="3" name="Chart 2"/>
        <xdr:cNvGraphicFramePr/>
      </xdr:nvGraphicFramePr>
      <xdr:xfrm>
        <a:off x="9050020" y="13310870"/>
        <a:ext cx="595757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40</xdr:row>
      <xdr:rowOff>53340</xdr:rowOff>
    </xdr:from>
    <xdr:to>
      <xdr:col>8</xdr:col>
      <xdr:colOff>176530</xdr:colOff>
      <xdr:row>42</xdr:row>
      <xdr:rowOff>30480</xdr:rowOff>
    </xdr:to>
    <xdr:sp>
      <xdr:nvSpPr>
        <xdr:cNvPr id="5" name="Text Box 4"/>
        <xdr:cNvSpPr txBox="1"/>
      </xdr:nvSpPr>
      <xdr:spPr>
        <a:xfrm>
          <a:off x="297180" y="12785090"/>
          <a:ext cx="483489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l"/>
          <a:r>
            <a:rPr lang="en-IN" altLang="en-US" sz="2400" b="1"/>
            <a:t>COMMULATIVE DETAILS IN APRIL 25 </a:t>
          </a:r>
          <a:endParaRPr lang="en-IN" altLang="en-US" sz="2400" b="1"/>
        </a:p>
      </xdr:txBody>
    </xdr:sp>
    <xdr:clientData/>
  </xdr:twoCellAnchor>
  <xdr:twoCellAnchor>
    <xdr:from>
      <xdr:col>7</xdr:col>
      <xdr:colOff>541655</xdr:colOff>
      <xdr:row>40</xdr:row>
      <xdr:rowOff>97790</xdr:rowOff>
    </xdr:from>
    <xdr:to>
      <xdr:col>8</xdr:col>
      <xdr:colOff>86360</xdr:colOff>
      <xdr:row>41</xdr:row>
      <xdr:rowOff>165100</xdr:rowOff>
    </xdr:to>
    <xdr:sp>
      <xdr:nvSpPr>
        <xdr:cNvPr id="6" name="Down Arrow 5"/>
        <xdr:cNvSpPr/>
      </xdr:nvSpPr>
      <xdr:spPr>
        <a:xfrm>
          <a:off x="4849495" y="1282954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6</xdr:col>
      <xdr:colOff>296545</xdr:colOff>
      <xdr:row>45</xdr:row>
      <xdr:rowOff>203200</xdr:rowOff>
    </xdr:from>
    <xdr:to>
      <xdr:col>16</xdr:col>
      <xdr:colOff>236855</xdr:colOff>
      <xdr:row>65</xdr:row>
      <xdr:rowOff>133350</xdr:rowOff>
    </xdr:to>
    <xdr:graphicFrame>
      <xdr:nvGraphicFramePr>
        <xdr:cNvPr id="3" name="Chart 2"/>
        <xdr:cNvGraphicFramePr/>
      </xdr:nvGraphicFramePr>
      <xdr:xfrm>
        <a:off x="4046220" y="14773275"/>
        <a:ext cx="593915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638810</xdr:colOff>
      <xdr:row>45</xdr:row>
      <xdr:rowOff>198120</xdr:rowOff>
    </xdr:from>
    <xdr:to>
      <xdr:col>26</xdr:col>
      <xdr:colOff>161290</xdr:colOff>
      <xdr:row>65</xdr:row>
      <xdr:rowOff>26035</xdr:rowOff>
    </xdr:to>
    <xdr:graphicFrame>
      <xdr:nvGraphicFramePr>
        <xdr:cNvPr id="4" name="Chart 3"/>
        <xdr:cNvGraphicFramePr/>
      </xdr:nvGraphicFramePr>
      <xdr:xfrm>
        <a:off x="10387330" y="14768195"/>
        <a:ext cx="5508625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43</xdr:row>
      <xdr:rowOff>53975</xdr:rowOff>
    </xdr:from>
    <xdr:to>
      <xdr:col>9</xdr:col>
      <xdr:colOff>102235</xdr:colOff>
      <xdr:row>45</xdr:row>
      <xdr:rowOff>31115</xdr:rowOff>
    </xdr:to>
    <xdr:sp>
      <xdr:nvSpPr>
        <xdr:cNvPr id="5" name="Text Box 4"/>
        <xdr:cNvSpPr txBox="1"/>
      </xdr:nvSpPr>
      <xdr:spPr>
        <a:xfrm>
          <a:off x="297180" y="14243050"/>
          <a:ext cx="542163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IN MAY 25 </a:t>
          </a:r>
          <a:endParaRPr lang="en-IN" altLang="en-US" sz="2400" b="1"/>
        </a:p>
      </xdr:txBody>
    </xdr:sp>
    <xdr:clientData/>
  </xdr:twoCellAnchor>
  <xdr:twoCellAnchor>
    <xdr:from>
      <xdr:col>8</xdr:col>
      <xdr:colOff>254000</xdr:colOff>
      <xdr:row>43</xdr:row>
      <xdr:rowOff>98425</xdr:rowOff>
    </xdr:from>
    <xdr:to>
      <xdr:col>8</xdr:col>
      <xdr:colOff>446405</xdr:colOff>
      <xdr:row>44</xdr:row>
      <xdr:rowOff>165735</xdr:rowOff>
    </xdr:to>
    <xdr:sp>
      <xdr:nvSpPr>
        <xdr:cNvPr id="6" name="Down Arrow 5"/>
        <xdr:cNvSpPr/>
      </xdr:nvSpPr>
      <xdr:spPr>
        <a:xfrm>
          <a:off x="5299075" y="1428750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149225</xdr:colOff>
      <xdr:row>68</xdr:row>
      <xdr:rowOff>140335</xdr:rowOff>
    </xdr:from>
    <xdr:to>
      <xdr:col>27</xdr:col>
      <xdr:colOff>248285</xdr:colOff>
      <xdr:row>107</xdr:row>
      <xdr:rowOff>68580</xdr:rowOff>
    </xdr:to>
    <xdr:graphicFrame>
      <xdr:nvGraphicFramePr>
        <xdr:cNvPr id="8" name="Chart 7"/>
        <xdr:cNvGraphicFramePr/>
      </xdr:nvGraphicFramePr>
      <xdr:xfrm>
        <a:off x="2212975" y="19434810"/>
        <a:ext cx="14427200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6</xdr:col>
      <xdr:colOff>296545</xdr:colOff>
      <xdr:row>46</xdr:row>
      <xdr:rowOff>203200</xdr:rowOff>
    </xdr:from>
    <xdr:to>
      <xdr:col>16</xdr:col>
      <xdr:colOff>236855</xdr:colOff>
      <xdr:row>66</xdr:row>
      <xdr:rowOff>133350</xdr:rowOff>
    </xdr:to>
    <xdr:graphicFrame>
      <xdr:nvGraphicFramePr>
        <xdr:cNvPr id="3" name="Chart 2"/>
        <xdr:cNvGraphicFramePr/>
      </xdr:nvGraphicFramePr>
      <xdr:xfrm>
        <a:off x="4046220" y="15090775"/>
        <a:ext cx="593915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638810</xdr:colOff>
      <xdr:row>46</xdr:row>
      <xdr:rowOff>198120</xdr:rowOff>
    </xdr:from>
    <xdr:to>
      <xdr:col>26</xdr:col>
      <xdr:colOff>161290</xdr:colOff>
      <xdr:row>66</xdr:row>
      <xdr:rowOff>26035</xdr:rowOff>
    </xdr:to>
    <xdr:graphicFrame>
      <xdr:nvGraphicFramePr>
        <xdr:cNvPr id="4" name="Chart 3"/>
        <xdr:cNvGraphicFramePr/>
      </xdr:nvGraphicFramePr>
      <xdr:xfrm>
        <a:off x="10387330" y="15085695"/>
        <a:ext cx="563245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44</xdr:row>
      <xdr:rowOff>53975</xdr:rowOff>
    </xdr:from>
    <xdr:to>
      <xdr:col>9</xdr:col>
      <xdr:colOff>102235</xdr:colOff>
      <xdr:row>46</xdr:row>
      <xdr:rowOff>31115</xdr:rowOff>
    </xdr:to>
    <xdr:sp>
      <xdr:nvSpPr>
        <xdr:cNvPr id="5" name="Text Box 4"/>
        <xdr:cNvSpPr txBox="1"/>
      </xdr:nvSpPr>
      <xdr:spPr>
        <a:xfrm>
          <a:off x="297180" y="14560550"/>
          <a:ext cx="542163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IN MAY 25 </a:t>
          </a:r>
          <a:endParaRPr lang="en-IN" altLang="en-US" sz="2400" b="1"/>
        </a:p>
      </xdr:txBody>
    </xdr:sp>
    <xdr:clientData/>
  </xdr:twoCellAnchor>
  <xdr:twoCellAnchor>
    <xdr:from>
      <xdr:col>8</xdr:col>
      <xdr:colOff>254000</xdr:colOff>
      <xdr:row>44</xdr:row>
      <xdr:rowOff>98425</xdr:rowOff>
    </xdr:from>
    <xdr:to>
      <xdr:col>8</xdr:col>
      <xdr:colOff>446405</xdr:colOff>
      <xdr:row>45</xdr:row>
      <xdr:rowOff>165735</xdr:rowOff>
    </xdr:to>
    <xdr:sp>
      <xdr:nvSpPr>
        <xdr:cNvPr id="6" name="Down Arrow 5"/>
        <xdr:cNvSpPr/>
      </xdr:nvSpPr>
      <xdr:spPr>
        <a:xfrm>
          <a:off x="5299075" y="1460500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149225</xdr:colOff>
      <xdr:row>69</xdr:row>
      <xdr:rowOff>140335</xdr:rowOff>
    </xdr:from>
    <xdr:to>
      <xdr:col>27</xdr:col>
      <xdr:colOff>248285</xdr:colOff>
      <xdr:row>108</xdr:row>
      <xdr:rowOff>68580</xdr:rowOff>
    </xdr:to>
    <xdr:graphicFrame>
      <xdr:nvGraphicFramePr>
        <xdr:cNvPr id="7" name="Chart 6"/>
        <xdr:cNvGraphicFramePr/>
      </xdr:nvGraphicFramePr>
      <xdr:xfrm>
        <a:off x="2212975" y="19752310"/>
        <a:ext cx="14846300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6</xdr:col>
      <xdr:colOff>296545</xdr:colOff>
      <xdr:row>52</xdr:row>
      <xdr:rowOff>203200</xdr:rowOff>
    </xdr:from>
    <xdr:to>
      <xdr:col>16</xdr:col>
      <xdr:colOff>236855</xdr:colOff>
      <xdr:row>72</xdr:row>
      <xdr:rowOff>133350</xdr:rowOff>
    </xdr:to>
    <xdr:graphicFrame>
      <xdr:nvGraphicFramePr>
        <xdr:cNvPr id="3" name="Chart 2"/>
        <xdr:cNvGraphicFramePr/>
      </xdr:nvGraphicFramePr>
      <xdr:xfrm>
        <a:off x="4220210" y="16916400"/>
        <a:ext cx="683133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638810</xdr:colOff>
      <xdr:row>52</xdr:row>
      <xdr:rowOff>198120</xdr:rowOff>
    </xdr:from>
    <xdr:to>
      <xdr:col>26</xdr:col>
      <xdr:colOff>161290</xdr:colOff>
      <xdr:row>72</xdr:row>
      <xdr:rowOff>26035</xdr:rowOff>
    </xdr:to>
    <xdr:graphicFrame>
      <xdr:nvGraphicFramePr>
        <xdr:cNvPr id="4" name="Chart 3"/>
        <xdr:cNvGraphicFramePr/>
      </xdr:nvGraphicFramePr>
      <xdr:xfrm>
        <a:off x="11453495" y="16911320"/>
        <a:ext cx="644652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50</xdr:row>
      <xdr:rowOff>53975</xdr:rowOff>
    </xdr:from>
    <xdr:to>
      <xdr:col>9</xdr:col>
      <xdr:colOff>102235</xdr:colOff>
      <xdr:row>52</xdr:row>
      <xdr:rowOff>31115</xdr:rowOff>
    </xdr:to>
    <xdr:sp>
      <xdr:nvSpPr>
        <xdr:cNvPr id="5" name="Text Box 4"/>
        <xdr:cNvSpPr txBox="1"/>
      </xdr:nvSpPr>
      <xdr:spPr>
        <a:xfrm>
          <a:off x="297180" y="16386175"/>
          <a:ext cx="570738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IN MAY 25 </a:t>
          </a:r>
          <a:endParaRPr lang="en-IN" altLang="en-US" sz="2400" b="1"/>
        </a:p>
      </xdr:txBody>
    </xdr:sp>
    <xdr:clientData/>
  </xdr:twoCellAnchor>
  <xdr:twoCellAnchor>
    <xdr:from>
      <xdr:col>8</xdr:col>
      <xdr:colOff>254000</xdr:colOff>
      <xdr:row>50</xdr:row>
      <xdr:rowOff>98425</xdr:rowOff>
    </xdr:from>
    <xdr:to>
      <xdr:col>8</xdr:col>
      <xdr:colOff>446405</xdr:colOff>
      <xdr:row>51</xdr:row>
      <xdr:rowOff>165735</xdr:rowOff>
    </xdr:to>
    <xdr:sp>
      <xdr:nvSpPr>
        <xdr:cNvPr id="6" name="Down Arrow 5"/>
        <xdr:cNvSpPr/>
      </xdr:nvSpPr>
      <xdr:spPr>
        <a:xfrm>
          <a:off x="5473065" y="16430625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149225</xdr:colOff>
      <xdr:row>75</xdr:row>
      <xdr:rowOff>140335</xdr:rowOff>
    </xdr:from>
    <xdr:to>
      <xdr:col>27</xdr:col>
      <xdr:colOff>248285</xdr:colOff>
      <xdr:row>114</xdr:row>
      <xdr:rowOff>68580</xdr:rowOff>
    </xdr:to>
    <xdr:graphicFrame>
      <xdr:nvGraphicFramePr>
        <xdr:cNvPr id="7" name="Chart 6"/>
        <xdr:cNvGraphicFramePr/>
      </xdr:nvGraphicFramePr>
      <xdr:xfrm>
        <a:off x="2212975" y="21577935"/>
        <a:ext cx="1672653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6</xdr:col>
      <xdr:colOff>296545</xdr:colOff>
      <xdr:row>52</xdr:row>
      <xdr:rowOff>203200</xdr:rowOff>
    </xdr:from>
    <xdr:to>
      <xdr:col>16</xdr:col>
      <xdr:colOff>236855</xdr:colOff>
      <xdr:row>72</xdr:row>
      <xdr:rowOff>133350</xdr:rowOff>
    </xdr:to>
    <xdr:graphicFrame>
      <xdr:nvGraphicFramePr>
        <xdr:cNvPr id="3" name="Chart 2"/>
        <xdr:cNvGraphicFramePr/>
      </xdr:nvGraphicFramePr>
      <xdr:xfrm>
        <a:off x="4220210" y="16535400"/>
        <a:ext cx="608076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638810</xdr:colOff>
      <xdr:row>52</xdr:row>
      <xdr:rowOff>198120</xdr:rowOff>
    </xdr:from>
    <xdr:to>
      <xdr:col>26</xdr:col>
      <xdr:colOff>161290</xdr:colOff>
      <xdr:row>72</xdr:row>
      <xdr:rowOff>26035</xdr:rowOff>
    </xdr:to>
    <xdr:graphicFrame>
      <xdr:nvGraphicFramePr>
        <xdr:cNvPr id="4" name="Chart 3"/>
        <xdr:cNvGraphicFramePr/>
      </xdr:nvGraphicFramePr>
      <xdr:xfrm>
        <a:off x="10702925" y="16530320"/>
        <a:ext cx="644652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50</xdr:row>
      <xdr:rowOff>53975</xdr:rowOff>
    </xdr:from>
    <xdr:to>
      <xdr:col>9</xdr:col>
      <xdr:colOff>102235</xdr:colOff>
      <xdr:row>52</xdr:row>
      <xdr:rowOff>31115</xdr:rowOff>
    </xdr:to>
    <xdr:sp>
      <xdr:nvSpPr>
        <xdr:cNvPr id="5" name="Text Box 4"/>
        <xdr:cNvSpPr txBox="1"/>
      </xdr:nvSpPr>
      <xdr:spPr>
        <a:xfrm>
          <a:off x="297180" y="16005175"/>
          <a:ext cx="570738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IN MAY 25 </a:t>
          </a:r>
          <a:endParaRPr lang="en-IN" altLang="en-US" sz="2400" b="1"/>
        </a:p>
      </xdr:txBody>
    </xdr:sp>
    <xdr:clientData/>
  </xdr:twoCellAnchor>
  <xdr:twoCellAnchor>
    <xdr:from>
      <xdr:col>8</xdr:col>
      <xdr:colOff>254000</xdr:colOff>
      <xdr:row>50</xdr:row>
      <xdr:rowOff>98425</xdr:rowOff>
    </xdr:from>
    <xdr:to>
      <xdr:col>8</xdr:col>
      <xdr:colOff>446405</xdr:colOff>
      <xdr:row>51</xdr:row>
      <xdr:rowOff>165735</xdr:rowOff>
    </xdr:to>
    <xdr:sp>
      <xdr:nvSpPr>
        <xdr:cNvPr id="6" name="Down Arrow 5"/>
        <xdr:cNvSpPr/>
      </xdr:nvSpPr>
      <xdr:spPr>
        <a:xfrm>
          <a:off x="5473065" y="16049625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149225</xdr:colOff>
      <xdr:row>75</xdr:row>
      <xdr:rowOff>140335</xdr:rowOff>
    </xdr:from>
    <xdr:to>
      <xdr:col>27</xdr:col>
      <xdr:colOff>248285</xdr:colOff>
      <xdr:row>114</xdr:row>
      <xdr:rowOff>68580</xdr:rowOff>
    </xdr:to>
    <xdr:graphicFrame>
      <xdr:nvGraphicFramePr>
        <xdr:cNvPr id="7" name="Chart 6"/>
        <xdr:cNvGraphicFramePr/>
      </xdr:nvGraphicFramePr>
      <xdr:xfrm>
        <a:off x="2212975" y="21196935"/>
        <a:ext cx="1597596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51</xdr:row>
      <xdr:rowOff>203200</xdr:rowOff>
    </xdr:from>
    <xdr:to>
      <xdr:col>15</xdr:col>
      <xdr:colOff>236855</xdr:colOff>
      <xdr:row>71</xdr:row>
      <xdr:rowOff>133350</xdr:rowOff>
    </xdr:to>
    <xdr:graphicFrame>
      <xdr:nvGraphicFramePr>
        <xdr:cNvPr id="3" name="Chart 2"/>
        <xdr:cNvGraphicFramePr/>
      </xdr:nvGraphicFramePr>
      <xdr:xfrm>
        <a:off x="4281170" y="16202025"/>
        <a:ext cx="608076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638810</xdr:colOff>
      <xdr:row>51</xdr:row>
      <xdr:rowOff>198120</xdr:rowOff>
    </xdr:from>
    <xdr:to>
      <xdr:col>25</xdr:col>
      <xdr:colOff>161290</xdr:colOff>
      <xdr:row>71</xdr:row>
      <xdr:rowOff>26035</xdr:rowOff>
    </xdr:to>
    <xdr:graphicFrame>
      <xdr:nvGraphicFramePr>
        <xdr:cNvPr id="4" name="Chart 3"/>
        <xdr:cNvGraphicFramePr/>
      </xdr:nvGraphicFramePr>
      <xdr:xfrm>
        <a:off x="10763885" y="16196945"/>
        <a:ext cx="644652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49</xdr:row>
      <xdr:rowOff>53975</xdr:rowOff>
    </xdr:from>
    <xdr:to>
      <xdr:col>8</xdr:col>
      <xdr:colOff>102235</xdr:colOff>
      <xdr:row>51</xdr:row>
      <xdr:rowOff>31115</xdr:rowOff>
    </xdr:to>
    <xdr:sp>
      <xdr:nvSpPr>
        <xdr:cNvPr id="5" name="Text Box 4"/>
        <xdr:cNvSpPr txBox="1"/>
      </xdr:nvSpPr>
      <xdr:spPr>
        <a:xfrm>
          <a:off x="297180" y="15671800"/>
          <a:ext cx="576834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IN MAY 25 </a:t>
          </a:r>
          <a:endParaRPr lang="en-IN" altLang="en-US" sz="2400" b="1"/>
        </a:p>
      </xdr:txBody>
    </xdr:sp>
    <xdr:clientData/>
  </xdr:twoCellAnchor>
  <xdr:twoCellAnchor>
    <xdr:from>
      <xdr:col>7</xdr:col>
      <xdr:colOff>254000</xdr:colOff>
      <xdr:row>49</xdr:row>
      <xdr:rowOff>98425</xdr:rowOff>
    </xdr:from>
    <xdr:to>
      <xdr:col>7</xdr:col>
      <xdr:colOff>446405</xdr:colOff>
      <xdr:row>50</xdr:row>
      <xdr:rowOff>165735</xdr:rowOff>
    </xdr:to>
    <xdr:sp>
      <xdr:nvSpPr>
        <xdr:cNvPr id="6" name="Down Arrow 5"/>
        <xdr:cNvSpPr/>
      </xdr:nvSpPr>
      <xdr:spPr>
        <a:xfrm>
          <a:off x="5534025" y="1571625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149225</xdr:colOff>
      <xdr:row>74</xdr:row>
      <xdr:rowOff>140335</xdr:rowOff>
    </xdr:from>
    <xdr:to>
      <xdr:col>26</xdr:col>
      <xdr:colOff>248285</xdr:colOff>
      <xdr:row>113</xdr:row>
      <xdr:rowOff>68580</xdr:rowOff>
    </xdr:to>
    <xdr:graphicFrame>
      <xdr:nvGraphicFramePr>
        <xdr:cNvPr id="7" name="Chart 6"/>
        <xdr:cNvGraphicFramePr/>
      </xdr:nvGraphicFramePr>
      <xdr:xfrm>
        <a:off x="2273935" y="20863560"/>
        <a:ext cx="1597596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52</xdr:row>
      <xdr:rowOff>203200</xdr:rowOff>
    </xdr:from>
    <xdr:to>
      <xdr:col>15</xdr:col>
      <xdr:colOff>236855</xdr:colOff>
      <xdr:row>72</xdr:row>
      <xdr:rowOff>133350</xdr:rowOff>
    </xdr:to>
    <xdr:graphicFrame>
      <xdr:nvGraphicFramePr>
        <xdr:cNvPr id="3" name="Chart 2"/>
        <xdr:cNvGraphicFramePr/>
      </xdr:nvGraphicFramePr>
      <xdr:xfrm>
        <a:off x="4159885" y="16678275"/>
        <a:ext cx="608076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638810</xdr:colOff>
      <xdr:row>52</xdr:row>
      <xdr:rowOff>198120</xdr:rowOff>
    </xdr:from>
    <xdr:to>
      <xdr:col>25</xdr:col>
      <xdr:colOff>161290</xdr:colOff>
      <xdr:row>72</xdr:row>
      <xdr:rowOff>26035</xdr:rowOff>
    </xdr:to>
    <xdr:graphicFrame>
      <xdr:nvGraphicFramePr>
        <xdr:cNvPr id="4" name="Chart 3"/>
        <xdr:cNvGraphicFramePr/>
      </xdr:nvGraphicFramePr>
      <xdr:xfrm>
        <a:off x="10642600" y="16673195"/>
        <a:ext cx="644652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50</xdr:row>
      <xdr:rowOff>53975</xdr:rowOff>
    </xdr:from>
    <xdr:to>
      <xdr:col>5</xdr:col>
      <xdr:colOff>251460</xdr:colOff>
      <xdr:row>52</xdr:row>
      <xdr:rowOff>31115</xdr:rowOff>
    </xdr:to>
    <xdr:sp>
      <xdr:nvSpPr>
        <xdr:cNvPr id="5" name="Text Box 4"/>
        <xdr:cNvSpPr txBox="1"/>
      </xdr:nvSpPr>
      <xdr:spPr>
        <a:xfrm>
          <a:off x="297180" y="16148050"/>
          <a:ext cx="381762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</a:t>
          </a:r>
          <a:endParaRPr lang="en-IN" altLang="en-US" sz="2400" b="1"/>
        </a:p>
      </xdr:txBody>
    </xdr:sp>
    <xdr:clientData/>
  </xdr:twoCellAnchor>
  <xdr:twoCellAnchor>
    <xdr:from>
      <xdr:col>4</xdr:col>
      <xdr:colOff>730250</xdr:colOff>
      <xdr:row>50</xdr:row>
      <xdr:rowOff>98425</xdr:rowOff>
    </xdr:from>
    <xdr:to>
      <xdr:col>5</xdr:col>
      <xdr:colOff>60325</xdr:colOff>
      <xdr:row>51</xdr:row>
      <xdr:rowOff>165735</xdr:rowOff>
    </xdr:to>
    <xdr:sp>
      <xdr:nvSpPr>
        <xdr:cNvPr id="6" name="Down Arrow 5"/>
        <xdr:cNvSpPr/>
      </xdr:nvSpPr>
      <xdr:spPr>
        <a:xfrm>
          <a:off x="3731260" y="1619250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149225</xdr:colOff>
      <xdr:row>75</xdr:row>
      <xdr:rowOff>140335</xdr:rowOff>
    </xdr:from>
    <xdr:to>
      <xdr:col>26</xdr:col>
      <xdr:colOff>248285</xdr:colOff>
      <xdr:row>114</xdr:row>
      <xdr:rowOff>68580</xdr:rowOff>
    </xdr:to>
    <xdr:graphicFrame>
      <xdr:nvGraphicFramePr>
        <xdr:cNvPr id="7" name="Chart 6"/>
        <xdr:cNvGraphicFramePr/>
      </xdr:nvGraphicFramePr>
      <xdr:xfrm>
        <a:off x="2152650" y="21339810"/>
        <a:ext cx="1597596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51</xdr:row>
      <xdr:rowOff>203200</xdr:rowOff>
    </xdr:from>
    <xdr:to>
      <xdr:col>14</xdr:col>
      <xdr:colOff>236855</xdr:colOff>
      <xdr:row>71</xdr:row>
      <xdr:rowOff>133350</xdr:rowOff>
    </xdr:to>
    <xdr:graphicFrame>
      <xdr:nvGraphicFramePr>
        <xdr:cNvPr id="3" name="Chart 2"/>
        <xdr:cNvGraphicFramePr/>
      </xdr:nvGraphicFramePr>
      <xdr:xfrm>
        <a:off x="4159885" y="16598900"/>
        <a:ext cx="603059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638810</xdr:colOff>
      <xdr:row>51</xdr:row>
      <xdr:rowOff>198120</xdr:rowOff>
    </xdr:from>
    <xdr:to>
      <xdr:col>23</xdr:col>
      <xdr:colOff>161290</xdr:colOff>
      <xdr:row>71</xdr:row>
      <xdr:rowOff>26035</xdr:rowOff>
    </xdr:to>
    <xdr:graphicFrame>
      <xdr:nvGraphicFramePr>
        <xdr:cNvPr id="4" name="Chart 3"/>
        <xdr:cNvGraphicFramePr/>
      </xdr:nvGraphicFramePr>
      <xdr:xfrm>
        <a:off x="10592435" y="16593820"/>
        <a:ext cx="6607175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49</xdr:row>
      <xdr:rowOff>53975</xdr:rowOff>
    </xdr:from>
    <xdr:to>
      <xdr:col>5</xdr:col>
      <xdr:colOff>251460</xdr:colOff>
      <xdr:row>51</xdr:row>
      <xdr:rowOff>31115</xdr:rowOff>
    </xdr:to>
    <xdr:sp>
      <xdr:nvSpPr>
        <xdr:cNvPr id="5" name="Text Box 4"/>
        <xdr:cNvSpPr txBox="1"/>
      </xdr:nvSpPr>
      <xdr:spPr>
        <a:xfrm>
          <a:off x="297180" y="16068675"/>
          <a:ext cx="381762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</a:t>
          </a:r>
          <a:endParaRPr lang="en-IN" altLang="en-US" sz="2400" b="1"/>
        </a:p>
      </xdr:txBody>
    </xdr:sp>
    <xdr:clientData/>
  </xdr:twoCellAnchor>
  <xdr:twoCellAnchor>
    <xdr:from>
      <xdr:col>4</xdr:col>
      <xdr:colOff>730250</xdr:colOff>
      <xdr:row>49</xdr:row>
      <xdr:rowOff>98425</xdr:rowOff>
    </xdr:from>
    <xdr:to>
      <xdr:col>5</xdr:col>
      <xdr:colOff>60325</xdr:colOff>
      <xdr:row>50</xdr:row>
      <xdr:rowOff>165735</xdr:rowOff>
    </xdr:to>
    <xdr:sp>
      <xdr:nvSpPr>
        <xdr:cNvPr id="6" name="Down Arrow 5"/>
        <xdr:cNvSpPr/>
      </xdr:nvSpPr>
      <xdr:spPr>
        <a:xfrm>
          <a:off x="3731260" y="16113125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149225</xdr:colOff>
      <xdr:row>74</xdr:row>
      <xdr:rowOff>140335</xdr:rowOff>
    </xdr:from>
    <xdr:to>
      <xdr:col>24</xdr:col>
      <xdr:colOff>248285</xdr:colOff>
      <xdr:row>113</xdr:row>
      <xdr:rowOff>68580</xdr:rowOff>
    </xdr:to>
    <xdr:graphicFrame>
      <xdr:nvGraphicFramePr>
        <xdr:cNvPr id="7" name="Chart 6"/>
        <xdr:cNvGraphicFramePr/>
      </xdr:nvGraphicFramePr>
      <xdr:xfrm>
        <a:off x="2152650" y="21260435"/>
        <a:ext cx="1608645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52</xdr:row>
      <xdr:rowOff>203200</xdr:rowOff>
    </xdr:from>
    <xdr:to>
      <xdr:col>14</xdr:col>
      <xdr:colOff>236855</xdr:colOff>
      <xdr:row>72</xdr:row>
      <xdr:rowOff>133350</xdr:rowOff>
    </xdr:to>
    <xdr:graphicFrame>
      <xdr:nvGraphicFramePr>
        <xdr:cNvPr id="3" name="Chart 2"/>
        <xdr:cNvGraphicFramePr/>
      </xdr:nvGraphicFramePr>
      <xdr:xfrm>
        <a:off x="4159885" y="16519525"/>
        <a:ext cx="603059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638810</xdr:colOff>
      <xdr:row>52</xdr:row>
      <xdr:rowOff>198120</xdr:rowOff>
    </xdr:from>
    <xdr:to>
      <xdr:col>23</xdr:col>
      <xdr:colOff>161290</xdr:colOff>
      <xdr:row>72</xdr:row>
      <xdr:rowOff>26035</xdr:rowOff>
    </xdr:to>
    <xdr:graphicFrame>
      <xdr:nvGraphicFramePr>
        <xdr:cNvPr id="4" name="Chart 3"/>
        <xdr:cNvGraphicFramePr/>
      </xdr:nvGraphicFramePr>
      <xdr:xfrm>
        <a:off x="10592435" y="16514445"/>
        <a:ext cx="6607175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50</xdr:row>
      <xdr:rowOff>53975</xdr:rowOff>
    </xdr:from>
    <xdr:to>
      <xdr:col>5</xdr:col>
      <xdr:colOff>251460</xdr:colOff>
      <xdr:row>52</xdr:row>
      <xdr:rowOff>31115</xdr:rowOff>
    </xdr:to>
    <xdr:sp>
      <xdr:nvSpPr>
        <xdr:cNvPr id="5" name="Text Box 4"/>
        <xdr:cNvSpPr txBox="1"/>
      </xdr:nvSpPr>
      <xdr:spPr>
        <a:xfrm>
          <a:off x="297180" y="15989300"/>
          <a:ext cx="381762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</a:t>
          </a:r>
          <a:endParaRPr lang="en-IN" altLang="en-US" sz="2400" b="1"/>
        </a:p>
      </xdr:txBody>
    </xdr:sp>
    <xdr:clientData/>
  </xdr:twoCellAnchor>
  <xdr:twoCellAnchor>
    <xdr:from>
      <xdr:col>4</xdr:col>
      <xdr:colOff>730250</xdr:colOff>
      <xdr:row>50</xdr:row>
      <xdr:rowOff>98425</xdr:rowOff>
    </xdr:from>
    <xdr:to>
      <xdr:col>5</xdr:col>
      <xdr:colOff>60325</xdr:colOff>
      <xdr:row>51</xdr:row>
      <xdr:rowOff>165735</xdr:rowOff>
    </xdr:to>
    <xdr:sp>
      <xdr:nvSpPr>
        <xdr:cNvPr id="6" name="Down Arrow 5"/>
        <xdr:cNvSpPr/>
      </xdr:nvSpPr>
      <xdr:spPr>
        <a:xfrm>
          <a:off x="3731260" y="1603375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149225</xdr:colOff>
      <xdr:row>75</xdr:row>
      <xdr:rowOff>140335</xdr:rowOff>
    </xdr:from>
    <xdr:to>
      <xdr:col>24</xdr:col>
      <xdr:colOff>248285</xdr:colOff>
      <xdr:row>114</xdr:row>
      <xdr:rowOff>68580</xdr:rowOff>
    </xdr:to>
    <xdr:graphicFrame>
      <xdr:nvGraphicFramePr>
        <xdr:cNvPr id="7" name="Chart 6"/>
        <xdr:cNvGraphicFramePr/>
      </xdr:nvGraphicFramePr>
      <xdr:xfrm>
        <a:off x="2152650" y="21181060"/>
        <a:ext cx="1608645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1</xdr:row>
      <xdr:rowOff>20320</xdr:rowOff>
    </xdr:from>
    <xdr:to>
      <xdr:col>1</xdr:col>
      <xdr:colOff>800100</xdr:colOff>
      <xdr:row>4</xdr:row>
      <xdr:rowOff>47625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0" y="210820"/>
          <a:ext cx="1026160" cy="954405"/>
        </a:xfrm>
        <a:prstGeom prst="rect">
          <a:avLst/>
        </a:prstGeom>
      </xdr:spPr>
    </xdr:pic>
    <xdr:clientData/>
  </xdr:twoCellAnchor>
  <xdr:twoCellAnchor>
    <xdr:from>
      <xdr:col>5</xdr:col>
      <xdr:colOff>296545</xdr:colOff>
      <xdr:row>52</xdr:row>
      <xdr:rowOff>203200</xdr:rowOff>
    </xdr:from>
    <xdr:to>
      <xdr:col>14</xdr:col>
      <xdr:colOff>236855</xdr:colOff>
      <xdr:row>72</xdr:row>
      <xdr:rowOff>133350</xdr:rowOff>
    </xdr:to>
    <xdr:graphicFrame>
      <xdr:nvGraphicFramePr>
        <xdr:cNvPr id="3" name="Chart 2"/>
        <xdr:cNvGraphicFramePr/>
      </xdr:nvGraphicFramePr>
      <xdr:xfrm>
        <a:off x="4159885" y="16729075"/>
        <a:ext cx="629729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638810</xdr:colOff>
      <xdr:row>52</xdr:row>
      <xdr:rowOff>198120</xdr:rowOff>
    </xdr:from>
    <xdr:to>
      <xdr:col>23</xdr:col>
      <xdr:colOff>161290</xdr:colOff>
      <xdr:row>72</xdr:row>
      <xdr:rowOff>26035</xdr:rowOff>
    </xdr:to>
    <xdr:graphicFrame>
      <xdr:nvGraphicFramePr>
        <xdr:cNvPr id="4" name="Chart 3"/>
        <xdr:cNvGraphicFramePr/>
      </xdr:nvGraphicFramePr>
      <xdr:xfrm>
        <a:off x="10859135" y="16723995"/>
        <a:ext cx="6873240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50</xdr:row>
      <xdr:rowOff>53975</xdr:rowOff>
    </xdr:from>
    <xdr:to>
      <xdr:col>5</xdr:col>
      <xdr:colOff>251460</xdr:colOff>
      <xdr:row>52</xdr:row>
      <xdr:rowOff>31115</xdr:rowOff>
    </xdr:to>
    <xdr:sp>
      <xdr:nvSpPr>
        <xdr:cNvPr id="5" name="Text Box 4"/>
        <xdr:cNvSpPr txBox="1"/>
      </xdr:nvSpPr>
      <xdr:spPr>
        <a:xfrm>
          <a:off x="297180" y="16198850"/>
          <a:ext cx="3817620" cy="3581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</a:t>
          </a:r>
          <a:endParaRPr lang="en-IN" altLang="en-US" sz="2400" b="1"/>
        </a:p>
      </xdr:txBody>
    </xdr:sp>
    <xdr:clientData/>
  </xdr:twoCellAnchor>
  <xdr:twoCellAnchor>
    <xdr:from>
      <xdr:col>4</xdr:col>
      <xdr:colOff>730250</xdr:colOff>
      <xdr:row>50</xdr:row>
      <xdr:rowOff>98425</xdr:rowOff>
    </xdr:from>
    <xdr:to>
      <xdr:col>5</xdr:col>
      <xdr:colOff>60325</xdr:colOff>
      <xdr:row>51</xdr:row>
      <xdr:rowOff>165735</xdr:rowOff>
    </xdr:to>
    <xdr:sp>
      <xdr:nvSpPr>
        <xdr:cNvPr id="6" name="Down Arrow 5"/>
        <xdr:cNvSpPr/>
      </xdr:nvSpPr>
      <xdr:spPr>
        <a:xfrm>
          <a:off x="3731260" y="1624330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149225</xdr:colOff>
      <xdr:row>75</xdr:row>
      <xdr:rowOff>140335</xdr:rowOff>
    </xdr:from>
    <xdr:to>
      <xdr:col>23</xdr:col>
      <xdr:colOff>952500</xdr:colOff>
      <xdr:row>114</xdr:row>
      <xdr:rowOff>68580</xdr:rowOff>
    </xdr:to>
    <xdr:graphicFrame>
      <xdr:nvGraphicFramePr>
        <xdr:cNvPr id="7" name="Chart 6"/>
        <xdr:cNvGraphicFramePr/>
      </xdr:nvGraphicFramePr>
      <xdr:xfrm>
        <a:off x="2152650" y="21390610"/>
        <a:ext cx="16370935" cy="735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83185</xdr:colOff>
      <xdr:row>1</xdr:row>
      <xdr:rowOff>75565</xdr:rowOff>
    </xdr:from>
    <xdr:to>
      <xdr:col>1</xdr:col>
      <xdr:colOff>617220</xdr:colOff>
      <xdr:row>3</xdr:row>
      <xdr:rowOff>275590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185" y="266065"/>
          <a:ext cx="887095" cy="822325"/>
        </a:xfrm>
        <a:prstGeom prst="rect">
          <a:avLst/>
        </a:prstGeom>
      </xdr:spPr>
    </xdr:pic>
    <xdr:clientData/>
  </xdr:twoCellAnchor>
  <xdr:twoCellAnchor>
    <xdr:from>
      <xdr:col>5</xdr:col>
      <xdr:colOff>295910</xdr:colOff>
      <xdr:row>28</xdr:row>
      <xdr:rowOff>201930</xdr:rowOff>
    </xdr:from>
    <xdr:to>
      <xdr:col>14</xdr:col>
      <xdr:colOff>236855</xdr:colOff>
      <xdr:row>47</xdr:row>
      <xdr:rowOff>111760</xdr:rowOff>
    </xdr:to>
    <xdr:graphicFrame>
      <xdr:nvGraphicFramePr>
        <xdr:cNvPr id="3" name="Chart 2"/>
        <xdr:cNvGraphicFramePr/>
      </xdr:nvGraphicFramePr>
      <xdr:xfrm>
        <a:off x="3423285" y="8025130"/>
        <a:ext cx="5339715" cy="3872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638810</xdr:colOff>
      <xdr:row>28</xdr:row>
      <xdr:rowOff>198120</xdr:rowOff>
    </xdr:from>
    <xdr:to>
      <xdr:col>24</xdr:col>
      <xdr:colOff>161290</xdr:colOff>
      <xdr:row>48</xdr:row>
      <xdr:rowOff>26035</xdr:rowOff>
    </xdr:to>
    <xdr:graphicFrame>
      <xdr:nvGraphicFramePr>
        <xdr:cNvPr id="4" name="Chart 3"/>
        <xdr:cNvGraphicFramePr/>
      </xdr:nvGraphicFramePr>
      <xdr:xfrm>
        <a:off x="9164955" y="8021320"/>
        <a:ext cx="5817235" cy="398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26</xdr:row>
      <xdr:rowOff>52070</xdr:rowOff>
    </xdr:from>
    <xdr:to>
      <xdr:col>8</xdr:col>
      <xdr:colOff>452755</xdr:colOff>
      <xdr:row>28</xdr:row>
      <xdr:rowOff>74295</xdr:rowOff>
    </xdr:to>
    <xdr:sp>
      <xdr:nvSpPr>
        <xdr:cNvPr id="5" name="Text Box 4"/>
        <xdr:cNvSpPr txBox="1"/>
      </xdr:nvSpPr>
      <xdr:spPr>
        <a:xfrm>
          <a:off x="297180" y="7494270"/>
          <a:ext cx="5226050" cy="403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/>
            </a:gs>
          </a:gsLst>
          <a:lin ang="5400000" scaled="0"/>
        </a:gra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2400" b="1"/>
            <a:t>COMMULATIVE DETAILS YEAR 2025-26</a:t>
          </a:r>
          <a:endParaRPr lang="en-IN" altLang="en-US" sz="2400" b="1"/>
        </a:p>
      </xdr:txBody>
    </xdr:sp>
    <xdr:clientData/>
  </xdr:twoCellAnchor>
  <xdr:twoCellAnchor>
    <xdr:from>
      <xdr:col>8</xdr:col>
      <xdr:colOff>154940</xdr:colOff>
      <xdr:row>26</xdr:row>
      <xdr:rowOff>120650</xdr:rowOff>
    </xdr:from>
    <xdr:to>
      <xdr:col>8</xdr:col>
      <xdr:colOff>347345</xdr:colOff>
      <xdr:row>27</xdr:row>
      <xdr:rowOff>187960</xdr:rowOff>
    </xdr:to>
    <xdr:sp>
      <xdr:nvSpPr>
        <xdr:cNvPr id="6" name="Down Arrow 5"/>
        <xdr:cNvSpPr/>
      </xdr:nvSpPr>
      <xdr:spPr>
        <a:xfrm>
          <a:off x="5225415" y="7562850"/>
          <a:ext cx="192405" cy="25781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9"/>
  <sheetViews>
    <sheetView zoomScale="70" zoomScaleNormal="70" zoomScalePageLayoutView="85" zoomScaleSheetLayoutView="70" workbookViewId="0">
      <selection activeCell="R15" sqref="R15"/>
    </sheetView>
  </sheetViews>
  <sheetFormatPr defaultColWidth="9.14285714285714" defaultRowHeight="15"/>
  <cols>
    <col min="1" max="1" width="5.2952380952381" customWidth="1"/>
    <col min="2" max="3" width="9.71428571428571" customWidth="1"/>
    <col min="4" max="4" width="10.7428571428571" customWidth="1"/>
    <col min="5" max="12" width="9.71428571428571" customWidth="1"/>
    <col min="13" max="13" width="3.25714285714286" customWidth="1"/>
    <col min="14" max="21" width="9.71428571428571" customWidth="1"/>
    <col min="22" max="22" width="12.2666666666667" customWidth="1"/>
    <col min="23" max="23" width="6.53333333333333" customWidth="1"/>
    <col min="24" max="25" width="9.71428571428571" customWidth="1"/>
    <col min="26" max="30" width="6.71428571428571" customWidth="1"/>
  </cols>
  <sheetData>
    <row r="1" ht="22.5" customHeight="1" spans="1:25">
      <c r="A1" s="1"/>
      <c r="B1" s="2"/>
      <c r="C1" s="300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0"/>
      <c r="V1" s="51" t="s">
        <v>1</v>
      </c>
      <c r="W1" s="52"/>
      <c r="X1" s="53" t="s">
        <v>2</v>
      </c>
      <c r="Y1" s="53"/>
    </row>
    <row r="2" ht="23" customHeight="1" spans="1:2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54"/>
      <c r="V2" s="55"/>
      <c r="W2" s="56"/>
      <c r="X2" s="53"/>
      <c r="Y2" s="53"/>
    </row>
    <row r="3" ht="26" customHeight="1" spans="1:2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54"/>
      <c r="V3" s="57" t="s">
        <v>3</v>
      </c>
      <c r="W3" s="58"/>
      <c r="X3" s="53" t="s">
        <v>4</v>
      </c>
      <c r="Y3" s="53"/>
    </row>
    <row r="4" ht="24" customHeight="1" spans="1:25">
      <c r="A4" s="4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9"/>
      <c r="V4" s="57" t="s">
        <v>5</v>
      </c>
      <c r="W4" s="58"/>
      <c r="X4" s="60">
        <v>45633</v>
      </c>
      <c r="Y4" s="60"/>
    </row>
    <row r="5" ht="19" customHeight="1" spans="1:25">
      <c r="A5" s="8"/>
      <c r="B5" s="9"/>
      <c r="C5" s="301" t="s">
        <v>6</v>
      </c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9"/>
      <c r="V5" s="62" t="s">
        <v>7</v>
      </c>
      <c r="W5" s="62"/>
      <c r="X5" s="62"/>
      <c r="Y5" s="71"/>
    </row>
    <row r="6" ht="20" customHeight="1" spans="1:30">
      <c r="A6" s="11"/>
      <c r="B6" s="1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21" customHeight="1" spans="1:30">
      <c r="A7" s="13" t="s">
        <v>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41"/>
      <c r="M7" s="42"/>
      <c r="N7" s="302" t="s">
        <v>9</v>
      </c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10"/>
      <c r="Z7" s="72"/>
      <c r="AA7" s="72"/>
      <c r="AB7" s="72"/>
      <c r="AC7" s="72"/>
      <c r="AD7" s="73"/>
    </row>
    <row r="8" spans="1:25">
      <c r="A8" s="15" t="s">
        <v>10</v>
      </c>
      <c r="B8" s="16"/>
      <c r="C8" s="17" t="s">
        <v>11</v>
      </c>
      <c r="D8" s="18" t="s">
        <v>12</v>
      </c>
      <c r="E8" s="18" t="s">
        <v>13</v>
      </c>
      <c r="F8" s="17" t="s">
        <v>14</v>
      </c>
      <c r="G8" s="17" t="s">
        <v>15</v>
      </c>
      <c r="H8" s="17" t="s">
        <v>16</v>
      </c>
      <c r="I8" s="17" t="s">
        <v>17</v>
      </c>
      <c r="J8" s="18" t="s">
        <v>18</v>
      </c>
      <c r="K8" s="18" t="s">
        <v>19</v>
      </c>
      <c r="L8" s="18" t="s">
        <v>20</v>
      </c>
      <c r="M8" s="43"/>
      <c r="N8" s="17" t="s">
        <v>11</v>
      </c>
      <c r="O8" s="17" t="s">
        <v>12</v>
      </c>
      <c r="P8" s="17" t="s">
        <v>13</v>
      </c>
      <c r="Q8" s="17" t="s">
        <v>14</v>
      </c>
      <c r="R8" s="17" t="s">
        <v>15</v>
      </c>
      <c r="S8" s="17" t="s">
        <v>18</v>
      </c>
      <c r="T8" s="17" t="s">
        <v>21</v>
      </c>
      <c r="U8" s="17" t="s">
        <v>22</v>
      </c>
      <c r="V8" s="17" t="s">
        <v>23</v>
      </c>
      <c r="W8" s="15" t="s">
        <v>19</v>
      </c>
      <c r="X8" s="16"/>
      <c r="Y8" s="18" t="s">
        <v>20</v>
      </c>
    </row>
    <row r="9" spans="1:25">
      <c r="A9" s="19"/>
      <c r="B9" s="20"/>
      <c r="C9" s="17"/>
      <c r="D9" s="18"/>
      <c r="E9" s="18"/>
      <c r="F9" s="17"/>
      <c r="G9" s="17"/>
      <c r="H9" s="17"/>
      <c r="I9" s="17"/>
      <c r="J9" s="18"/>
      <c r="K9" s="18"/>
      <c r="L9" s="18"/>
      <c r="M9" s="43"/>
      <c r="N9" s="17"/>
      <c r="O9" s="17"/>
      <c r="P9" s="17"/>
      <c r="Q9" s="17"/>
      <c r="R9" s="17"/>
      <c r="S9" s="17"/>
      <c r="T9" s="17"/>
      <c r="U9" s="17"/>
      <c r="V9" s="17"/>
      <c r="W9" s="19"/>
      <c r="X9" s="20"/>
      <c r="Y9" s="18"/>
    </row>
    <row r="10" spans="1:25">
      <c r="A10" s="21"/>
      <c r="B10" s="22"/>
      <c r="C10" s="17"/>
      <c r="D10" s="18"/>
      <c r="E10" s="18"/>
      <c r="F10" s="17"/>
      <c r="G10" s="17"/>
      <c r="H10" s="17"/>
      <c r="I10" s="17"/>
      <c r="J10" s="18"/>
      <c r="K10" s="18"/>
      <c r="L10" s="18"/>
      <c r="M10" s="43"/>
      <c r="N10" s="17"/>
      <c r="O10" s="17"/>
      <c r="P10" s="17"/>
      <c r="Q10" s="17"/>
      <c r="R10" s="17"/>
      <c r="S10" s="17"/>
      <c r="T10" s="17"/>
      <c r="U10" s="17"/>
      <c r="V10" s="17"/>
      <c r="W10" s="21"/>
      <c r="X10" s="22"/>
      <c r="Y10" s="18"/>
    </row>
    <row r="11" ht="25" customHeight="1" spans="1:25">
      <c r="A11" s="134">
        <v>45748</v>
      </c>
      <c r="B11" s="135"/>
      <c r="C11" s="25">
        <v>9612</v>
      </c>
      <c r="D11" s="25">
        <v>9612</v>
      </c>
      <c r="E11" s="25"/>
      <c r="F11" s="25">
        <v>15</v>
      </c>
      <c r="G11" s="26">
        <f>F11/C11*100</f>
        <v>0.15605493133583</v>
      </c>
      <c r="H11" s="25">
        <v>11</v>
      </c>
      <c r="I11" s="25">
        <v>1</v>
      </c>
      <c r="J11" s="25">
        <v>3</v>
      </c>
      <c r="K11" s="25"/>
      <c r="L11" s="25"/>
      <c r="M11" s="44"/>
      <c r="N11" s="25">
        <v>9612</v>
      </c>
      <c r="O11" s="25">
        <v>9483</v>
      </c>
      <c r="P11" s="25"/>
      <c r="Q11" s="25">
        <v>129</v>
      </c>
      <c r="R11" s="26">
        <f>Q11/N11*100</f>
        <v>1.34207240948814</v>
      </c>
      <c r="S11" s="25">
        <v>21</v>
      </c>
      <c r="T11" s="25">
        <v>64</v>
      </c>
      <c r="U11" s="25"/>
      <c r="V11" s="25">
        <v>28</v>
      </c>
      <c r="W11" s="63">
        <v>16</v>
      </c>
      <c r="X11" s="64"/>
      <c r="Y11" s="25"/>
    </row>
    <row r="12" ht="25" customHeight="1" spans="1:25">
      <c r="A12" s="134">
        <v>45749</v>
      </c>
      <c r="B12" s="135"/>
      <c r="C12" s="25">
        <v>9907</v>
      </c>
      <c r="D12" s="25">
        <v>9858</v>
      </c>
      <c r="E12" s="25"/>
      <c r="F12" s="25">
        <v>49</v>
      </c>
      <c r="G12" s="26">
        <f>F12/C12*100</f>
        <v>0.494599777934794</v>
      </c>
      <c r="H12" s="25">
        <v>27</v>
      </c>
      <c r="I12" s="25">
        <v>3</v>
      </c>
      <c r="J12" s="25">
        <v>19</v>
      </c>
      <c r="K12" s="25"/>
      <c r="L12" s="25"/>
      <c r="M12" s="44"/>
      <c r="N12" s="25">
        <v>9858</v>
      </c>
      <c r="O12" s="25">
        <v>9767</v>
      </c>
      <c r="P12" s="25"/>
      <c r="Q12" s="25">
        <v>91</v>
      </c>
      <c r="R12" s="26">
        <f>Q12/N12*100</f>
        <v>0.923108135524447</v>
      </c>
      <c r="S12" s="25">
        <v>55</v>
      </c>
      <c r="T12" s="25">
        <v>12</v>
      </c>
      <c r="U12" s="25"/>
      <c r="V12" s="25">
        <v>22</v>
      </c>
      <c r="W12" s="63">
        <v>2</v>
      </c>
      <c r="X12" s="64"/>
      <c r="Y12" s="25"/>
    </row>
    <row r="13" ht="25" customHeight="1" spans="1:25">
      <c r="A13" s="134">
        <v>45750</v>
      </c>
      <c r="B13" s="135"/>
      <c r="C13" s="25">
        <v>10746</v>
      </c>
      <c r="D13" s="25">
        <v>10683</v>
      </c>
      <c r="E13" s="25"/>
      <c r="F13" s="25">
        <v>63</v>
      </c>
      <c r="G13" s="26">
        <f>F13/C13*100</f>
        <v>0.586264656616415</v>
      </c>
      <c r="H13" s="25">
        <v>46</v>
      </c>
      <c r="I13" s="25">
        <v>10</v>
      </c>
      <c r="J13" s="25">
        <v>7</v>
      </c>
      <c r="K13" s="25"/>
      <c r="L13" s="25"/>
      <c r="M13" s="44"/>
      <c r="N13" s="25">
        <v>10683</v>
      </c>
      <c r="O13" s="25">
        <v>10632</v>
      </c>
      <c r="P13" s="25"/>
      <c r="Q13" s="25">
        <v>51</v>
      </c>
      <c r="R13" s="26">
        <f>Q13/N13*100</f>
        <v>0.47739399045212</v>
      </c>
      <c r="S13" s="25">
        <v>27</v>
      </c>
      <c r="T13" s="25">
        <v>4</v>
      </c>
      <c r="U13" s="25"/>
      <c r="V13" s="25">
        <v>20</v>
      </c>
      <c r="W13" s="63"/>
      <c r="X13" s="64"/>
      <c r="Y13" s="25"/>
    </row>
    <row r="14" ht="25" customHeight="1" spans="1:25">
      <c r="A14" s="134">
        <v>45751</v>
      </c>
      <c r="B14" s="135"/>
      <c r="C14" s="25">
        <v>9573</v>
      </c>
      <c r="D14" s="25">
        <v>9555</v>
      </c>
      <c r="E14" s="25"/>
      <c r="F14" s="25">
        <v>18</v>
      </c>
      <c r="G14" s="26">
        <f>F14/C14*100</f>
        <v>0.188028831087433</v>
      </c>
      <c r="H14" s="25">
        <v>12</v>
      </c>
      <c r="I14" s="25">
        <v>2</v>
      </c>
      <c r="J14" s="25">
        <v>4</v>
      </c>
      <c r="K14" s="25"/>
      <c r="L14" s="25"/>
      <c r="M14" s="44"/>
      <c r="N14" s="25">
        <v>9555</v>
      </c>
      <c r="O14" s="25">
        <v>9481</v>
      </c>
      <c r="P14" s="25"/>
      <c r="Q14" s="25">
        <v>74</v>
      </c>
      <c r="R14" s="26">
        <f>Q14/N14*100</f>
        <v>0.774463631606489</v>
      </c>
      <c r="S14" s="25">
        <v>33</v>
      </c>
      <c r="T14" s="25">
        <v>19</v>
      </c>
      <c r="U14" s="25"/>
      <c r="V14" s="25">
        <v>22</v>
      </c>
      <c r="W14" s="63"/>
      <c r="X14" s="64"/>
      <c r="Y14" s="25"/>
    </row>
    <row r="15" ht="25" customHeight="1" spans="1:25">
      <c r="A15" s="134">
        <v>45752</v>
      </c>
      <c r="B15" s="135"/>
      <c r="C15" s="25">
        <v>7038</v>
      </c>
      <c r="D15" s="25">
        <v>7018</v>
      </c>
      <c r="E15" s="25"/>
      <c r="F15" s="25">
        <v>20</v>
      </c>
      <c r="G15" s="26">
        <f>F15/C15*100</f>
        <v>0.284171639670361</v>
      </c>
      <c r="H15" s="25">
        <v>8</v>
      </c>
      <c r="I15" s="25">
        <v>1</v>
      </c>
      <c r="J15" s="25">
        <v>11</v>
      </c>
      <c r="K15" s="25"/>
      <c r="L15" s="25"/>
      <c r="M15" s="44"/>
      <c r="N15" s="25">
        <v>7018</v>
      </c>
      <c r="O15" s="25">
        <v>6963</v>
      </c>
      <c r="P15" s="25">
        <v>1</v>
      </c>
      <c r="Q15" s="25">
        <v>55</v>
      </c>
      <c r="R15" s="26">
        <f>Q15/N15*100</f>
        <v>0.783699059561128</v>
      </c>
      <c r="S15" s="25">
        <v>27</v>
      </c>
      <c r="T15" s="25">
        <v>17</v>
      </c>
      <c r="U15" s="25"/>
      <c r="V15" s="25">
        <v>11</v>
      </c>
      <c r="W15" s="63"/>
      <c r="X15" s="64"/>
      <c r="Y15" s="25"/>
    </row>
    <row r="16" ht="25" customHeight="1" spans="1:25">
      <c r="A16" s="134">
        <v>45754</v>
      </c>
      <c r="B16" s="135"/>
      <c r="C16" s="25">
        <v>4553</v>
      </c>
      <c r="D16" s="25">
        <v>4498</v>
      </c>
      <c r="E16" s="25"/>
      <c r="F16" s="25">
        <v>55</v>
      </c>
      <c r="G16" s="26">
        <f t="shared" ref="G16:G27" si="0">F16/C16*100</f>
        <v>1.20799472875027</v>
      </c>
      <c r="H16" s="25">
        <v>27</v>
      </c>
      <c r="I16" s="25">
        <v>12</v>
      </c>
      <c r="J16" s="25">
        <v>16</v>
      </c>
      <c r="K16" s="25"/>
      <c r="L16" s="25"/>
      <c r="M16" s="44"/>
      <c r="N16" s="25">
        <v>4498</v>
      </c>
      <c r="O16" s="25">
        <v>4443</v>
      </c>
      <c r="P16" s="25"/>
      <c r="Q16" s="25">
        <f>N16-(O16+P16)</f>
        <v>55</v>
      </c>
      <c r="R16" s="26">
        <f t="shared" ref="R16:R27" si="1">Q16/N16*100</f>
        <v>1.22276567363273</v>
      </c>
      <c r="S16" s="25">
        <v>22</v>
      </c>
      <c r="T16" s="25">
        <v>19</v>
      </c>
      <c r="U16" s="25"/>
      <c r="V16" s="25">
        <v>14</v>
      </c>
      <c r="W16" s="63"/>
      <c r="X16" s="64"/>
      <c r="Y16" s="25"/>
    </row>
    <row r="17" ht="25" customHeight="1" spans="1:25">
      <c r="A17" s="134">
        <v>45755</v>
      </c>
      <c r="B17" s="135"/>
      <c r="C17" s="25">
        <v>9400</v>
      </c>
      <c r="D17" s="25">
        <v>9326</v>
      </c>
      <c r="E17" s="25"/>
      <c r="F17" s="25">
        <v>71</v>
      </c>
      <c r="G17" s="26">
        <f t="shared" si="0"/>
        <v>0.75531914893617</v>
      </c>
      <c r="H17" s="25">
        <v>28</v>
      </c>
      <c r="I17" s="25">
        <v>17</v>
      </c>
      <c r="J17" s="25">
        <v>26</v>
      </c>
      <c r="K17" s="25"/>
      <c r="L17" s="25"/>
      <c r="M17" s="44"/>
      <c r="N17" s="25">
        <v>9326</v>
      </c>
      <c r="O17" s="25">
        <v>9100</v>
      </c>
      <c r="P17" s="25"/>
      <c r="Q17" s="25">
        <v>226</v>
      </c>
      <c r="R17" s="26">
        <f t="shared" si="1"/>
        <v>2.42333261848595</v>
      </c>
      <c r="S17" s="25">
        <v>140</v>
      </c>
      <c r="T17" s="25">
        <v>75</v>
      </c>
      <c r="U17" s="25"/>
      <c r="V17" s="25">
        <v>11</v>
      </c>
      <c r="W17" s="63"/>
      <c r="X17" s="64"/>
      <c r="Y17" s="25"/>
    </row>
    <row r="18" ht="25" customHeight="1" spans="1:25">
      <c r="A18" s="134">
        <v>45756</v>
      </c>
      <c r="B18" s="135"/>
      <c r="C18" s="25">
        <v>8912</v>
      </c>
      <c r="D18" s="25">
        <v>8886</v>
      </c>
      <c r="E18" s="25"/>
      <c r="F18" s="25">
        <v>26</v>
      </c>
      <c r="G18" s="26">
        <f t="shared" si="0"/>
        <v>0.291741472172352</v>
      </c>
      <c r="H18" s="25">
        <v>10</v>
      </c>
      <c r="I18" s="25"/>
      <c r="J18" s="25">
        <v>16</v>
      </c>
      <c r="K18" s="25"/>
      <c r="L18" s="25"/>
      <c r="M18" s="44"/>
      <c r="N18" s="25">
        <v>8886</v>
      </c>
      <c r="O18" s="25">
        <v>8820</v>
      </c>
      <c r="P18" s="25"/>
      <c r="Q18" s="25">
        <v>66</v>
      </c>
      <c r="R18" s="26">
        <f t="shared" si="1"/>
        <v>0.742741390952059</v>
      </c>
      <c r="S18" s="25">
        <v>61</v>
      </c>
      <c r="T18" s="25"/>
      <c r="U18" s="25"/>
      <c r="V18" s="25">
        <v>5</v>
      </c>
      <c r="W18" s="63"/>
      <c r="X18" s="64"/>
      <c r="Y18" s="25"/>
    </row>
    <row r="19" ht="25" customHeight="1" spans="1:25">
      <c r="A19" s="134">
        <v>45757</v>
      </c>
      <c r="B19" s="135"/>
      <c r="C19" s="25">
        <v>10350</v>
      </c>
      <c r="D19" s="25">
        <v>10279</v>
      </c>
      <c r="E19" s="25"/>
      <c r="F19" s="25">
        <v>71</v>
      </c>
      <c r="G19" s="26">
        <f t="shared" si="0"/>
        <v>0.685990338164251</v>
      </c>
      <c r="H19" s="25">
        <v>16</v>
      </c>
      <c r="I19" s="25">
        <v>8</v>
      </c>
      <c r="J19" s="25">
        <v>47</v>
      </c>
      <c r="K19" s="25"/>
      <c r="L19" s="25"/>
      <c r="M19" s="44"/>
      <c r="N19" s="25">
        <v>10279</v>
      </c>
      <c r="O19" s="25">
        <v>10159</v>
      </c>
      <c r="P19" s="25"/>
      <c r="Q19" s="25">
        <v>120</v>
      </c>
      <c r="R19" s="26">
        <f t="shared" si="1"/>
        <v>1.16742873820411</v>
      </c>
      <c r="S19" s="25">
        <v>102</v>
      </c>
      <c r="T19" s="25">
        <v>4</v>
      </c>
      <c r="U19" s="25"/>
      <c r="V19" s="25">
        <v>14</v>
      </c>
      <c r="W19" s="63"/>
      <c r="X19" s="64"/>
      <c r="Y19" s="25"/>
    </row>
    <row r="20" ht="25" customHeight="1" spans="1:25">
      <c r="A20" s="134">
        <v>45758</v>
      </c>
      <c r="B20" s="135"/>
      <c r="C20" s="25">
        <v>12214</v>
      </c>
      <c r="D20" s="25">
        <v>12114</v>
      </c>
      <c r="E20" s="25"/>
      <c r="F20" s="25">
        <v>100</v>
      </c>
      <c r="G20" s="26">
        <f t="shared" si="0"/>
        <v>0.818732601932209</v>
      </c>
      <c r="H20" s="25">
        <v>61</v>
      </c>
      <c r="I20" s="25">
        <v>2</v>
      </c>
      <c r="J20" s="25">
        <v>37</v>
      </c>
      <c r="K20" s="25"/>
      <c r="L20" s="25"/>
      <c r="M20" s="44"/>
      <c r="N20" s="25">
        <v>12114</v>
      </c>
      <c r="O20" s="25">
        <v>1208</v>
      </c>
      <c r="P20" s="25"/>
      <c r="Q20" s="25">
        <v>56</v>
      </c>
      <c r="R20" s="26">
        <f t="shared" si="1"/>
        <v>0.462275053656926</v>
      </c>
      <c r="S20" s="25">
        <v>20</v>
      </c>
      <c r="T20" s="25">
        <v>15</v>
      </c>
      <c r="U20" s="25"/>
      <c r="V20" s="25">
        <v>21</v>
      </c>
      <c r="W20" s="63"/>
      <c r="X20" s="64"/>
      <c r="Y20" s="25"/>
    </row>
    <row r="21" ht="25" customHeight="1" spans="1:25">
      <c r="A21" s="134">
        <v>45759</v>
      </c>
      <c r="B21" s="135"/>
      <c r="C21" s="25">
        <v>7250</v>
      </c>
      <c r="D21" s="25">
        <v>7214</v>
      </c>
      <c r="E21" s="25"/>
      <c r="F21" s="25">
        <v>36</v>
      </c>
      <c r="G21" s="26">
        <f t="shared" si="0"/>
        <v>0.496551724137931</v>
      </c>
      <c r="H21" s="25">
        <v>5</v>
      </c>
      <c r="I21" s="25">
        <v>3</v>
      </c>
      <c r="J21" s="25">
        <v>28</v>
      </c>
      <c r="K21" s="25"/>
      <c r="L21" s="25"/>
      <c r="M21" s="44"/>
      <c r="N21" s="25">
        <v>7214</v>
      </c>
      <c r="O21" s="25">
        <v>7148</v>
      </c>
      <c r="P21" s="25"/>
      <c r="Q21" s="25">
        <v>66</v>
      </c>
      <c r="R21" s="26">
        <f t="shared" si="1"/>
        <v>0.914887718325478</v>
      </c>
      <c r="S21" s="25">
        <v>50</v>
      </c>
      <c r="T21" s="25"/>
      <c r="U21" s="25"/>
      <c r="V21" s="25">
        <v>16</v>
      </c>
      <c r="W21" s="63"/>
      <c r="X21" s="64"/>
      <c r="Y21" s="25"/>
    </row>
    <row r="22" ht="25" customHeight="1" spans="1:25">
      <c r="A22" s="134">
        <v>45761</v>
      </c>
      <c r="B22" s="135"/>
      <c r="C22" s="25">
        <v>6182</v>
      </c>
      <c r="D22" s="25">
        <v>6088</v>
      </c>
      <c r="E22" s="25"/>
      <c r="F22" s="25">
        <v>94</v>
      </c>
      <c r="G22" s="26">
        <f t="shared" si="0"/>
        <v>1.52054351342608</v>
      </c>
      <c r="H22" s="25">
        <v>69</v>
      </c>
      <c r="I22" s="25">
        <v>4</v>
      </c>
      <c r="J22" s="25">
        <v>21</v>
      </c>
      <c r="K22" s="25"/>
      <c r="L22" s="25"/>
      <c r="M22" s="44"/>
      <c r="N22" s="25">
        <v>6088</v>
      </c>
      <c r="O22" s="25">
        <v>5967</v>
      </c>
      <c r="P22" s="25"/>
      <c r="Q22" s="25">
        <v>121</v>
      </c>
      <c r="R22" s="26">
        <f t="shared" si="1"/>
        <v>1.98751642575558</v>
      </c>
      <c r="S22" s="25">
        <v>22</v>
      </c>
      <c r="T22" s="25">
        <v>52</v>
      </c>
      <c r="U22" s="25"/>
      <c r="V22" s="25">
        <v>47</v>
      </c>
      <c r="W22" s="63"/>
      <c r="X22" s="64"/>
      <c r="Y22" s="25"/>
    </row>
    <row r="23" ht="25" customHeight="1" spans="1:25">
      <c r="A23" s="134">
        <v>45762</v>
      </c>
      <c r="B23" s="135"/>
      <c r="C23" s="25">
        <v>11557</v>
      </c>
      <c r="D23" s="25">
        <v>11479</v>
      </c>
      <c r="E23" s="25"/>
      <c r="F23" s="25">
        <v>78</v>
      </c>
      <c r="G23" s="26">
        <f t="shared" si="0"/>
        <v>0.674915635545557</v>
      </c>
      <c r="H23" s="25">
        <v>39</v>
      </c>
      <c r="I23" s="25">
        <v>10</v>
      </c>
      <c r="J23" s="25">
        <v>29</v>
      </c>
      <c r="K23" s="25"/>
      <c r="L23" s="25"/>
      <c r="M23" s="44"/>
      <c r="N23" s="25">
        <v>11479</v>
      </c>
      <c r="O23" s="25">
        <v>11376</v>
      </c>
      <c r="P23" s="25"/>
      <c r="Q23" s="25">
        <v>103</v>
      </c>
      <c r="R23" s="26">
        <f t="shared" si="1"/>
        <v>0.897290704765224</v>
      </c>
      <c r="S23" s="25">
        <v>56</v>
      </c>
      <c r="T23" s="25">
        <v>6</v>
      </c>
      <c r="U23" s="25"/>
      <c r="V23" s="25">
        <v>41</v>
      </c>
      <c r="W23" s="63"/>
      <c r="X23" s="64"/>
      <c r="Y23" s="25"/>
    </row>
    <row r="24" ht="25" customHeight="1" spans="1:25">
      <c r="A24" s="134">
        <v>45763</v>
      </c>
      <c r="B24" s="135"/>
      <c r="C24" s="25">
        <v>8339</v>
      </c>
      <c r="D24" s="25">
        <v>8267</v>
      </c>
      <c r="E24" s="25"/>
      <c r="F24" s="25">
        <v>57</v>
      </c>
      <c r="G24" s="26">
        <f t="shared" si="0"/>
        <v>0.683535196066675</v>
      </c>
      <c r="H24" s="25">
        <v>32</v>
      </c>
      <c r="I24" s="25">
        <v>7</v>
      </c>
      <c r="J24" s="25">
        <v>18</v>
      </c>
      <c r="K24" s="25"/>
      <c r="L24" s="25"/>
      <c r="M24" s="44"/>
      <c r="N24" s="25">
        <v>8267</v>
      </c>
      <c r="O24" s="25">
        <v>7477</v>
      </c>
      <c r="P24" s="25"/>
      <c r="Q24" s="25">
        <v>790</v>
      </c>
      <c r="R24" s="26">
        <f t="shared" si="1"/>
        <v>9.55606628764969</v>
      </c>
      <c r="S24" s="25">
        <v>56</v>
      </c>
      <c r="T24" s="25"/>
      <c r="U24" s="25"/>
      <c r="V24" s="25">
        <v>734</v>
      </c>
      <c r="W24" s="63"/>
      <c r="X24" s="64"/>
      <c r="Y24" s="25"/>
    </row>
    <row r="25" ht="25" customHeight="1" spans="1:25">
      <c r="A25" s="134">
        <v>45764</v>
      </c>
      <c r="B25" s="135"/>
      <c r="C25" s="25">
        <v>10209</v>
      </c>
      <c r="D25" s="25">
        <v>10104</v>
      </c>
      <c r="E25" s="25"/>
      <c r="F25" s="25">
        <v>105</v>
      </c>
      <c r="G25" s="26">
        <f t="shared" si="0"/>
        <v>1.02850426094622</v>
      </c>
      <c r="H25" s="25">
        <v>65</v>
      </c>
      <c r="I25" s="25">
        <v>6</v>
      </c>
      <c r="J25" s="25">
        <v>34</v>
      </c>
      <c r="K25" s="25"/>
      <c r="L25" s="25"/>
      <c r="M25" s="44"/>
      <c r="N25" s="25">
        <v>10104</v>
      </c>
      <c r="O25" s="25">
        <v>8874</v>
      </c>
      <c r="P25" s="25"/>
      <c r="Q25" s="25">
        <v>1230</v>
      </c>
      <c r="R25" s="26">
        <f t="shared" si="1"/>
        <v>12.1733966745843</v>
      </c>
      <c r="S25" s="25">
        <v>90</v>
      </c>
      <c r="T25" s="25"/>
      <c r="U25" s="25"/>
      <c r="V25" s="25">
        <v>1140</v>
      </c>
      <c r="W25" s="63"/>
      <c r="X25" s="64"/>
      <c r="Y25" s="25"/>
    </row>
    <row r="26" ht="25" customHeight="1" spans="1:25">
      <c r="A26" s="134">
        <v>45765</v>
      </c>
      <c r="B26" s="135"/>
      <c r="C26" s="25">
        <v>8453</v>
      </c>
      <c r="D26" s="25">
        <v>8390</v>
      </c>
      <c r="E26" s="25"/>
      <c r="F26" s="25">
        <v>63</v>
      </c>
      <c r="G26" s="26">
        <f t="shared" si="0"/>
        <v>0.745297527505028</v>
      </c>
      <c r="H26" s="25">
        <v>35</v>
      </c>
      <c r="I26" s="25">
        <v>1</v>
      </c>
      <c r="J26" s="25">
        <v>27</v>
      </c>
      <c r="K26" s="25"/>
      <c r="L26" s="25"/>
      <c r="M26" s="44"/>
      <c r="N26" s="25">
        <v>8390</v>
      </c>
      <c r="O26" s="25">
        <v>6557</v>
      </c>
      <c r="P26" s="25">
        <v>1794</v>
      </c>
      <c r="Q26" s="25">
        <v>39</v>
      </c>
      <c r="R26" s="26">
        <f t="shared" si="1"/>
        <v>0.464839094159714</v>
      </c>
      <c r="S26" s="25">
        <v>39</v>
      </c>
      <c r="T26" s="25"/>
      <c r="U26" s="25"/>
      <c r="V26" s="25"/>
      <c r="W26" s="63"/>
      <c r="X26" s="64"/>
      <c r="Y26" s="25"/>
    </row>
    <row r="27" ht="25" customHeight="1" spans="1:25">
      <c r="A27" s="134">
        <v>45766</v>
      </c>
      <c r="B27" s="135"/>
      <c r="C27" s="25">
        <v>10889</v>
      </c>
      <c r="D27" s="25">
        <v>10794</v>
      </c>
      <c r="E27" s="25"/>
      <c r="F27" s="25">
        <v>95</v>
      </c>
      <c r="G27" s="26">
        <f t="shared" si="0"/>
        <v>0.87244007714207</v>
      </c>
      <c r="H27" s="25">
        <v>59</v>
      </c>
      <c r="I27" s="25">
        <v>2</v>
      </c>
      <c r="J27" s="25">
        <v>34</v>
      </c>
      <c r="K27" s="25"/>
      <c r="L27" s="25"/>
      <c r="M27" s="44"/>
      <c r="N27" s="25">
        <v>10794</v>
      </c>
      <c r="O27" s="25">
        <v>9967</v>
      </c>
      <c r="P27" s="25">
        <v>684</v>
      </c>
      <c r="Q27" s="25">
        <v>143</v>
      </c>
      <c r="R27" s="26">
        <f t="shared" si="1"/>
        <v>1.32481007967389</v>
      </c>
      <c r="S27" s="25">
        <v>85</v>
      </c>
      <c r="T27" s="25"/>
      <c r="U27" s="25"/>
      <c r="V27" s="25">
        <v>58</v>
      </c>
      <c r="W27" s="63"/>
      <c r="X27" s="64"/>
      <c r="Y27" s="25"/>
    </row>
    <row r="28" ht="25" customHeight="1" spans="1:25">
      <c r="A28" s="134">
        <v>45768</v>
      </c>
      <c r="B28" s="135"/>
      <c r="C28" s="25"/>
      <c r="D28" s="25"/>
      <c r="E28" s="25"/>
      <c r="F28" s="25"/>
      <c r="G28" s="26" t="e">
        <f t="shared" ref="G28:G37" si="2">F28/C28*100</f>
        <v>#DIV/0!</v>
      </c>
      <c r="H28" s="25"/>
      <c r="I28" s="25"/>
      <c r="J28" s="25"/>
      <c r="K28" s="25"/>
      <c r="L28" s="25"/>
      <c r="M28" s="44"/>
      <c r="N28" s="25"/>
      <c r="O28" s="25"/>
      <c r="P28" s="25"/>
      <c r="Q28" s="25"/>
      <c r="R28" s="26" t="e">
        <f t="shared" ref="R28:R37" si="3">Q28/N28*100</f>
        <v>#DIV/0!</v>
      </c>
      <c r="S28" s="25"/>
      <c r="T28" s="25"/>
      <c r="U28" s="25"/>
      <c r="V28" s="25"/>
      <c r="W28" s="63"/>
      <c r="X28" s="64"/>
      <c r="Y28" s="25"/>
    </row>
    <row r="29" ht="25" customHeight="1" spans="1:25">
      <c r="A29" s="134">
        <v>45769</v>
      </c>
      <c r="B29" s="135"/>
      <c r="C29" s="25">
        <v>7281</v>
      </c>
      <c r="D29" s="25">
        <v>7244</v>
      </c>
      <c r="E29" s="25"/>
      <c r="F29" s="25">
        <v>37</v>
      </c>
      <c r="G29" s="26">
        <f t="shared" si="2"/>
        <v>0.508171954401868</v>
      </c>
      <c r="H29" s="25">
        <v>23</v>
      </c>
      <c r="I29" s="25">
        <v>1</v>
      </c>
      <c r="J29" s="25">
        <v>13</v>
      </c>
      <c r="K29" s="25"/>
      <c r="L29" s="25"/>
      <c r="M29" s="44"/>
      <c r="N29" s="25">
        <v>7244</v>
      </c>
      <c r="O29" s="25">
        <v>7177</v>
      </c>
      <c r="P29" s="25">
        <v>1867</v>
      </c>
      <c r="Q29" s="25">
        <v>67</v>
      </c>
      <c r="R29" s="26">
        <f t="shared" si="3"/>
        <v>0.924903368304804</v>
      </c>
      <c r="S29" s="25">
        <v>55</v>
      </c>
      <c r="T29" s="25">
        <v>12</v>
      </c>
      <c r="U29" s="25"/>
      <c r="V29" s="25"/>
      <c r="W29" s="63"/>
      <c r="X29" s="64"/>
      <c r="Y29" s="25"/>
    </row>
    <row r="30" ht="25" customHeight="1" spans="1:25">
      <c r="A30" s="134">
        <v>45770</v>
      </c>
      <c r="B30" s="135"/>
      <c r="C30" s="25">
        <v>7370</v>
      </c>
      <c r="D30" s="25">
        <v>7220</v>
      </c>
      <c r="E30" s="25"/>
      <c r="F30" s="25">
        <v>150</v>
      </c>
      <c r="G30" s="26">
        <f t="shared" si="2"/>
        <v>2.03527815468114</v>
      </c>
      <c r="H30" s="25">
        <v>108</v>
      </c>
      <c r="I30" s="25">
        <v>2</v>
      </c>
      <c r="J30" s="25">
        <v>40</v>
      </c>
      <c r="K30" s="25"/>
      <c r="L30" s="25"/>
      <c r="M30" s="44"/>
      <c r="N30" s="25">
        <v>7220</v>
      </c>
      <c r="O30" s="25">
        <v>7143</v>
      </c>
      <c r="P30" s="25">
        <v>1100</v>
      </c>
      <c r="Q30" s="25">
        <v>77</v>
      </c>
      <c r="R30" s="26">
        <f t="shared" si="3"/>
        <v>1.06648199445983</v>
      </c>
      <c r="S30" s="25">
        <v>76</v>
      </c>
      <c r="T30" s="25">
        <v>1</v>
      </c>
      <c r="U30" s="25"/>
      <c r="V30" s="25"/>
      <c r="W30" s="63"/>
      <c r="X30" s="64"/>
      <c r="Y30" s="25"/>
    </row>
    <row r="31" ht="25" customHeight="1" spans="1:25">
      <c r="A31" s="134">
        <v>45771</v>
      </c>
      <c r="B31" s="135"/>
      <c r="C31" s="25">
        <v>6878</v>
      </c>
      <c r="D31" s="25">
        <v>6755</v>
      </c>
      <c r="E31" s="25"/>
      <c r="F31" s="25">
        <v>123</v>
      </c>
      <c r="G31" s="26">
        <f t="shared" si="2"/>
        <v>1.78831055539401</v>
      </c>
      <c r="H31" s="25">
        <v>95</v>
      </c>
      <c r="I31" s="25">
        <v>4</v>
      </c>
      <c r="J31" s="25">
        <v>24</v>
      </c>
      <c r="K31" s="25"/>
      <c r="L31" s="25"/>
      <c r="M31" s="44"/>
      <c r="N31" s="25">
        <v>6755</v>
      </c>
      <c r="O31" s="25">
        <v>6694</v>
      </c>
      <c r="P31" s="25">
        <v>1855</v>
      </c>
      <c r="Q31" s="25">
        <v>61</v>
      </c>
      <c r="R31" s="26">
        <f t="shared" si="3"/>
        <v>0.903034789045152</v>
      </c>
      <c r="S31" s="25">
        <v>61</v>
      </c>
      <c r="T31" s="25"/>
      <c r="U31" s="25"/>
      <c r="V31" s="25"/>
      <c r="W31" s="63"/>
      <c r="X31" s="64"/>
      <c r="Y31" s="25"/>
    </row>
    <row r="32" ht="25" customHeight="1" spans="1:25">
      <c r="A32" s="134">
        <v>45772</v>
      </c>
      <c r="B32" s="135"/>
      <c r="C32" s="25">
        <v>8614</v>
      </c>
      <c r="D32" s="25">
        <v>8485</v>
      </c>
      <c r="E32" s="25"/>
      <c r="F32" s="25">
        <v>129</v>
      </c>
      <c r="G32" s="26">
        <f t="shared" si="2"/>
        <v>1.49756210819596</v>
      </c>
      <c r="H32" s="25">
        <v>115</v>
      </c>
      <c r="I32" s="25">
        <v>4</v>
      </c>
      <c r="J32" s="25">
        <v>10</v>
      </c>
      <c r="K32" s="25"/>
      <c r="L32" s="25"/>
      <c r="M32" s="44"/>
      <c r="N32" s="25">
        <v>8485</v>
      </c>
      <c r="O32" s="25">
        <v>8425</v>
      </c>
      <c r="P32" s="25">
        <v>331</v>
      </c>
      <c r="Q32" s="25">
        <v>60</v>
      </c>
      <c r="R32" s="26">
        <f t="shared" si="3"/>
        <v>0.707130229817325</v>
      </c>
      <c r="S32" s="25">
        <v>34</v>
      </c>
      <c r="T32" s="25"/>
      <c r="U32" s="25"/>
      <c r="V32" s="25">
        <v>26</v>
      </c>
      <c r="W32" s="63"/>
      <c r="X32" s="64"/>
      <c r="Y32" s="25"/>
    </row>
    <row r="33" ht="25" customHeight="1" spans="1:25">
      <c r="A33" s="134">
        <v>45773</v>
      </c>
      <c r="B33" s="135"/>
      <c r="C33" s="25">
        <v>5986</v>
      </c>
      <c r="D33" s="25">
        <v>5937</v>
      </c>
      <c r="E33" s="25"/>
      <c r="F33" s="25">
        <v>49</v>
      </c>
      <c r="G33" s="26">
        <f t="shared" si="2"/>
        <v>0.818576678917474</v>
      </c>
      <c r="H33" s="25">
        <v>44</v>
      </c>
      <c r="I33" s="25">
        <v>2</v>
      </c>
      <c r="J33" s="25">
        <v>3</v>
      </c>
      <c r="K33" s="25"/>
      <c r="L33" s="25"/>
      <c r="M33" s="44"/>
      <c r="N33" s="25">
        <v>5937</v>
      </c>
      <c r="O33" s="25">
        <v>5887</v>
      </c>
      <c r="P33" s="25">
        <v>985</v>
      </c>
      <c r="Q33" s="25">
        <v>58</v>
      </c>
      <c r="R33" s="26">
        <f t="shared" si="3"/>
        <v>0.976924372578743</v>
      </c>
      <c r="S33" s="25">
        <v>36</v>
      </c>
      <c r="T33" s="25">
        <v>5</v>
      </c>
      <c r="U33" s="25"/>
      <c r="V33" s="25">
        <v>16</v>
      </c>
      <c r="W33" s="63"/>
      <c r="X33" s="64"/>
      <c r="Y33" s="25"/>
    </row>
    <row r="34" ht="25" customHeight="1" spans="1:25">
      <c r="A34" s="134">
        <v>45775</v>
      </c>
      <c r="B34" s="135"/>
      <c r="C34" s="25">
        <v>8183</v>
      </c>
      <c r="D34" s="25">
        <v>7955</v>
      </c>
      <c r="E34" s="25"/>
      <c r="F34" s="25">
        <v>228</v>
      </c>
      <c r="G34" s="26">
        <f t="shared" si="2"/>
        <v>2.78626420628132</v>
      </c>
      <c r="H34" s="25">
        <v>50</v>
      </c>
      <c r="I34" s="25">
        <v>17</v>
      </c>
      <c r="J34" s="25">
        <v>161</v>
      </c>
      <c r="K34" s="25"/>
      <c r="L34" s="25"/>
      <c r="M34" s="44"/>
      <c r="N34" s="25">
        <v>7955</v>
      </c>
      <c r="O34" s="25">
        <v>7640</v>
      </c>
      <c r="P34" s="25">
        <v>481</v>
      </c>
      <c r="Q34" s="25">
        <v>315</v>
      </c>
      <c r="R34" s="26">
        <f t="shared" si="3"/>
        <v>3.95977372721559</v>
      </c>
      <c r="S34" s="25">
        <v>237</v>
      </c>
      <c r="T34" s="25"/>
      <c r="U34" s="25"/>
      <c r="V34" s="25">
        <v>78</v>
      </c>
      <c r="W34" s="63"/>
      <c r="X34" s="64"/>
      <c r="Y34" s="25"/>
    </row>
    <row r="35" ht="25" customHeight="1" spans="1:25">
      <c r="A35" s="134">
        <v>45776</v>
      </c>
      <c r="B35" s="135"/>
      <c r="C35" s="25">
        <v>8788</v>
      </c>
      <c r="D35" s="25">
        <v>8723</v>
      </c>
      <c r="E35" s="25"/>
      <c r="F35" s="25">
        <v>65</v>
      </c>
      <c r="G35" s="26">
        <f t="shared" si="2"/>
        <v>0.739644970414201</v>
      </c>
      <c r="H35" s="25">
        <v>22</v>
      </c>
      <c r="I35" s="25">
        <v>16</v>
      </c>
      <c r="J35" s="25">
        <v>27</v>
      </c>
      <c r="K35" s="25"/>
      <c r="L35" s="25"/>
      <c r="M35" s="44"/>
      <c r="N35" s="25">
        <v>8723</v>
      </c>
      <c r="O35" s="25">
        <v>8597</v>
      </c>
      <c r="P35" s="25">
        <v>126</v>
      </c>
      <c r="Q35" s="25"/>
      <c r="R35" s="26">
        <f t="shared" si="3"/>
        <v>0</v>
      </c>
      <c r="S35" s="25">
        <v>73</v>
      </c>
      <c r="T35" s="25"/>
      <c r="U35" s="25"/>
      <c r="V35" s="25">
        <v>53</v>
      </c>
      <c r="W35" s="63"/>
      <c r="X35" s="64"/>
      <c r="Y35" s="25"/>
    </row>
    <row r="36" ht="25" customHeight="1" spans="1:25">
      <c r="A36" s="134">
        <v>45777</v>
      </c>
      <c r="B36" s="135"/>
      <c r="C36" s="25">
        <v>7811</v>
      </c>
      <c r="D36" s="25">
        <v>7698</v>
      </c>
      <c r="E36" s="25"/>
      <c r="F36" s="25">
        <v>113</v>
      </c>
      <c r="G36" s="26">
        <f t="shared" si="2"/>
        <v>1.44667776213033</v>
      </c>
      <c r="H36" s="25">
        <v>57</v>
      </c>
      <c r="I36" s="25">
        <v>6</v>
      </c>
      <c r="J36" s="25">
        <v>50</v>
      </c>
      <c r="K36" s="25"/>
      <c r="L36" s="63"/>
      <c r="M36" s="304"/>
      <c r="N36" s="64">
        <v>7698</v>
      </c>
      <c r="O36" s="25">
        <v>7570</v>
      </c>
      <c r="P36" s="25">
        <v>612</v>
      </c>
      <c r="Q36" s="25">
        <v>128</v>
      </c>
      <c r="R36" s="26">
        <f t="shared" si="3"/>
        <v>1.66276955053261</v>
      </c>
      <c r="S36" s="25">
        <v>88</v>
      </c>
      <c r="T36" s="25"/>
      <c r="U36" s="25"/>
      <c r="V36" s="25">
        <v>40</v>
      </c>
      <c r="W36" s="63"/>
      <c r="X36" s="64"/>
      <c r="Y36" s="25"/>
    </row>
    <row r="37" ht="28" customHeight="1" spans="1:25">
      <c r="A37" s="28" t="s">
        <v>24</v>
      </c>
      <c r="B37" s="28"/>
      <c r="C37" s="29">
        <f>SUM(C11:C36)</f>
        <v>216095</v>
      </c>
      <c r="D37" s="29">
        <f>SUM(D11:D36)</f>
        <v>214182</v>
      </c>
      <c r="E37" s="29"/>
      <c r="F37" s="29">
        <f>SUM(F11:F36)</f>
        <v>1910</v>
      </c>
      <c r="G37" s="28"/>
      <c r="H37" s="29">
        <f>SUM(H11:H36)</f>
        <v>1064</v>
      </c>
      <c r="I37" s="29">
        <f>SUM(I11:I36)</f>
        <v>141</v>
      </c>
      <c r="J37" s="29">
        <f>SUM(J11:J36)</f>
        <v>705</v>
      </c>
      <c r="K37" s="45"/>
      <c r="L37" s="305"/>
      <c r="M37" s="306"/>
      <c r="N37" s="68">
        <f t="shared" ref="N37:X37" si="4">SUM(N11:N36)</f>
        <v>214182</v>
      </c>
      <c r="O37" s="29">
        <f t="shared" si="4"/>
        <v>196555</v>
      </c>
      <c r="P37" s="29">
        <f t="shared" si="4"/>
        <v>9836</v>
      </c>
      <c r="Q37" s="29">
        <f t="shared" si="4"/>
        <v>4181</v>
      </c>
      <c r="R37" s="29"/>
      <c r="S37" s="29">
        <f t="shared" si="4"/>
        <v>1566</v>
      </c>
      <c r="T37" s="29">
        <f t="shared" si="4"/>
        <v>305</v>
      </c>
      <c r="U37" s="29">
        <f t="shared" si="4"/>
        <v>0</v>
      </c>
      <c r="V37" s="29">
        <f t="shared" si="4"/>
        <v>2417</v>
      </c>
      <c r="W37" s="67">
        <f t="shared" si="4"/>
        <v>18</v>
      </c>
      <c r="X37" s="68"/>
      <c r="Y37" s="45"/>
    </row>
    <row r="38" ht="35" customHeight="1" spans="1:25">
      <c r="A38" s="30" t="s">
        <v>25</v>
      </c>
      <c r="B38" s="31"/>
      <c r="C38" s="32"/>
      <c r="D38" s="33">
        <f>D37/C37*100</f>
        <v>99.1147412017862</v>
      </c>
      <c r="E38" s="33"/>
      <c r="F38" s="33">
        <f>F37/C37*100</f>
        <v>0.883870519910225</v>
      </c>
      <c r="G38" s="33"/>
      <c r="H38" s="33">
        <f>H37/C37*100</f>
        <v>0.492376038316481</v>
      </c>
      <c r="I38" s="33">
        <f>I37/C37*100</f>
        <v>0.0652490802656239</v>
      </c>
      <c r="J38" s="47">
        <f>J37/C37*100</f>
        <v>0.32624540132812</v>
      </c>
      <c r="K38" s="47"/>
      <c r="L38" s="69"/>
      <c r="M38" s="307"/>
      <c r="N38" s="308"/>
      <c r="O38" s="47">
        <f>O37/N37*100</f>
        <v>91.770083387026</v>
      </c>
      <c r="P38" s="47">
        <f>P37/N37*100</f>
        <v>4.59235603365362</v>
      </c>
      <c r="Q38" s="47">
        <f>Q37/N37*100</f>
        <v>1.95207813915268</v>
      </c>
      <c r="R38" s="47"/>
      <c r="S38" s="47">
        <f>S37/N37*100</f>
        <v>0.731153878477183</v>
      </c>
      <c r="T38" s="47">
        <f>T37/N37*100</f>
        <v>0.14240225602525</v>
      </c>
      <c r="U38" s="47">
        <f>U37/N37*100</f>
        <v>0</v>
      </c>
      <c r="V38" s="47"/>
      <c r="W38" s="69">
        <f>W37/N37*100</f>
        <v>0.00840406756870325</v>
      </c>
      <c r="X38" s="70"/>
      <c r="Y38" s="47"/>
    </row>
    <row r="39" ht="74" customHeight="1"/>
    <row r="40" spans="2:5">
      <c r="B40" s="34"/>
      <c r="C40" s="34"/>
      <c r="D40" s="34"/>
      <c r="E40" s="34"/>
    </row>
    <row r="41" spans="2:5">
      <c r="B41" s="34"/>
      <c r="C41" s="34"/>
      <c r="D41" s="34"/>
      <c r="E41" s="34"/>
    </row>
    <row r="43" ht="28.5" spans="3:12">
      <c r="C43" s="35"/>
      <c r="D43" s="35"/>
      <c r="E43" s="35"/>
      <c r="F43" s="35"/>
      <c r="G43" s="35"/>
      <c r="H43" s="35"/>
      <c r="I43" s="35"/>
      <c r="J43" s="35"/>
      <c r="K43" s="35"/>
      <c r="L43" s="35"/>
    </row>
    <row r="44" ht="28.5" spans="3:12">
      <c r="C44" s="35"/>
      <c r="D44" s="35"/>
      <c r="E44" s="35"/>
      <c r="F44" s="35"/>
      <c r="G44" s="35"/>
      <c r="H44" s="35"/>
      <c r="I44" s="35"/>
      <c r="J44" s="35"/>
      <c r="K44" s="35"/>
      <c r="L44" s="35"/>
    </row>
    <row r="47" spans="2:3">
      <c r="B47" s="36" t="s">
        <v>26</v>
      </c>
      <c r="C47" s="36"/>
    </row>
    <row r="48" spans="2:3">
      <c r="B48" s="37" t="s">
        <v>16</v>
      </c>
      <c r="C48" s="38">
        <f>H37</f>
        <v>1064</v>
      </c>
    </row>
    <row r="49" spans="2:3">
      <c r="B49" s="37" t="s">
        <v>27</v>
      </c>
      <c r="C49" s="38">
        <f>I37</f>
        <v>141</v>
      </c>
    </row>
    <row r="50" spans="2:3">
      <c r="B50" s="37" t="s">
        <v>18</v>
      </c>
      <c r="C50" s="38">
        <f>J37</f>
        <v>705</v>
      </c>
    </row>
    <row r="51" spans="2:3">
      <c r="B51" s="37" t="s">
        <v>28</v>
      </c>
      <c r="C51" s="39">
        <f>SUM(C48:C50)</f>
        <v>1910</v>
      </c>
    </row>
    <row r="52" spans="2:2">
      <c r="B52" s="40"/>
    </row>
    <row r="53" spans="2:3">
      <c r="B53" s="36" t="s">
        <v>29</v>
      </c>
      <c r="C53" s="36"/>
    </row>
    <row r="54" spans="2:3">
      <c r="B54" s="37" t="s">
        <v>18</v>
      </c>
      <c r="C54" s="38">
        <f>S37</f>
        <v>1566</v>
      </c>
    </row>
    <row r="55" spans="2:3">
      <c r="B55" s="37" t="s">
        <v>21</v>
      </c>
      <c r="C55" s="38">
        <f>T37</f>
        <v>305</v>
      </c>
    </row>
    <row r="56" spans="2:3">
      <c r="B56" s="37" t="s">
        <v>22</v>
      </c>
      <c r="C56" s="38">
        <f>U37</f>
        <v>0</v>
      </c>
    </row>
    <row r="57" spans="2:3">
      <c r="B57" s="37" t="s">
        <v>23</v>
      </c>
      <c r="C57" s="38">
        <f>V37</f>
        <v>2417</v>
      </c>
    </row>
    <row r="58" spans="2:3">
      <c r="B58" s="37" t="s">
        <v>19</v>
      </c>
      <c r="C58" s="38">
        <f>W37</f>
        <v>18</v>
      </c>
    </row>
    <row r="59" spans="2:3">
      <c r="B59" s="37" t="s">
        <v>28</v>
      </c>
      <c r="C59" s="39">
        <f>SUM(C54:C58)</f>
        <v>4306</v>
      </c>
    </row>
  </sheetData>
  <mergeCells count="92">
    <mergeCell ref="V3:W3"/>
    <mergeCell ref="X3:Y3"/>
    <mergeCell ref="V4:W4"/>
    <mergeCell ref="X4:Y4"/>
    <mergeCell ref="C5:U5"/>
    <mergeCell ref="V5:Y5"/>
    <mergeCell ref="A7:L7"/>
    <mergeCell ref="N7:Y7"/>
    <mergeCell ref="A11:B11"/>
    <mergeCell ref="W11:X11"/>
    <mergeCell ref="A12:B12"/>
    <mergeCell ref="W12:X12"/>
    <mergeCell ref="A13:B13"/>
    <mergeCell ref="W13:X13"/>
    <mergeCell ref="A14:B14"/>
    <mergeCell ref="W14:X14"/>
    <mergeCell ref="A15:B15"/>
    <mergeCell ref="W15:X15"/>
    <mergeCell ref="A16:B16"/>
    <mergeCell ref="W16:X16"/>
    <mergeCell ref="A17:B17"/>
    <mergeCell ref="W17:X17"/>
    <mergeCell ref="A18:B18"/>
    <mergeCell ref="W18:X18"/>
    <mergeCell ref="A19:B19"/>
    <mergeCell ref="W19:X19"/>
    <mergeCell ref="A20:B20"/>
    <mergeCell ref="W20:X20"/>
    <mergeCell ref="A21:B21"/>
    <mergeCell ref="W21:X21"/>
    <mergeCell ref="A22:B22"/>
    <mergeCell ref="W22:X22"/>
    <mergeCell ref="A23:B23"/>
    <mergeCell ref="W23:X23"/>
    <mergeCell ref="A24:B24"/>
    <mergeCell ref="W24:X24"/>
    <mergeCell ref="A25:B25"/>
    <mergeCell ref="W25:X25"/>
    <mergeCell ref="A26:B26"/>
    <mergeCell ref="W26:X26"/>
    <mergeCell ref="A27:B27"/>
    <mergeCell ref="W27:X27"/>
    <mergeCell ref="A28:B28"/>
    <mergeCell ref="W28:X28"/>
    <mergeCell ref="A29:B29"/>
    <mergeCell ref="W29:X29"/>
    <mergeCell ref="A30:B30"/>
    <mergeCell ref="W30:X30"/>
    <mergeCell ref="A31:B31"/>
    <mergeCell ref="W31:X31"/>
    <mergeCell ref="A32:B32"/>
    <mergeCell ref="W32:X32"/>
    <mergeCell ref="A33:B33"/>
    <mergeCell ref="W33:X33"/>
    <mergeCell ref="A34:B34"/>
    <mergeCell ref="W34:X34"/>
    <mergeCell ref="A35:B35"/>
    <mergeCell ref="W35:X35"/>
    <mergeCell ref="A36:B36"/>
    <mergeCell ref="W36:X36"/>
    <mergeCell ref="A37:B37"/>
    <mergeCell ref="W37:X37"/>
    <mergeCell ref="A38:C38"/>
    <mergeCell ref="W38:X38"/>
    <mergeCell ref="B47:C47"/>
    <mergeCell ref="B53:C53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Y8:Y10"/>
    <mergeCell ref="A1:B5"/>
    <mergeCell ref="A8:B10"/>
    <mergeCell ref="W8:X10"/>
    <mergeCell ref="V1:W2"/>
    <mergeCell ref="X1:Y2"/>
    <mergeCell ref="C1:U4"/>
  </mergeCells>
  <pageMargins left="0.251388888888889" right="0.251388888888889" top="0.251388888888889" bottom="0.251388888888889" header="0.298611111111111" footer="0.298611111111111"/>
  <pageSetup paperSize="9" scale="6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62"/>
  <sheetViews>
    <sheetView zoomScale="85" zoomScaleNormal="85" zoomScalePageLayoutView="80" zoomScaleSheetLayoutView="70" topLeftCell="A15" workbookViewId="0">
      <selection activeCell="R15" sqref="R15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5.20952380952381" customWidth="1"/>
    <col min="4" max="4" width="7.73333333333333" customWidth="1"/>
    <col min="5" max="5" width="13.7142857142857" customWidth="1"/>
    <col min="6" max="6" width="11.5714285714286" customWidth="1"/>
    <col min="7" max="7" width="8.85714285714286" customWidth="1"/>
    <col min="8" max="8" width="10.5714285714286" customWidth="1"/>
    <col min="9" max="9" width="8.57142857142857" customWidth="1"/>
    <col min="10" max="10" width="9.57142857142857" customWidth="1"/>
    <col min="11" max="11" width="10.4285714285714" customWidth="1"/>
    <col min="12" max="12" width="9.28571428571429" customWidth="1"/>
    <col min="13" max="13" width="9.85714285714286" customWidth="1"/>
    <col min="14" max="14" width="3.25714285714286" customWidth="1"/>
    <col min="15" max="15" width="9.14285714285714" customWidth="1"/>
    <col min="16" max="16" width="10.4285714285714" customWidth="1"/>
    <col min="17" max="17" width="12.4285714285714" customWidth="1"/>
    <col min="18" max="18" width="7.57142857142857" customWidth="1"/>
    <col min="19" max="19" width="8.85714285714286" customWidth="1"/>
    <col min="20" max="20" width="10.5714285714286" customWidth="1"/>
    <col min="21" max="21" width="9.57142857142857" customWidth="1"/>
    <col min="22" max="22" width="6.85714285714286" customWidth="1"/>
    <col min="23" max="23" width="8.14285714285714" customWidth="1"/>
    <col min="24" max="24" width="11.4285714285714" customWidth="1"/>
    <col min="25" max="25" width="7.20952380952381" customWidth="1"/>
    <col min="26" max="26" width="7.14285714285714" customWidth="1"/>
    <col min="27" max="27" width="9.85714285714286" customWidth="1"/>
    <col min="28" max="33" width="6.71428571428571" customWidth="1"/>
  </cols>
  <sheetData>
    <row r="1" spans="1:27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0"/>
      <c r="X1" s="296" t="s">
        <v>1</v>
      </c>
      <c r="Y1" s="298"/>
      <c r="Z1" s="191" t="s">
        <v>2</v>
      </c>
      <c r="AA1" s="191"/>
    </row>
    <row r="2" ht="23" customHeight="1" spans="1:27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4"/>
      <c r="X2" s="297"/>
      <c r="Y2" s="299"/>
      <c r="Z2" s="191"/>
      <c r="AA2" s="191"/>
    </row>
    <row r="3" ht="26" customHeight="1" spans="1:27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4"/>
      <c r="X3" s="194" t="s">
        <v>31</v>
      </c>
      <c r="Y3" s="195"/>
      <c r="Z3" s="191" t="s">
        <v>4</v>
      </c>
      <c r="AA3" s="191"/>
    </row>
    <row r="4" ht="24" customHeight="1" spans="1:27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59"/>
      <c r="X4" s="194" t="s">
        <v>32</v>
      </c>
      <c r="Y4" s="195"/>
      <c r="Z4" s="196">
        <v>45633</v>
      </c>
      <c r="AA4" s="196"/>
    </row>
    <row r="5" ht="19" customHeight="1" spans="1:27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119"/>
      <c r="X5" s="197" t="s">
        <v>7</v>
      </c>
      <c r="Y5" s="197"/>
      <c r="Z5" s="197"/>
      <c r="AA5" s="198"/>
    </row>
    <row r="6" ht="20" customHeight="1" spans="1:33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12"/>
      <c r="AC6" s="12"/>
      <c r="AD6" s="12"/>
      <c r="AE6" s="12"/>
      <c r="AF6" s="12"/>
      <c r="AG6" s="12"/>
    </row>
    <row r="7" ht="21" customHeight="1" spans="1:33">
      <c r="A7" s="125" t="s">
        <v>8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280"/>
      <c r="N7" s="291"/>
      <c r="O7" s="84" t="s">
        <v>9</v>
      </c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72"/>
      <c r="AC7" s="72"/>
      <c r="AD7" s="72"/>
      <c r="AE7" s="72"/>
      <c r="AF7" s="72"/>
      <c r="AG7" s="73"/>
    </row>
    <row r="8" ht="15.75" spans="1:27">
      <c r="A8" s="128" t="s">
        <v>10</v>
      </c>
      <c r="B8" s="129"/>
      <c r="C8" s="266" t="s">
        <v>11</v>
      </c>
      <c r="D8" s="267"/>
      <c r="E8" s="85" t="s">
        <v>12</v>
      </c>
      <c r="F8" s="85" t="s">
        <v>13</v>
      </c>
      <c r="G8" s="86" t="s">
        <v>14</v>
      </c>
      <c r="H8" s="86" t="s">
        <v>15</v>
      </c>
      <c r="I8" s="86" t="s">
        <v>16</v>
      </c>
      <c r="J8" s="86" t="s">
        <v>17</v>
      </c>
      <c r="K8" s="85" t="s">
        <v>18</v>
      </c>
      <c r="L8" s="85" t="s">
        <v>19</v>
      </c>
      <c r="M8" s="85" t="s">
        <v>20</v>
      </c>
      <c r="N8" s="292"/>
      <c r="O8" s="266" t="s">
        <v>11</v>
      </c>
      <c r="P8" s="267"/>
      <c r="Q8" s="86" t="s">
        <v>12</v>
      </c>
      <c r="R8" s="86" t="s">
        <v>13</v>
      </c>
      <c r="S8" s="86" t="s">
        <v>14</v>
      </c>
      <c r="T8" s="86" t="s">
        <v>15</v>
      </c>
      <c r="U8" s="86" t="s">
        <v>18</v>
      </c>
      <c r="V8" s="86" t="s">
        <v>21</v>
      </c>
      <c r="W8" s="86" t="s">
        <v>22</v>
      </c>
      <c r="X8" s="86" t="s">
        <v>23</v>
      </c>
      <c r="Y8" s="128" t="s">
        <v>19</v>
      </c>
      <c r="Z8" s="129"/>
      <c r="AA8" s="85" t="s">
        <v>20</v>
      </c>
    </row>
    <row r="9" ht="15.75" spans="1:27">
      <c r="A9" s="130"/>
      <c r="B9" s="131"/>
      <c r="C9" s="268"/>
      <c r="D9" s="269"/>
      <c r="E9" s="85"/>
      <c r="F9" s="85"/>
      <c r="G9" s="86"/>
      <c r="H9" s="86"/>
      <c r="I9" s="86"/>
      <c r="J9" s="86"/>
      <c r="K9" s="85"/>
      <c r="L9" s="85"/>
      <c r="M9" s="85"/>
      <c r="N9" s="292"/>
      <c r="O9" s="268"/>
      <c r="P9" s="269"/>
      <c r="Q9" s="86"/>
      <c r="R9" s="86"/>
      <c r="S9" s="86"/>
      <c r="T9" s="86"/>
      <c r="U9" s="86"/>
      <c r="V9" s="86"/>
      <c r="W9" s="86"/>
      <c r="X9" s="86"/>
      <c r="Y9" s="130"/>
      <c r="Z9" s="131"/>
      <c r="AA9" s="85"/>
    </row>
    <row r="10" ht="15.75" spans="1:27">
      <c r="A10" s="132"/>
      <c r="B10" s="133"/>
      <c r="C10" s="282"/>
      <c r="D10" s="283"/>
      <c r="E10" s="85"/>
      <c r="F10" s="85"/>
      <c r="G10" s="86"/>
      <c r="H10" s="86"/>
      <c r="I10" s="86"/>
      <c r="J10" s="86"/>
      <c r="K10" s="85"/>
      <c r="L10" s="85"/>
      <c r="M10" s="85"/>
      <c r="N10" s="292"/>
      <c r="O10" s="282"/>
      <c r="P10" s="283"/>
      <c r="Q10" s="86"/>
      <c r="R10" s="86"/>
      <c r="S10" s="86"/>
      <c r="T10" s="86"/>
      <c r="U10" s="86"/>
      <c r="V10" s="86"/>
      <c r="W10" s="86"/>
      <c r="X10" s="86"/>
      <c r="Y10" s="132"/>
      <c r="Z10" s="133"/>
      <c r="AA10" s="85"/>
    </row>
    <row r="11" ht="25" customHeight="1" spans="1:27">
      <c r="A11" s="134">
        <v>45778</v>
      </c>
      <c r="B11" s="135"/>
      <c r="C11" s="63">
        <v>6229</v>
      </c>
      <c r="D11" s="64"/>
      <c r="E11" s="25">
        <v>6123</v>
      </c>
      <c r="F11" s="25"/>
      <c r="G11" s="25">
        <v>106</v>
      </c>
      <c r="H11" s="26">
        <f>G11/C11*100</f>
        <v>1.70171777171296</v>
      </c>
      <c r="I11" s="25">
        <v>78</v>
      </c>
      <c r="J11" s="25">
        <v>2</v>
      </c>
      <c r="K11" s="25">
        <v>26</v>
      </c>
      <c r="L11" s="25"/>
      <c r="M11" s="25"/>
      <c r="N11" s="293"/>
      <c r="O11" s="63">
        <v>6125</v>
      </c>
      <c r="P11" s="64"/>
      <c r="Q11" s="25">
        <v>6000</v>
      </c>
      <c r="R11" s="25">
        <v>1633</v>
      </c>
      <c r="S11" s="25">
        <v>123</v>
      </c>
      <c r="T11" s="26">
        <f>S11/O11*100</f>
        <v>2.00816326530612</v>
      </c>
      <c r="U11" s="25">
        <v>95</v>
      </c>
      <c r="V11" s="25">
        <v>11</v>
      </c>
      <c r="W11" s="25"/>
      <c r="X11" s="25">
        <v>17</v>
      </c>
      <c r="Y11" s="63"/>
      <c r="Z11" s="64"/>
      <c r="AA11" s="25"/>
    </row>
    <row r="12" ht="25" customHeight="1" spans="1:27">
      <c r="A12" s="134">
        <v>45779</v>
      </c>
      <c r="B12" s="135"/>
      <c r="C12" s="63">
        <v>4208</v>
      </c>
      <c r="D12" s="64"/>
      <c r="E12" s="25">
        <v>4188</v>
      </c>
      <c r="F12" s="25"/>
      <c r="G12" s="25">
        <v>20</v>
      </c>
      <c r="H12" s="26">
        <f>G12/C12*100</f>
        <v>0.475285171102662</v>
      </c>
      <c r="I12" s="25">
        <v>15</v>
      </c>
      <c r="J12" s="25">
        <v>1</v>
      </c>
      <c r="K12" s="25">
        <v>4</v>
      </c>
      <c r="L12" s="25"/>
      <c r="M12" s="25"/>
      <c r="N12" s="293"/>
      <c r="O12" s="63">
        <v>4188</v>
      </c>
      <c r="P12" s="64"/>
      <c r="Q12" s="25">
        <v>4138</v>
      </c>
      <c r="R12" s="25">
        <v>18</v>
      </c>
      <c r="S12" s="25">
        <v>22</v>
      </c>
      <c r="T12" s="26">
        <f>S12/O12*100</f>
        <v>0.52531041069723</v>
      </c>
      <c r="U12" s="25">
        <v>9</v>
      </c>
      <c r="V12" s="25"/>
      <c r="W12" s="25"/>
      <c r="X12" s="25">
        <v>13</v>
      </c>
      <c r="Y12" s="63"/>
      <c r="Z12" s="64"/>
      <c r="AA12" s="25"/>
    </row>
    <row r="13" ht="25" customHeight="1" spans="1:27">
      <c r="A13" s="134">
        <v>45780</v>
      </c>
      <c r="B13" s="135"/>
      <c r="C13" s="161">
        <v>6642</v>
      </c>
      <c r="D13" s="221"/>
      <c r="E13" s="162">
        <v>6591</v>
      </c>
      <c r="F13" s="162"/>
      <c r="G13" s="162">
        <v>51</v>
      </c>
      <c r="H13" s="144">
        <f>G13/C13*100</f>
        <v>0.767841011743451</v>
      </c>
      <c r="I13" s="162">
        <v>35</v>
      </c>
      <c r="J13" s="162">
        <v>8</v>
      </c>
      <c r="K13" s="162">
        <v>8</v>
      </c>
      <c r="L13" s="162"/>
      <c r="M13" s="162"/>
      <c r="N13" s="293"/>
      <c r="O13" s="161">
        <v>6591</v>
      </c>
      <c r="P13" s="221"/>
      <c r="Q13" s="162">
        <v>6570</v>
      </c>
      <c r="R13" s="162">
        <v>968</v>
      </c>
      <c r="S13" s="162">
        <v>21</v>
      </c>
      <c r="T13" s="144">
        <f>S13/O13*100</f>
        <v>0.318616294947656</v>
      </c>
      <c r="U13" s="162">
        <v>9</v>
      </c>
      <c r="V13" s="162"/>
      <c r="W13" s="162"/>
      <c r="X13" s="162">
        <v>12</v>
      </c>
      <c r="Y13" s="161"/>
      <c r="Z13" s="221"/>
      <c r="AA13" s="162"/>
    </row>
    <row r="14" ht="25" customHeight="1" spans="1:27">
      <c r="A14" s="284">
        <v>45781</v>
      </c>
      <c r="B14" s="285"/>
      <c r="C14" s="286" t="s">
        <v>34</v>
      </c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</row>
    <row r="15" ht="25" customHeight="1" spans="1:27">
      <c r="A15" s="134">
        <v>45782</v>
      </c>
      <c r="B15" s="135"/>
      <c r="C15" s="212">
        <v>5847</v>
      </c>
      <c r="D15" s="216"/>
      <c r="E15" s="213">
        <v>5698</v>
      </c>
      <c r="F15" s="213"/>
      <c r="G15" s="213">
        <v>149</v>
      </c>
      <c r="H15" s="157">
        <f t="shared" ref="H15:H23" si="0">G15/C15*100</f>
        <v>2.54831537540619</v>
      </c>
      <c r="I15" s="213">
        <v>79</v>
      </c>
      <c r="J15" s="213">
        <v>24</v>
      </c>
      <c r="K15" s="213">
        <v>46</v>
      </c>
      <c r="L15" s="213"/>
      <c r="M15" s="213"/>
      <c r="N15" s="293"/>
      <c r="O15" s="212">
        <v>5698</v>
      </c>
      <c r="P15" s="216"/>
      <c r="Q15" s="213">
        <v>5555</v>
      </c>
      <c r="R15" s="213"/>
      <c r="S15" s="213">
        <v>143</v>
      </c>
      <c r="T15" s="157">
        <f t="shared" ref="T15:T22" si="1">S15/O15*100</f>
        <v>2.50965250965251</v>
      </c>
      <c r="U15" s="213">
        <v>96</v>
      </c>
      <c r="V15" s="213"/>
      <c r="W15" s="213"/>
      <c r="X15" s="213">
        <v>47</v>
      </c>
      <c r="Y15" s="212"/>
      <c r="Z15" s="216"/>
      <c r="AA15" s="213"/>
    </row>
    <row r="16" ht="25" customHeight="1" spans="1:27">
      <c r="A16" s="134">
        <v>45783</v>
      </c>
      <c r="B16" s="135"/>
      <c r="C16" s="63">
        <v>6490</v>
      </c>
      <c r="D16" s="64"/>
      <c r="E16" s="25">
        <v>6397</v>
      </c>
      <c r="F16" s="25"/>
      <c r="G16" s="25">
        <v>93</v>
      </c>
      <c r="H16" s="26">
        <f t="shared" si="0"/>
        <v>1.43297380585516</v>
      </c>
      <c r="I16" s="25">
        <v>52</v>
      </c>
      <c r="J16" s="25">
        <v>18</v>
      </c>
      <c r="K16" s="25">
        <v>23</v>
      </c>
      <c r="L16" s="25"/>
      <c r="M16" s="25"/>
      <c r="N16" s="293"/>
      <c r="O16" s="63">
        <v>6397</v>
      </c>
      <c r="P16" s="64"/>
      <c r="Q16" s="25">
        <v>6243</v>
      </c>
      <c r="R16" s="25"/>
      <c r="S16" s="25">
        <v>154</v>
      </c>
      <c r="T16" s="26">
        <f t="shared" si="1"/>
        <v>2.40737845865249</v>
      </c>
      <c r="U16" s="25">
        <v>78</v>
      </c>
      <c r="V16" s="25"/>
      <c r="W16" s="25"/>
      <c r="X16" s="25">
        <v>61</v>
      </c>
      <c r="Y16" s="63">
        <v>15</v>
      </c>
      <c r="Z16" s="64"/>
      <c r="AA16" s="25"/>
    </row>
    <row r="17" ht="25" customHeight="1" spans="1:27">
      <c r="A17" s="134">
        <v>45784</v>
      </c>
      <c r="B17" s="135"/>
      <c r="C17" s="63">
        <v>7268</v>
      </c>
      <c r="D17" s="64"/>
      <c r="E17" s="25">
        <v>7164</v>
      </c>
      <c r="F17" s="25"/>
      <c r="G17" s="25">
        <v>104</v>
      </c>
      <c r="H17" s="26">
        <f t="shared" si="0"/>
        <v>1.43093010456797</v>
      </c>
      <c r="I17" s="25">
        <v>70</v>
      </c>
      <c r="J17" s="25">
        <v>2</v>
      </c>
      <c r="K17" s="25">
        <v>32</v>
      </c>
      <c r="L17" s="25"/>
      <c r="M17" s="25"/>
      <c r="N17" s="293"/>
      <c r="O17" s="63">
        <v>7164</v>
      </c>
      <c r="P17" s="64"/>
      <c r="Q17" s="25">
        <v>7025</v>
      </c>
      <c r="R17" s="25"/>
      <c r="S17" s="25">
        <v>79</v>
      </c>
      <c r="T17" s="26">
        <f t="shared" si="1"/>
        <v>1.10273590173088</v>
      </c>
      <c r="U17" s="25">
        <v>55</v>
      </c>
      <c r="V17" s="25"/>
      <c r="W17" s="25"/>
      <c r="X17" s="25">
        <v>24</v>
      </c>
      <c r="Y17" s="63"/>
      <c r="Z17" s="64"/>
      <c r="AA17" s="25"/>
    </row>
    <row r="18" ht="25" customHeight="1" spans="1:27">
      <c r="A18" s="134">
        <v>45785</v>
      </c>
      <c r="B18" s="135"/>
      <c r="C18" s="63">
        <v>7808</v>
      </c>
      <c r="D18" s="64"/>
      <c r="E18" s="25">
        <v>7747</v>
      </c>
      <c r="F18" s="25"/>
      <c r="G18" s="25">
        <v>61</v>
      </c>
      <c r="H18" s="26">
        <f t="shared" si="0"/>
        <v>0.78125</v>
      </c>
      <c r="I18" s="25">
        <v>39</v>
      </c>
      <c r="J18" s="25">
        <v>12</v>
      </c>
      <c r="K18" s="25">
        <v>10</v>
      </c>
      <c r="L18" s="25"/>
      <c r="M18" s="25"/>
      <c r="N18" s="293"/>
      <c r="O18" s="63">
        <v>7747</v>
      </c>
      <c r="P18" s="64"/>
      <c r="Q18" s="25">
        <v>7666</v>
      </c>
      <c r="R18" s="25"/>
      <c r="S18" s="25">
        <v>81</v>
      </c>
      <c r="T18" s="26">
        <f t="shared" si="1"/>
        <v>1.04556602555828</v>
      </c>
      <c r="U18" s="25">
        <v>60</v>
      </c>
      <c r="V18" s="25"/>
      <c r="W18" s="25"/>
      <c r="X18" s="25">
        <v>21</v>
      </c>
      <c r="Y18" s="63"/>
      <c r="Z18" s="64"/>
      <c r="AA18" s="25"/>
    </row>
    <row r="19" ht="25" customHeight="1" spans="1:27">
      <c r="A19" s="134">
        <v>45786</v>
      </c>
      <c r="B19" s="135"/>
      <c r="C19" s="63">
        <v>7976</v>
      </c>
      <c r="D19" s="64"/>
      <c r="E19" s="25">
        <v>7917</v>
      </c>
      <c r="F19" s="25"/>
      <c r="G19" s="25">
        <v>59</v>
      </c>
      <c r="H19" s="26">
        <f t="shared" si="0"/>
        <v>0.739719157472417</v>
      </c>
      <c r="I19" s="25">
        <v>43</v>
      </c>
      <c r="J19" s="25">
        <v>10</v>
      </c>
      <c r="K19" s="25">
        <v>6</v>
      </c>
      <c r="L19" s="25"/>
      <c r="M19" s="25"/>
      <c r="N19" s="293"/>
      <c r="O19" s="63">
        <v>7917</v>
      </c>
      <c r="P19" s="64"/>
      <c r="Q19" s="25">
        <v>7879</v>
      </c>
      <c r="R19" s="25"/>
      <c r="S19" s="25">
        <v>38</v>
      </c>
      <c r="T19" s="26">
        <f t="shared" si="1"/>
        <v>0.479979790324618</v>
      </c>
      <c r="U19" s="25">
        <v>24</v>
      </c>
      <c r="V19" s="25">
        <v>4</v>
      </c>
      <c r="W19" s="25"/>
      <c r="X19" s="25">
        <v>19</v>
      </c>
      <c r="Y19" s="63"/>
      <c r="Z19" s="64"/>
      <c r="AA19" s="25"/>
    </row>
    <row r="20" ht="25" customHeight="1" spans="1:27">
      <c r="A20" s="134">
        <v>45787</v>
      </c>
      <c r="B20" s="135"/>
      <c r="C20" s="63">
        <v>9000</v>
      </c>
      <c r="D20" s="64"/>
      <c r="E20" s="25">
        <v>8994</v>
      </c>
      <c r="F20" s="25"/>
      <c r="G20" s="25">
        <v>6</v>
      </c>
      <c r="H20" s="26">
        <f t="shared" si="0"/>
        <v>0.0666666666666667</v>
      </c>
      <c r="I20" s="25">
        <v>5</v>
      </c>
      <c r="J20" s="25"/>
      <c r="K20" s="25">
        <v>1</v>
      </c>
      <c r="L20" s="25"/>
      <c r="M20" s="25"/>
      <c r="N20" s="293"/>
      <c r="O20" s="63">
        <v>8994</v>
      </c>
      <c r="P20" s="64"/>
      <c r="Q20" s="25">
        <v>8992</v>
      </c>
      <c r="R20" s="25"/>
      <c r="S20" s="25">
        <v>2</v>
      </c>
      <c r="T20" s="26">
        <f t="shared" si="1"/>
        <v>0.022237046920169</v>
      </c>
      <c r="U20" s="25">
        <v>2</v>
      </c>
      <c r="V20" s="25"/>
      <c r="W20" s="25"/>
      <c r="X20" s="25"/>
      <c r="Y20" s="63" t="s">
        <v>35</v>
      </c>
      <c r="Z20" s="64"/>
      <c r="AA20" s="25"/>
    </row>
    <row r="21" ht="25" customHeight="1" spans="1:27">
      <c r="A21" s="134">
        <v>45789</v>
      </c>
      <c r="B21" s="135"/>
      <c r="C21" s="63">
        <v>8485</v>
      </c>
      <c r="D21" s="64"/>
      <c r="E21" s="25">
        <v>8432</v>
      </c>
      <c r="F21" s="25"/>
      <c r="G21" s="25">
        <v>53</v>
      </c>
      <c r="H21" s="26">
        <f t="shared" si="0"/>
        <v>0.624631703005303</v>
      </c>
      <c r="I21" s="25">
        <v>29</v>
      </c>
      <c r="J21" s="25">
        <v>15</v>
      </c>
      <c r="K21" s="25">
        <v>9</v>
      </c>
      <c r="L21" s="25"/>
      <c r="M21" s="25"/>
      <c r="N21" s="293"/>
      <c r="O21" s="63">
        <v>8432</v>
      </c>
      <c r="P21" s="64"/>
      <c r="Q21" s="25">
        <v>8382</v>
      </c>
      <c r="R21" s="25"/>
      <c r="S21" s="25">
        <v>50</v>
      </c>
      <c r="T21" s="26">
        <f t="shared" si="1"/>
        <v>0.592979127134725</v>
      </c>
      <c r="U21" s="25"/>
      <c r="V21" s="25"/>
      <c r="W21" s="25"/>
      <c r="X21" s="25">
        <v>50</v>
      </c>
      <c r="Y21" s="63"/>
      <c r="Z21" s="64"/>
      <c r="AA21" s="25"/>
    </row>
    <row r="22" ht="25" customHeight="1" spans="1:27">
      <c r="A22" s="134">
        <v>45790</v>
      </c>
      <c r="B22" s="135"/>
      <c r="C22" s="63">
        <v>10218</v>
      </c>
      <c r="D22" s="64"/>
      <c r="E22" s="25">
        <v>10134</v>
      </c>
      <c r="F22" s="25"/>
      <c r="G22" s="25">
        <v>84</v>
      </c>
      <c r="H22" s="26">
        <f t="shared" si="0"/>
        <v>0.822078684674104</v>
      </c>
      <c r="I22" s="25">
        <v>46</v>
      </c>
      <c r="J22" s="25">
        <v>32</v>
      </c>
      <c r="K22" s="25">
        <v>6</v>
      </c>
      <c r="L22" s="25"/>
      <c r="M22" s="25"/>
      <c r="N22" s="293"/>
      <c r="O22" s="63">
        <v>10134</v>
      </c>
      <c r="P22" s="64"/>
      <c r="Q22" s="25">
        <v>10076</v>
      </c>
      <c r="R22" s="25"/>
      <c r="S22" s="25">
        <v>58</v>
      </c>
      <c r="T22" s="26">
        <f t="shared" si="1"/>
        <v>0.57233076771265</v>
      </c>
      <c r="U22" s="25">
        <v>51</v>
      </c>
      <c r="V22" s="25"/>
      <c r="W22" s="25"/>
      <c r="X22" s="25">
        <v>7</v>
      </c>
      <c r="Y22" s="63"/>
      <c r="Z22" s="64"/>
      <c r="AA22" s="25"/>
    </row>
    <row r="23" ht="25" customHeight="1" spans="1:27">
      <c r="A23" s="134">
        <v>45791</v>
      </c>
      <c r="B23" s="135"/>
      <c r="C23" s="63">
        <v>10056</v>
      </c>
      <c r="D23" s="64"/>
      <c r="E23" s="25">
        <v>9930</v>
      </c>
      <c r="F23" s="25"/>
      <c r="G23" s="25">
        <v>126</v>
      </c>
      <c r="H23" s="26">
        <f t="shared" si="0"/>
        <v>1.25298329355609</v>
      </c>
      <c r="I23" s="25">
        <v>101</v>
      </c>
      <c r="J23" s="25">
        <v>9</v>
      </c>
      <c r="K23" s="25">
        <v>16</v>
      </c>
      <c r="L23" s="25"/>
      <c r="M23" s="25"/>
      <c r="N23" s="293"/>
      <c r="O23" s="63">
        <v>9930</v>
      </c>
      <c r="P23" s="64"/>
      <c r="Q23" s="25">
        <v>9786</v>
      </c>
      <c r="R23" s="25"/>
      <c r="S23" s="25">
        <v>144</v>
      </c>
      <c r="T23" s="26">
        <f t="shared" ref="T23:T39" si="2">S23/O23*100</f>
        <v>1.45015105740181</v>
      </c>
      <c r="U23" s="25">
        <v>56</v>
      </c>
      <c r="V23" s="25"/>
      <c r="W23" s="25"/>
      <c r="X23" s="25">
        <v>88</v>
      </c>
      <c r="Y23" s="63"/>
      <c r="Z23" s="64"/>
      <c r="AA23" s="25"/>
    </row>
    <row r="24" ht="25" customHeight="1" spans="1:27">
      <c r="A24" s="134">
        <v>45792</v>
      </c>
      <c r="B24" s="135"/>
      <c r="C24" s="63">
        <v>11144</v>
      </c>
      <c r="D24" s="64"/>
      <c r="E24" s="25">
        <v>11047</v>
      </c>
      <c r="F24" s="25"/>
      <c r="G24" s="25">
        <v>97</v>
      </c>
      <c r="H24" s="26">
        <f t="shared" ref="H23:H39" si="3">G24/C24*100</f>
        <v>0.870423546302943</v>
      </c>
      <c r="I24" s="25">
        <v>68</v>
      </c>
      <c r="J24" s="25">
        <v>4</v>
      </c>
      <c r="K24" s="25">
        <v>25</v>
      </c>
      <c r="L24" s="25"/>
      <c r="M24" s="25"/>
      <c r="N24" s="293"/>
      <c r="O24" s="63">
        <v>11047</v>
      </c>
      <c r="P24" s="64"/>
      <c r="Q24" s="25">
        <v>10955</v>
      </c>
      <c r="R24" s="25"/>
      <c r="S24" s="25">
        <v>92</v>
      </c>
      <c r="T24" s="26">
        <f t="shared" si="2"/>
        <v>0.832805286503123</v>
      </c>
      <c r="U24" s="25">
        <v>39</v>
      </c>
      <c r="V24" s="25"/>
      <c r="W24" s="25"/>
      <c r="X24" s="25">
        <v>53</v>
      </c>
      <c r="Y24" s="63"/>
      <c r="Z24" s="64"/>
      <c r="AA24" s="25"/>
    </row>
    <row r="25" ht="25" customHeight="1" spans="1:27">
      <c r="A25" s="134">
        <v>45793</v>
      </c>
      <c r="B25" s="135"/>
      <c r="C25" s="63">
        <v>10936</v>
      </c>
      <c r="D25" s="64"/>
      <c r="E25" s="25">
        <v>10791</v>
      </c>
      <c r="F25" s="25"/>
      <c r="G25" s="25">
        <v>145</v>
      </c>
      <c r="H25" s="26">
        <f t="shared" si="3"/>
        <v>1.32589612289685</v>
      </c>
      <c r="I25" s="25">
        <v>108</v>
      </c>
      <c r="J25" s="25">
        <v>2</v>
      </c>
      <c r="K25" s="25">
        <v>35</v>
      </c>
      <c r="L25" s="25"/>
      <c r="M25" s="25"/>
      <c r="N25" s="293"/>
      <c r="O25" s="63">
        <v>10791</v>
      </c>
      <c r="P25" s="64"/>
      <c r="Q25" s="25">
        <v>10651</v>
      </c>
      <c r="R25" s="25"/>
      <c r="S25" s="25">
        <v>140</v>
      </c>
      <c r="T25" s="26">
        <f t="shared" si="2"/>
        <v>1.29737744416643</v>
      </c>
      <c r="U25" s="25">
        <v>27</v>
      </c>
      <c r="V25" s="25"/>
      <c r="W25" s="25"/>
      <c r="X25" s="25">
        <v>113</v>
      </c>
      <c r="Y25" s="63"/>
      <c r="Z25" s="64"/>
      <c r="AA25" s="25"/>
    </row>
    <row r="26" ht="25" customHeight="1" spans="1:27">
      <c r="A26" s="134">
        <v>45794</v>
      </c>
      <c r="B26" s="135"/>
      <c r="C26" s="63">
        <v>11780</v>
      </c>
      <c r="D26" s="64"/>
      <c r="E26" s="25">
        <v>11702</v>
      </c>
      <c r="F26" s="25"/>
      <c r="G26" s="25">
        <v>78</v>
      </c>
      <c r="H26" s="26">
        <f t="shared" si="3"/>
        <v>0.66213921901528</v>
      </c>
      <c r="I26" s="25">
        <v>38</v>
      </c>
      <c r="J26" s="25">
        <v>26</v>
      </c>
      <c r="K26" s="25">
        <v>16</v>
      </c>
      <c r="L26" s="25"/>
      <c r="M26" s="25"/>
      <c r="N26" s="293"/>
      <c r="O26" s="63">
        <v>11702</v>
      </c>
      <c r="P26" s="64"/>
      <c r="Q26" s="25">
        <v>11558</v>
      </c>
      <c r="R26" s="25"/>
      <c r="S26" s="25">
        <v>144</v>
      </c>
      <c r="T26" s="26">
        <f t="shared" si="2"/>
        <v>1.23055887882413</v>
      </c>
      <c r="U26" s="25">
        <v>69</v>
      </c>
      <c r="V26" s="25"/>
      <c r="W26" s="25"/>
      <c r="X26" s="25">
        <v>75</v>
      </c>
      <c r="Y26" s="63"/>
      <c r="Z26" s="64"/>
      <c r="AA26" s="25"/>
    </row>
    <row r="27" ht="25" customHeight="1" spans="1:27">
      <c r="A27" s="134">
        <v>45796</v>
      </c>
      <c r="B27" s="135"/>
      <c r="C27" s="63">
        <v>9892</v>
      </c>
      <c r="D27" s="64"/>
      <c r="E27" s="25">
        <v>9889</v>
      </c>
      <c r="F27" s="25"/>
      <c r="G27" s="25">
        <v>3</v>
      </c>
      <c r="H27" s="26">
        <f t="shared" si="3"/>
        <v>0.0303275374039628</v>
      </c>
      <c r="I27" s="25">
        <v>2</v>
      </c>
      <c r="J27" s="25"/>
      <c r="K27" s="25">
        <v>1</v>
      </c>
      <c r="L27" s="25"/>
      <c r="M27" s="25"/>
      <c r="N27" s="293"/>
      <c r="O27" s="63">
        <v>9889</v>
      </c>
      <c r="P27" s="64"/>
      <c r="Q27" s="25">
        <v>9883</v>
      </c>
      <c r="R27" s="25"/>
      <c r="S27" s="25">
        <v>6</v>
      </c>
      <c r="T27" s="26">
        <f t="shared" si="2"/>
        <v>0.0606734755789261</v>
      </c>
      <c r="U27" s="25">
        <v>4</v>
      </c>
      <c r="V27" s="25"/>
      <c r="W27" s="25"/>
      <c r="X27" s="25">
        <v>2</v>
      </c>
      <c r="Y27" s="63"/>
      <c r="Z27" s="64"/>
      <c r="AA27" s="25"/>
    </row>
    <row r="28" ht="25" customHeight="1" spans="1:27">
      <c r="A28" s="134">
        <v>45797</v>
      </c>
      <c r="B28" s="135"/>
      <c r="C28" s="63">
        <v>11914</v>
      </c>
      <c r="D28" s="64"/>
      <c r="E28" s="25">
        <v>11810</v>
      </c>
      <c r="F28" s="25"/>
      <c r="G28" s="25">
        <v>104</v>
      </c>
      <c r="H28" s="26">
        <f t="shared" si="3"/>
        <v>0.872922612053047</v>
      </c>
      <c r="I28" s="25">
        <v>69</v>
      </c>
      <c r="J28" s="25">
        <v>10</v>
      </c>
      <c r="K28" s="25">
        <v>25</v>
      </c>
      <c r="L28" s="25"/>
      <c r="M28" s="25"/>
      <c r="N28" s="293"/>
      <c r="O28" s="63">
        <v>11810</v>
      </c>
      <c r="P28" s="64"/>
      <c r="Q28" s="25">
        <v>11737</v>
      </c>
      <c r="R28" s="25"/>
      <c r="S28" s="25">
        <v>73</v>
      </c>
      <c r="T28" s="26">
        <f t="shared" si="2"/>
        <v>0.618120237087214</v>
      </c>
      <c r="U28" s="25">
        <v>32</v>
      </c>
      <c r="V28" s="25"/>
      <c r="W28" s="25"/>
      <c r="X28" s="25">
        <v>41</v>
      </c>
      <c r="Y28" s="63"/>
      <c r="Z28" s="64"/>
      <c r="AA28" s="25"/>
    </row>
    <row r="29" ht="25" customHeight="1" spans="1:27">
      <c r="A29" s="134">
        <v>45798</v>
      </c>
      <c r="B29" s="135"/>
      <c r="C29" s="63">
        <v>10380</v>
      </c>
      <c r="D29" s="64"/>
      <c r="E29" s="25">
        <v>10328</v>
      </c>
      <c r="F29" s="25"/>
      <c r="G29" s="25">
        <v>52</v>
      </c>
      <c r="H29" s="26">
        <f t="shared" si="3"/>
        <v>0.500963391136802</v>
      </c>
      <c r="I29" s="25">
        <v>20</v>
      </c>
      <c r="J29" s="25">
        <v>29</v>
      </c>
      <c r="K29" s="25">
        <v>3</v>
      </c>
      <c r="L29" s="25"/>
      <c r="M29" s="25"/>
      <c r="N29" s="293"/>
      <c r="O29" s="63">
        <v>10328</v>
      </c>
      <c r="P29" s="64"/>
      <c r="Q29" s="25">
        <v>10287</v>
      </c>
      <c r="R29" s="25"/>
      <c r="S29" s="25">
        <v>41</v>
      </c>
      <c r="T29" s="26">
        <f t="shared" si="2"/>
        <v>0.396979085979861</v>
      </c>
      <c r="U29" s="25">
        <v>14</v>
      </c>
      <c r="V29" s="25"/>
      <c r="W29" s="25"/>
      <c r="X29" s="25">
        <v>27</v>
      </c>
      <c r="Y29" s="63"/>
      <c r="Z29" s="64"/>
      <c r="AA29" s="25"/>
    </row>
    <row r="30" ht="25" customHeight="1" spans="1:27">
      <c r="A30" s="134">
        <v>45799</v>
      </c>
      <c r="B30" s="135"/>
      <c r="C30" s="63">
        <v>10200</v>
      </c>
      <c r="D30" s="64"/>
      <c r="E30" s="25">
        <v>10080</v>
      </c>
      <c r="F30" s="25"/>
      <c r="G30" s="25">
        <v>120</v>
      </c>
      <c r="H30" s="26">
        <f t="shared" si="3"/>
        <v>1.17647058823529</v>
      </c>
      <c r="I30" s="25">
        <v>82</v>
      </c>
      <c r="J30" s="25">
        <v>34</v>
      </c>
      <c r="K30" s="25">
        <v>4</v>
      </c>
      <c r="L30" s="25"/>
      <c r="M30" s="25"/>
      <c r="N30" s="293"/>
      <c r="O30" s="63">
        <v>10080</v>
      </c>
      <c r="P30" s="64"/>
      <c r="Q30" s="25">
        <v>10022</v>
      </c>
      <c r="R30" s="25"/>
      <c r="S30" s="25">
        <v>58</v>
      </c>
      <c r="T30" s="26">
        <f t="shared" si="2"/>
        <v>0.575396825396825</v>
      </c>
      <c r="U30" s="25">
        <v>21</v>
      </c>
      <c r="V30" s="25"/>
      <c r="W30" s="25"/>
      <c r="X30" s="25">
        <v>37</v>
      </c>
      <c r="Y30" s="63"/>
      <c r="Z30" s="64"/>
      <c r="AA30" s="25"/>
    </row>
    <row r="31" ht="25" customHeight="1" spans="1:27">
      <c r="A31" s="134">
        <v>45800</v>
      </c>
      <c r="B31" s="135"/>
      <c r="C31" s="63">
        <v>10669</v>
      </c>
      <c r="D31" s="64"/>
      <c r="E31" s="25">
        <v>10618</v>
      </c>
      <c r="F31" s="25"/>
      <c r="G31" s="25">
        <v>51</v>
      </c>
      <c r="H31" s="26">
        <f t="shared" si="3"/>
        <v>0.478020433030275</v>
      </c>
      <c r="I31" s="25">
        <v>32</v>
      </c>
      <c r="J31" s="25">
        <v>7</v>
      </c>
      <c r="K31" s="25">
        <v>12</v>
      </c>
      <c r="L31" s="25"/>
      <c r="M31" s="25"/>
      <c r="N31" s="293"/>
      <c r="O31" s="63">
        <v>10618</v>
      </c>
      <c r="P31" s="64"/>
      <c r="Q31" s="25">
        <v>10548</v>
      </c>
      <c r="R31" s="25"/>
      <c r="S31" s="25">
        <v>70</v>
      </c>
      <c r="T31" s="26">
        <f t="shared" si="2"/>
        <v>0.659257864004521</v>
      </c>
      <c r="U31" s="25">
        <v>20</v>
      </c>
      <c r="V31" s="25"/>
      <c r="W31" s="25"/>
      <c r="X31" s="25">
        <v>50</v>
      </c>
      <c r="Y31" s="63"/>
      <c r="Z31" s="64"/>
      <c r="AA31" s="25"/>
    </row>
    <row r="32" ht="25" customHeight="1" spans="1:27">
      <c r="A32" s="134">
        <v>45801</v>
      </c>
      <c r="B32" s="135"/>
      <c r="C32" s="63">
        <v>10423</v>
      </c>
      <c r="D32" s="64"/>
      <c r="E32" s="25">
        <v>10360</v>
      </c>
      <c r="F32" s="25"/>
      <c r="G32" s="25">
        <v>63</v>
      </c>
      <c r="H32" s="26">
        <f t="shared" si="3"/>
        <v>0.604432505036937</v>
      </c>
      <c r="I32" s="25">
        <v>50</v>
      </c>
      <c r="J32" s="25">
        <v>10</v>
      </c>
      <c r="K32" s="25">
        <v>3</v>
      </c>
      <c r="L32" s="25"/>
      <c r="M32" s="25"/>
      <c r="N32" s="293"/>
      <c r="O32" s="63">
        <v>10360</v>
      </c>
      <c r="P32" s="64"/>
      <c r="Q32" s="25">
        <v>10277</v>
      </c>
      <c r="R32" s="25"/>
      <c r="S32" s="25">
        <v>83</v>
      </c>
      <c r="T32" s="26">
        <f t="shared" si="2"/>
        <v>0.801158301158301</v>
      </c>
      <c r="U32" s="25">
        <v>36</v>
      </c>
      <c r="V32" s="25"/>
      <c r="W32" s="25"/>
      <c r="X32" s="25">
        <v>47</v>
      </c>
      <c r="Y32" s="63"/>
      <c r="Z32" s="64"/>
      <c r="AA32" s="25"/>
    </row>
    <row r="33" ht="25" customHeight="1" spans="1:27">
      <c r="A33" s="134">
        <v>45802</v>
      </c>
      <c r="B33" s="135"/>
      <c r="C33" s="63">
        <v>10141</v>
      </c>
      <c r="D33" s="64"/>
      <c r="E33" s="25">
        <v>10076</v>
      </c>
      <c r="F33" s="25"/>
      <c r="G33" s="25">
        <v>65</v>
      </c>
      <c r="H33" s="26">
        <f t="shared" si="3"/>
        <v>0.640962429740657</v>
      </c>
      <c r="I33" s="25">
        <v>34</v>
      </c>
      <c r="J33" s="25">
        <v>17</v>
      </c>
      <c r="K33" s="25">
        <v>14</v>
      </c>
      <c r="L33" s="25"/>
      <c r="M33" s="25"/>
      <c r="N33" s="293"/>
      <c r="O33" s="63">
        <v>10076</v>
      </c>
      <c r="P33" s="64"/>
      <c r="Q33" s="25">
        <v>9979</v>
      </c>
      <c r="R33" s="25"/>
      <c r="S33" s="25">
        <v>97</v>
      </c>
      <c r="T33" s="26">
        <f t="shared" si="2"/>
        <v>0.962683604605002</v>
      </c>
      <c r="U33" s="25">
        <v>61</v>
      </c>
      <c r="V33" s="25"/>
      <c r="W33" s="25"/>
      <c r="X33" s="25">
        <v>36</v>
      </c>
      <c r="Y33" s="63"/>
      <c r="Z33" s="64"/>
      <c r="AA33" s="25"/>
    </row>
    <row r="34" ht="25" customHeight="1" spans="1:27">
      <c r="A34" s="134">
        <v>45803</v>
      </c>
      <c r="B34" s="135"/>
      <c r="C34" s="63">
        <v>10141</v>
      </c>
      <c r="D34" s="64"/>
      <c r="E34" s="25">
        <v>10076</v>
      </c>
      <c r="F34" s="25"/>
      <c r="G34" s="25">
        <v>65</v>
      </c>
      <c r="H34" s="26">
        <f t="shared" si="3"/>
        <v>0.640962429740657</v>
      </c>
      <c r="I34" s="25">
        <v>34</v>
      </c>
      <c r="J34" s="25">
        <v>17</v>
      </c>
      <c r="K34" s="25">
        <v>14</v>
      </c>
      <c r="L34" s="25"/>
      <c r="M34" s="25"/>
      <c r="N34" s="293"/>
      <c r="O34" s="63">
        <v>10076</v>
      </c>
      <c r="P34" s="64"/>
      <c r="Q34" s="25">
        <v>9979</v>
      </c>
      <c r="R34" s="25"/>
      <c r="S34" s="25">
        <v>97</v>
      </c>
      <c r="T34" s="26">
        <f t="shared" si="2"/>
        <v>0.962683604605002</v>
      </c>
      <c r="U34" s="25">
        <v>61</v>
      </c>
      <c r="V34" s="25"/>
      <c r="W34" s="25"/>
      <c r="X34" s="25">
        <v>36</v>
      </c>
      <c r="Y34" s="63"/>
      <c r="Z34" s="64"/>
      <c r="AA34" s="25"/>
    </row>
    <row r="35" ht="25" customHeight="1" spans="1:27">
      <c r="A35" s="134">
        <v>45804</v>
      </c>
      <c r="B35" s="135"/>
      <c r="C35" s="63">
        <v>11162</v>
      </c>
      <c r="D35" s="64"/>
      <c r="E35" s="25">
        <v>10925</v>
      </c>
      <c r="F35" s="25"/>
      <c r="G35" s="25">
        <v>237</v>
      </c>
      <c r="H35" s="26">
        <f t="shared" si="3"/>
        <v>2.12327539867407</v>
      </c>
      <c r="I35" s="25">
        <v>146</v>
      </c>
      <c r="J35" s="25">
        <v>91</v>
      </c>
      <c r="K35" s="25"/>
      <c r="L35" s="25"/>
      <c r="M35" s="25"/>
      <c r="N35" s="293"/>
      <c r="O35" s="63">
        <v>10309</v>
      </c>
      <c r="P35" s="64"/>
      <c r="Q35" s="25">
        <v>10275</v>
      </c>
      <c r="R35" s="25"/>
      <c r="S35" s="25">
        <v>34</v>
      </c>
      <c r="T35" s="26">
        <f t="shared" si="2"/>
        <v>0.329808904840431</v>
      </c>
      <c r="U35" s="25">
        <v>20</v>
      </c>
      <c r="V35" s="25">
        <v>3</v>
      </c>
      <c r="W35" s="25"/>
      <c r="X35" s="25">
        <v>11</v>
      </c>
      <c r="Y35" s="63"/>
      <c r="Z35" s="64"/>
      <c r="AA35" s="25"/>
    </row>
    <row r="36" ht="25" customHeight="1" spans="1:27">
      <c r="A36" s="134">
        <v>45805</v>
      </c>
      <c r="B36" s="135"/>
      <c r="C36" s="63">
        <v>9310</v>
      </c>
      <c r="D36" s="64"/>
      <c r="E36" s="25">
        <v>9305</v>
      </c>
      <c r="F36" s="25"/>
      <c r="G36" s="25">
        <v>5</v>
      </c>
      <c r="H36" s="26">
        <f t="shared" si="3"/>
        <v>0.0537056928034372</v>
      </c>
      <c r="I36" s="25">
        <v>2</v>
      </c>
      <c r="J36" s="25"/>
      <c r="K36" s="25">
        <v>3</v>
      </c>
      <c r="L36" s="25"/>
      <c r="M36" s="25"/>
      <c r="N36" s="293"/>
      <c r="O36" s="63">
        <v>11243</v>
      </c>
      <c r="P36" s="64"/>
      <c r="Q36" s="25">
        <v>11079</v>
      </c>
      <c r="R36" s="25"/>
      <c r="S36" s="25">
        <v>164</v>
      </c>
      <c r="T36" s="26">
        <f t="shared" si="2"/>
        <v>1.45868540425153</v>
      </c>
      <c r="U36" s="25">
        <v>63</v>
      </c>
      <c r="V36" s="25"/>
      <c r="W36" s="25"/>
      <c r="X36" s="25">
        <v>101</v>
      </c>
      <c r="Y36" s="63"/>
      <c r="Z36" s="64"/>
      <c r="AA36" s="25"/>
    </row>
    <row r="37" ht="25" customHeight="1" spans="1:27">
      <c r="A37" s="134">
        <v>45806</v>
      </c>
      <c r="B37" s="135"/>
      <c r="C37" s="63">
        <v>9675</v>
      </c>
      <c r="D37" s="64"/>
      <c r="E37" s="25">
        <v>9570</v>
      </c>
      <c r="F37" s="25"/>
      <c r="G37" s="25">
        <v>105</v>
      </c>
      <c r="H37" s="26">
        <f t="shared" si="3"/>
        <v>1.08527131782946</v>
      </c>
      <c r="I37" s="25">
        <v>78</v>
      </c>
      <c r="J37" s="25">
        <v>21</v>
      </c>
      <c r="K37" s="25">
        <v>6</v>
      </c>
      <c r="L37" s="25"/>
      <c r="M37" s="25"/>
      <c r="N37" s="293"/>
      <c r="O37" s="63">
        <v>11354</v>
      </c>
      <c r="P37" s="64"/>
      <c r="Q37" s="25">
        <v>11211</v>
      </c>
      <c r="R37" s="25"/>
      <c r="S37" s="25">
        <v>143</v>
      </c>
      <c r="T37" s="26">
        <f t="shared" si="2"/>
        <v>1.2594680288885</v>
      </c>
      <c r="U37" s="25">
        <v>64</v>
      </c>
      <c r="V37" s="25"/>
      <c r="W37" s="25"/>
      <c r="X37" s="25">
        <v>66</v>
      </c>
      <c r="Y37" s="63">
        <v>13</v>
      </c>
      <c r="Z37" s="64"/>
      <c r="AA37" s="25"/>
    </row>
    <row r="38" ht="25" customHeight="1" spans="1:27">
      <c r="A38" s="134">
        <v>45807</v>
      </c>
      <c r="B38" s="135"/>
      <c r="C38" s="63">
        <v>10710</v>
      </c>
      <c r="D38" s="64"/>
      <c r="E38" s="25">
        <v>10631</v>
      </c>
      <c r="F38" s="25"/>
      <c r="G38" s="25">
        <v>79</v>
      </c>
      <c r="H38" s="26">
        <f t="shared" si="3"/>
        <v>0.737628384687208</v>
      </c>
      <c r="I38" s="25">
        <v>39</v>
      </c>
      <c r="J38" s="25">
        <v>28</v>
      </c>
      <c r="K38" s="25">
        <v>12</v>
      </c>
      <c r="L38" s="25"/>
      <c r="M38" s="25"/>
      <c r="N38" s="294"/>
      <c r="O38" s="63">
        <v>10524</v>
      </c>
      <c r="P38" s="64"/>
      <c r="Q38" s="25">
        <v>10393</v>
      </c>
      <c r="R38" s="25"/>
      <c r="S38" s="25">
        <v>131</v>
      </c>
      <c r="T38" s="26">
        <f t="shared" si="2"/>
        <v>1.24477385024705</v>
      </c>
      <c r="U38" s="25">
        <v>42</v>
      </c>
      <c r="V38" s="25"/>
      <c r="W38" s="25"/>
      <c r="X38" s="25">
        <v>31</v>
      </c>
      <c r="Y38" s="63">
        <v>58</v>
      </c>
      <c r="Z38" s="64"/>
      <c r="AA38" s="25"/>
    </row>
    <row r="39" ht="25" customHeight="1" spans="1:27">
      <c r="A39" s="134">
        <v>45808</v>
      </c>
      <c r="B39" s="135"/>
      <c r="C39" s="63"/>
      <c r="D39" s="64"/>
      <c r="E39" s="25"/>
      <c r="F39" s="25"/>
      <c r="G39" s="25"/>
      <c r="H39" s="26" t="e">
        <f t="shared" si="3"/>
        <v>#DIV/0!</v>
      </c>
      <c r="I39" s="25"/>
      <c r="J39" s="25"/>
      <c r="K39" s="25"/>
      <c r="L39" s="25"/>
      <c r="M39" s="25"/>
      <c r="N39" s="294"/>
      <c r="O39" s="63"/>
      <c r="P39" s="64"/>
      <c r="Q39" s="25"/>
      <c r="R39" s="25"/>
      <c r="S39" s="25"/>
      <c r="T39" s="26" t="e">
        <f t="shared" si="2"/>
        <v>#DIV/0!</v>
      </c>
      <c r="U39" s="25"/>
      <c r="V39" s="25"/>
      <c r="W39" s="25"/>
      <c r="X39" s="25"/>
      <c r="Y39" s="63"/>
      <c r="Z39" s="64"/>
      <c r="AA39" s="25"/>
    </row>
    <row r="40" ht="28" customHeight="1" spans="1:27">
      <c r="A40" s="247" t="s">
        <v>24</v>
      </c>
      <c r="B40" s="248"/>
      <c r="C40" s="287">
        <f>SUM(C11:D39)</f>
        <v>248704</v>
      </c>
      <c r="D40" s="288"/>
      <c r="E40" s="289">
        <f>SUM(E11:E39)</f>
        <v>246523</v>
      </c>
      <c r="F40" s="289"/>
      <c r="G40" s="289">
        <f>SUM(G11:G39)</f>
        <v>2181</v>
      </c>
      <c r="H40" s="290"/>
      <c r="I40" s="289">
        <f>SUM(I11:I39)</f>
        <v>1394</v>
      </c>
      <c r="J40" s="289">
        <f>SUM(J11:J39)</f>
        <v>429</v>
      </c>
      <c r="K40" s="289">
        <f>SUM(K11:K39)</f>
        <v>360</v>
      </c>
      <c r="L40" s="295"/>
      <c r="M40" s="295"/>
      <c r="N40" s="294"/>
      <c r="O40" s="290" t="s">
        <v>24</v>
      </c>
      <c r="P40" s="289">
        <f>SUM(O11:P39)</f>
        <v>249524</v>
      </c>
      <c r="Q40" s="289">
        <f>SUM(Q11:Q39)</f>
        <v>247146</v>
      </c>
      <c r="R40" s="289">
        <f>SUM(R11:R39)</f>
        <v>2619</v>
      </c>
      <c r="S40" s="289">
        <f>SUM(S11:S39)</f>
        <v>2288</v>
      </c>
      <c r="T40" s="289"/>
      <c r="U40" s="289">
        <f>SUM(U11:U39)</f>
        <v>1108</v>
      </c>
      <c r="V40" s="289">
        <f>SUM(V11:V39)</f>
        <v>18</v>
      </c>
      <c r="W40" s="289">
        <f>SUM(W11:W39)</f>
        <v>0</v>
      </c>
      <c r="X40" s="289">
        <f>SUM(X11:X39)</f>
        <v>1085</v>
      </c>
      <c r="Y40" s="287">
        <f>SUM(Y11:Y39)</f>
        <v>86</v>
      </c>
      <c r="Z40" s="288"/>
      <c r="AA40" s="295"/>
    </row>
    <row r="41" ht="35" customHeight="1" spans="1:27">
      <c r="A41" s="166" t="s">
        <v>25</v>
      </c>
      <c r="B41" s="167"/>
      <c r="C41" s="167"/>
      <c r="D41" s="252"/>
      <c r="E41" s="168">
        <f>E40/C40*100</f>
        <v>99.1230539114771</v>
      </c>
      <c r="F41" s="168"/>
      <c r="G41" s="168">
        <f>G40/C40*100</f>
        <v>0.876946088522903</v>
      </c>
      <c r="H41" s="168"/>
      <c r="I41" s="168">
        <f>I40/C40*100</f>
        <v>0.56050566134843</v>
      </c>
      <c r="J41" s="168">
        <f>J40/C40*100</f>
        <v>0.17249420998456</v>
      </c>
      <c r="K41" s="168">
        <f>K40/C40*100</f>
        <v>0.144750386001029</v>
      </c>
      <c r="L41" s="168"/>
      <c r="M41" s="187"/>
      <c r="N41" s="294"/>
      <c r="O41" s="188" t="s">
        <v>25</v>
      </c>
      <c r="P41" s="223"/>
      <c r="Q41" s="168">
        <f>Q40/P40*100</f>
        <v>99.0469854603164</v>
      </c>
      <c r="R41" s="168">
        <f>R40/P40*100</f>
        <v>1.04959843542104</v>
      </c>
      <c r="S41" s="168">
        <f>S40/P40*100</f>
        <v>0.916945864926821</v>
      </c>
      <c r="T41" s="168"/>
      <c r="U41" s="168">
        <f>U40/P40*100</f>
        <v>0.444045462560716</v>
      </c>
      <c r="V41" s="168">
        <f>V40/P40*100</f>
        <v>0.00721373495134737</v>
      </c>
      <c r="W41" s="168">
        <f>W40/P40*100</f>
        <v>0</v>
      </c>
      <c r="X41" s="168"/>
      <c r="Y41" s="188">
        <f>Y40/P40*100</f>
        <v>0.0344656225453263</v>
      </c>
      <c r="Z41" s="223"/>
      <c r="AA41" s="168"/>
    </row>
    <row r="42" ht="60" customHeight="1" spans="1:27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294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</row>
    <row r="43" ht="74" customHeight="1" spans="2:18">
      <c r="B43" s="34"/>
      <c r="C43" s="34"/>
      <c r="D43" s="34"/>
      <c r="E43" s="34"/>
      <c r="F43" s="34"/>
      <c r="R43" s="111"/>
    </row>
    <row r="44" spans="2:6">
      <c r="B44" s="34"/>
      <c r="C44" s="34"/>
      <c r="D44" s="34"/>
      <c r="E44" s="34"/>
      <c r="F44" s="34"/>
    </row>
    <row r="46" ht="28.5" spans="3:13"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ht="28.5" spans="3:13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50" spans="2:4">
      <c r="B50" s="36" t="s">
        <v>26</v>
      </c>
      <c r="C50" s="36"/>
      <c r="D50" s="36"/>
    </row>
    <row r="51" spans="2:4">
      <c r="B51" s="37" t="s">
        <v>16</v>
      </c>
      <c r="C51" s="37"/>
      <c r="D51" s="38">
        <f>I40</f>
        <v>1394</v>
      </c>
    </row>
    <row r="52" spans="2:4">
      <c r="B52" s="37" t="s">
        <v>27</v>
      </c>
      <c r="C52" s="37"/>
      <c r="D52" s="38">
        <f>J40</f>
        <v>429</v>
      </c>
    </row>
    <row r="53" spans="2:4">
      <c r="B53" s="37" t="s">
        <v>18</v>
      </c>
      <c r="C53" s="37"/>
      <c r="D53" s="38">
        <f>K40</f>
        <v>360</v>
      </c>
    </row>
    <row r="54" spans="2:4">
      <c r="B54" s="37" t="s">
        <v>28</v>
      </c>
      <c r="C54" s="37"/>
      <c r="D54" s="39">
        <f>SUM(D51:D53)</f>
        <v>2183</v>
      </c>
    </row>
    <row r="55" spans="2:2">
      <c r="B55" s="40"/>
    </row>
    <row r="56" spans="2:4">
      <c r="B56" s="36" t="s">
        <v>29</v>
      </c>
      <c r="C56" s="36"/>
      <c r="D56" s="36"/>
    </row>
    <row r="57" spans="2:4">
      <c r="B57" s="37" t="s">
        <v>18</v>
      </c>
      <c r="C57" s="37"/>
      <c r="D57" s="38">
        <f>U40</f>
        <v>1108</v>
      </c>
    </row>
    <row r="58" spans="2:4">
      <c r="B58" s="37" t="s">
        <v>21</v>
      </c>
      <c r="C58" s="37"/>
      <c r="D58" s="38">
        <f>V40</f>
        <v>18</v>
      </c>
    </row>
    <row r="59" spans="2:4">
      <c r="B59" s="37" t="s">
        <v>22</v>
      </c>
      <c r="C59" s="37"/>
      <c r="D59" s="38">
        <f>W40</f>
        <v>0</v>
      </c>
    </row>
    <row r="60" spans="2:4">
      <c r="B60" s="37" t="s">
        <v>23</v>
      </c>
      <c r="C60" s="37"/>
      <c r="D60" s="38">
        <f>X40</f>
        <v>1085</v>
      </c>
    </row>
    <row r="61" spans="2:4">
      <c r="B61" s="37" t="s">
        <v>19</v>
      </c>
      <c r="C61" s="37"/>
      <c r="D61" s="38">
        <f>Y40</f>
        <v>86</v>
      </c>
    </row>
    <row r="62" spans="2:4">
      <c r="B62" s="37" t="s">
        <v>28</v>
      </c>
      <c r="C62" s="37"/>
      <c r="D62" s="39">
        <f>SUM(D57:D61)</f>
        <v>2297</v>
      </c>
    </row>
  </sheetData>
  <mergeCells count="168">
    <mergeCell ref="X3:Y3"/>
    <mergeCell ref="Z3:AA3"/>
    <mergeCell ref="X4:Y4"/>
    <mergeCell ref="Z4:AA4"/>
    <mergeCell ref="C5:W5"/>
    <mergeCell ref="X5:AA5"/>
    <mergeCell ref="A6:AA6"/>
    <mergeCell ref="A7:M7"/>
    <mergeCell ref="O7:AA7"/>
    <mergeCell ref="A11:B11"/>
    <mergeCell ref="C11:D11"/>
    <mergeCell ref="O11:P11"/>
    <mergeCell ref="Y11:Z11"/>
    <mergeCell ref="A12:B12"/>
    <mergeCell ref="C12:D12"/>
    <mergeCell ref="O12:P12"/>
    <mergeCell ref="Y12:Z12"/>
    <mergeCell ref="A13:B13"/>
    <mergeCell ref="C13:D13"/>
    <mergeCell ref="O13:P13"/>
    <mergeCell ref="Y13:Z13"/>
    <mergeCell ref="A14:B14"/>
    <mergeCell ref="C14:AA14"/>
    <mergeCell ref="A15:B15"/>
    <mergeCell ref="C15:D15"/>
    <mergeCell ref="O15:P15"/>
    <mergeCell ref="Y15:Z15"/>
    <mergeCell ref="A16:B16"/>
    <mergeCell ref="C16:D16"/>
    <mergeCell ref="O16:P16"/>
    <mergeCell ref="Y16:Z16"/>
    <mergeCell ref="A17:B17"/>
    <mergeCell ref="C17:D17"/>
    <mergeCell ref="O17:P17"/>
    <mergeCell ref="Y17:Z17"/>
    <mergeCell ref="A18:B18"/>
    <mergeCell ref="C18:D18"/>
    <mergeCell ref="O18:P18"/>
    <mergeCell ref="Y18:Z18"/>
    <mergeCell ref="A19:B19"/>
    <mergeCell ref="C19:D19"/>
    <mergeCell ref="O19:P19"/>
    <mergeCell ref="Y19:Z19"/>
    <mergeCell ref="A20:B20"/>
    <mergeCell ref="C20:D20"/>
    <mergeCell ref="O20:P20"/>
    <mergeCell ref="Y20:Z20"/>
    <mergeCell ref="A21:B21"/>
    <mergeCell ref="C21:D21"/>
    <mergeCell ref="O21:P21"/>
    <mergeCell ref="Y21:Z21"/>
    <mergeCell ref="A22:B22"/>
    <mergeCell ref="C22:D22"/>
    <mergeCell ref="O22:P22"/>
    <mergeCell ref="Y22:Z22"/>
    <mergeCell ref="A23:B23"/>
    <mergeCell ref="C23:D23"/>
    <mergeCell ref="O23:P23"/>
    <mergeCell ref="Y23:Z23"/>
    <mergeCell ref="A24:B24"/>
    <mergeCell ref="C24:D24"/>
    <mergeCell ref="O24:P24"/>
    <mergeCell ref="Y24:Z24"/>
    <mergeCell ref="A25:B25"/>
    <mergeCell ref="C25:D25"/>
    <mergeCell ref="O25:P25"/>
    <mergeCell ref="Y25:Z25"/>
    <mergeCell ref="A26:B26"/>
    <mergeCell ref="C26:D26"/>
    <mergeCell ref="O26:P26"/>
    <mergeCell ref="Y26:Z26"/>
    <mergeCell ref="A27:B27"/>
    <mergeCell ref="C27:D27"/>
    <mergeCell ref="O27:P27"/>
    <mergeCell ref="Y27:Z27"/>
    <mergeCell ref="A28:B28"/>
    <mergeCell ref="C28:D28"/>
    <mergeCell ref="O28:P28"/>
    <mergeCell ref="Y28:Z28"/>
    <mergeCell ref="A29:B29"/>
    <mergeCell ref="C29:D29"/>
    <mergeCell ref="O29:P29"/>
    <mergeCell ref="Y29:Z29"/>
    <mergeCell ref="A30:B30"/>
    <mergeCell ref="C30:D30"/>
    <mergeCell ref="O30:P30"/>
    <mergeCell ref="Y30:Z30"/>
    <mergeCell ref="A31:B31"/>
    <mergeCell ref="C31:D31"/>
    <mergeCell ref="O31:P31"/>
    <mergeCell ref="Y31:Z31"/>
    <mergeCell ref="A32:B32"/>
    <mergeCell ref="C32:D32"/>
    <mergeCell ref="O32:P32"/>
    <mergeCell ref="Y32:Z32"/>
    <mergeCell ref="A33:B33"/>
    <mergeCell ref="C33:D33"/>
    <mergeCell ref="O33:P33"/>
    <mergeCell ref="Y33:Z33"/>
    <mergeCell ref="A34:B34"/>
    <mergeCell ref="C34:D34"/>
    <mergeCell ref="O34:P34"/>
    <mergeCell ref="Y34:Z34"/>
    <mergeCell ref="A35:B35"/>
    <mergeCell ref="C35:D35"/>
    <mergeCell ref="O35:P35"/>
    <mergeCell ref="Y35:Z35"/>
    <mergeCell ref="A36:B36"/>
    <mergeCell ref="C36:D36"/>
    <mergeCell ref="O36:P36"/>
    <mergeCell ref="Y36:Z36"/>
    <mergeCell ref="A37:B37"/>
    <mergeCell ref="C37:D37"/>
    <mergeCell ref="O37:P37"/>
    <mergeCell ref="Y37:Z37"/>
    <mergeCell ref="A38:B38"/>
    <mergeCell ref="C38:D38"/>
    <mergeCell ref="O38:P38"/>
    <mergeCell ref="Y38:Z38"/>
    <mergeCell ref="A39:B39"/>
    <mergeCell ref="C39:D39"/>
    <mergeCell ref="O39:P39"/>
    <mergeCell ref="Y39:Z39"/>
    <mergeCell ref="A40:B40"/>
    <mergeCell ref="C40:D40"/>
    <mergeCell ref="Y40:Z40"/>
    <mergeCell ref="A41:D41"/>
    <mergeCell ref="O41:P41"/>
    <mergeCell ref="Y41:Z41"/>
    <mergeCell ref="B50:D50"/>
    <mergeCell ref="B51:C51"/>
    <mergeCell ref="B52:C52"/>
    <mergeCell ref="B53:C53"/>
    <mergeCell ref="B54:C54"/>
    <mergeCell ref="B56:D56"/>
    <mergeCell ref="B57:C57"/>
    <mergeCell ref="B58:C58"/>
    <mergeCell ref="B59:C59"/>
    <mergeCell ref="B60:C60"/>
    <mergeCell ref="B61:C61"/>
    <mergeCell ref="B62:C62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39:N42"/>
    <mergeCell ref="Q8:Q10"/>
    <mergeCell ref="R8:R10"/>
    <mergeCell ref="S8:S10"/>
    <mergeCell ref="T8:T10"/>
    <mergeCell ref="U8:U10"/>
    <mergeCell ref="V8:V10"/>
    <mergeCell ref="W8:W10"/>
    <mergeCell ref="X8:X10"/>
    <mergeCell ref="AA8:AA10"/>
    <mergeCell ref="A1:B5"/>
    <mergeCell ref="C1:W4"/>
    <mergeCell ref="X1:Y2"/>
    <mergeCell ref="Z1:AA2"/>
    <mergeCell ref="A8:B10"/>
    <mergeCell ref="C8:D10"/>
    <mergeCell ref="O8:P10"/>
    <mergeCell ref="Y8:Z10"/>
  </mergeCells>
  <pageMargins left="0.251388888888889" right="0.251388888888889" top="0.251388888888889" bottom="0.251388888888889" header="0.298611111111111" footer="0.298611111111111"/>
  <pageSetup paperSize="9" scale="54" fitToHeight="0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63"/>
  <sheetViews>
    <sheetView zoomScale="85" zoomScaleNormal="85" zoomScalePageLayoutView="80" zoomScaleSheetLayoutView="70" topLeftCell="A20" workbookViewId="0">
      <selection activeCell="R15" sqref="R15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5.20952380952381" customWidth="1"/>
    <col min="4" max="4" width="7.73333333333333" customWidth="1"/>
    <col min="5" max="5" width="13.7142857142857" customWidth="1"/>
    <col min="6" max="6" width="11.5714285714286" customWidth="1"/>
    <col min="7" max="7" width="8.85714285714286" customWidth="1"/>
    <col min="8" max="8" width="10.5714285714286" customWidth="1"/>
    <col min="9" max="9" width="8.57142857142857" customWidth="1"/>
    <col min="10" max="10" width="9.57142857142857" customWidth="1"/>
    <col min="11" max="11" width="10.4285714285714" customWidth="1"/>
    <col min="12" max="12" width="9.28571428571429" customWidth="1"/>
    <col min="13" max="13" width="9.85714285714286" customWidth="1"/>
    <col min="14" max="14" width="3.25714285714286" style="75" customWidth="1"/>
    <col min="15" max="15" width="9.14285714285714" customWidth="1"/>
    <col min="16" max="16" width="10.4285714285714" customWidth="1"/>
    <col min="17" max="17" width="12.4285714285714" customWidth="1"/>
    <col min="18" max="18" width="7.57142857142857" customWidth="1"/>
    <col min="19" max="19" width="8.85714285714286" customWidth="1"/>
    <col min="20" max="20" width="10.5714285714286" customWidth="1"/>
    <col min="21" max="21" width="9.57142857142857" customWidth="1"/>
    <col min="22" max="22" width="6.85714285714286" customWidth="1"/>
    <col min="23" max="23" width="8.14285714285714" customWidth="1"/>
    <col min="24" max="24" width="13.4380952380952" customWidth="1"/>
    <col min="25" max="25" width="7.05714285714286" customWidth="1"/>
    <col min="26" max="26" width="7.14285714285714" customWidth="1"/>
    <col min="27" max="27" width="14.2857142857143" customWidth="1"/>
    <col min="28" max="33" width="6.71428571428571" customWidth="1"/>
  </cols>
  <sheetData>
    <row r="1" spans="1:27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169"/>
      <c r="O1" s="3"/>
      <c r="P1" s="3"/>
      <c r="Q1" s="3"/>
      <c r="R1" s="3"/>
      <c r="S1" s="3"/>
      <c r="T1" s="3"/>
      <c r="U1" s="3"/>
      <c r="V1" s="3"/>
      <c r="W1" s="50"/>
      <c r="X1" s="189" t="s">
        <v>1</v>
      </c>
      <c r="Y1" s="190"/>
      <c r="Z1" s="191" t="s">
        <v>2</v>
      </c>
      <c r="AA1" s="191"/>
    </row>
    <row r="2" ht="23" customHeight="1" spans="1:27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6"/>
      <c r="N2" s="170"/>
      <c r="O2" s="6"/>
      <c r="P2" s="6"/>
      <c r="Q2" s="6"/>
      <c r="R2" s="6"/>
      <c r="S2" s="6"/>
      <c r="T2" s="6"/>
      <c r="U2" s="6"/>
      <c r="V2" s="6"/>
      <c r="W2" s="54"/>
      <c r="X2" s="192"/>
      <c r="Y2" s="193"/>
      <c r="Z2" s="191"/>
      <c r="AA2" s="191"/>
    </row>
    <row r="3" ht="26" customHeight="1" spans="1:27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6"/>
      <c r="N3" s="170"/>
      <c r="O3" s="6"/>
      <c r="P3" s="6"/>
      <c r="Q3" s="6"/>
      <c r="R3" s="6"/>
      <c r="S3" s="6"/>
      <c r="T3" s="6"/>
      <c r="U3" s="6"/>
      <c r="V3" s="6"/>
      <c r="W3" s="54"/>
      <c r="X3" s="194" t="s">
        <v>31</v>
      </c>
      <c r="Y3" s="195"/>
      <c r="Z3" s="191" t="s">
        <v>4</v>
      </c>
      <c r="AA3" s="191"/>
    </row>
    <row r="4" ht="24" customHeight="1" spans="1:27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7"/>
      <c r="N4" s="171"/>
      <c r="O4" s="7"/>
      <c r="P4" s="7"/>
      <c r="Q4" s="7"/>
      <c r="R4" s="7"/>
      <c r="S4" s="7"/>
      <c r="T4" s="7"/>
      <c r="U4" s="7"/>
      <c r="V4" s="7"/>
      <c r="W4" s="59"/>
      <c r="X4" s="194" t="s">
        <v>32</v>
      </c>
      <c r="Y4" s="195"/>
      <c r="Z4" s="196">
        <v>45633</v>
      </c>
      <c r="AA4" s="196"/>
    </row>
    <row r="5" ht="19" customHeight="1" spans="1:27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172"/>
      <c r="O5" s="82"/>
      <c r="P5" s="82"/>
      <c r="Q5" s="82"/>
      <c r="R5" s="82"/>
      <c r="S5" s="82"/>
      <c r="T5" s="82"/>
      <c r="U5" s="82"/>
      <c r="V5" s="82"/>
      <c r="W5" s="119"/>
      <c r="X5" s="197" t="s">
        <v>7</v>
      </c>
      <c r="Y5" s="197"/>
      <c r="Z5" s="197"/>
      <c r="AA5" s="198"/>
    </row>
    <row r="6" ht="20" customHeight="1" spans="1:33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11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12"/>
      <c r="AC6" s="12"/>
      <c r="AD6" s="12"/>
      <c r="AE6" s="12"/>
      <c r="AF6" s="12"/>
      <c r="AG6" s="12"/>
    </row>
    <row r="7" ht="21" customHeight="1" spans="1:33">
      <c r="A7" s="125" t="s">
        <v>8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280"/>
      <c r="N7" s="174"/>
      <c r="O7" s="84" t="s">
        <v>9</v>
      </c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72"/>
      <c r="AC7" s="72"/>
      <c r="AD7" s="72"/>
      <c r="AE7" s="72"/>
      <c r="AF7" s="72"/>
      <c r="AG7" s="73"/>
    </row>
    <row r="8" ht="15.75" spans="1:27">
      <c r="A8" s="128" t="s">
        <v>10</v>
      </c>
      <c r="B8" s="129"/>
      <c r="C8" s="266" t="s">
        <v>11</v>
      </c>
      <c r="D8" s="267"/>
      <c r="E8" s="85" t="s">
        <v>12</v>
      </c>
      <c r="F8" s="85" t="s">
        <v>13</v>
      </c>
      <c r="G8" s="86" t="s">
        <v>14</v>
      </c>
      <c r="H8" s="86" t="s">
        <v>15</v>
      </c>
      <c r="I8" s="86" t="s">
        <v>16</v>
      </c>
      <c r="J8" s="86" t="s">
        <v>17</v>
      </c>
      <c r="K8" s="85" t="s">
        <v>18</v>
      </c>
      <c r="L8" s="85" t="s">
        <v>19</v>
      </c>
      <c r="M8" s="85" t="s">
        <v>20</v>
      </c>
      <c r="N8" s="281"/>
      <c r="O8" s="266" t="s">
        <v>11</v>
      </c>
      <c r="P8" s="267"/>
      <c r="Q8" s="86" t="s">
        <v>12</v>
      </c>
      <c r="R8" s="86" t="s">
        <v>13</v>
      </c>
      <c r="S8" s="86" t="s">
        <v>14</v>
      </c>
      <c r="T8" s="86" t="s">
        <v>15</v>
      </c>
      <c r="U8" s="86" t="s">
        <v>18</v>
      </c>
      <c r="V8" s="86" t="s">
        <v>21</v>
      </c>
      <c r="W8" s="86" t="s">
        <v>22</v>
      </c>
      <c r="X8" s="86" t="s">
        <v>23</v>
      </c>
      <c r="Y8" s="128" t="s">
        <v>19</v>
      </c>
      <c r="Z8" s="129"/>
      <c r="AA8" s="85" t="s">
        <v>20</v>
      </c>
    </row>
    <row r="9" ht="15.75" spans="1:27">
      <c r="A9" s="130"/>
      <c r="B9" s="131"/>
      <c r="C9" s="268"/>
      <c r="D9" s="269"/>
      <c r="E9" s="85"/>
      <c r="F9" s="85"/>
      <c r="G9" s="86"/>
      <c r="H9" s="86"/>
      <c r="I9" s="86"/>
      <c r="J9" s="86"/>
      <c r="K9" s="85"/>
      <c r="L9" s="85"/>
      <c r="M9" s="85"/>
      <c r="N9" s="281"/>
      <c r="O9" s="268"/>
      <c r="P9" s="269"/>
      <c r="Q9" s="86"/>
      <c r="R9" s="86"/>
      <c r="S9" s="86"/>
      <c r="T9" s="86"/>
      <c r="U9" s="86"/>
      <c r="V9" s="86"/>
      <c r="W9" s="86"/>
      <c r="X9" s="86"/>
      <c r="Y9" s="130"/>
      <c r="Z9" s="131"/>
      <c r="AA9" s="85"/>
    </row>
    <row r="10" ht="15.75" spans="1:27">
      <c r="A10" s="132"/>
      <c r="B10" s="133"/>
      <c r="C10" s="268"/>
      <c r="D10" s="269"/>
      <c r="E10" s="270"/>
      <c r="F10" s="270"/>
      <c r="G10" s="271"/>
      <c r="H10" s="271"/>
      <c r="I10" s="271"/>
      <c r="J10" s="271"/>
      <c r="K10" s="270"/>
      <c r="L10" s="270"/>
      <c r="M10" s="270"/>
      <c r="N10" s="281"/>
      <c r="O10" s="268"/>
      <c r="P10" s="269"/>
      <c r="Q10" s="271"/>
      <c r="R10" s="271"/>
      <c r="S10" s="271"/>
      <c r="T10" s="271"/>
      <c r="U10" s="271"/>
      <c r="V10" s="271"/>
      <c r="W10" s="271"/>
      <c r="X10" s="271"/>
      <c r="Y10" s="130"/>
      <c r="Z10" s="131"/>
      <c r="AA10" s="270"/>
    </row>
    <row r="11" ht="25" customHeight="1" spans="1:27">
      <c r="A11" s="138">
        <v>45809</v>
      </c>
      <c r="B11" s="139"/>
      <c r="C11" s="272" t="s">
        <v>34</v>
      </c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179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</row>
    <row r="12" ht="25" customHeight="1" spans="1:27">
      <c r="A12" s="134">
        <v>45810</v>
      </c>
      <c r="B12" s="135"/>
      <c r="C12" s="212">
        <v>10047</v>
      </c>
      <c r="D12" s="216"/>
      <c r="E12" s="213">
        <v>9713</v>
      </c>
      <c r="F12" s="213"/>
      <c r="G12" s="213">
        <v>334</v>
      </c>
      <c r="H12" s="157">
        <f>G12/C12*100</f>
        <v>3.32437543545337</v>
      </c>
      <c r="I12" s="213">
        <v>58</v>
      </c>
      <c r="J12" s="213">
        <v>126</v>
      </c>
      <c r="K12" s="213">
        <v>150</v>
      </c>
      <c r="L12" s="213"/>
      <c r="M12" s="213"/>
      <c r="N12" s="185"/>
      <c r="O12" s="212">
        <v>10226</v>
      </c>
      <c r="P12" s="216"/>
      <c r="Q12" s="213">
        <v>10004</v>
      </c>
      <c r="R12" s="213"/>
      <c r="S12" s="213">
        <v>222</v>
      </c>
      <c r="T12" s="157">
        <f>S12/O12*100</f>
        <v>2.17093682769411</v>
      </c>
      <c r="U12" s="213">
        <v>74</v>
      </c>
      <c r="V12" s="213"/>
      <c r="W12" s="213"/>
      <c r="X12" s="213">
        <v>117</v>
      </c>
      <c r="Y12" s="212">
        <v>31</v>
      </c>
      <c r="Z12" s="216"/>
      <c r="AA12" s="213"/>
    </row>
    <row r="13" ht="25" customHeight="1" spans="1:27">
      <c r="A13" s="273">
        <v>45811</v>
      </c>
      <c r="B13" s="274"/>
      <c r="C13" s="161">
        <v>9465</v>
      </c>
      <c r="D13" s="221"/>
      <c r="E13" s="162">
        <v>9361</v>
      </c>
      <c r="F13" s="162"/>
      <c r="G13" s="162">
        <v>104</v>
      </c>
      <c r="H13" s="26">
        <f t="shared" ref="H13:H40" si="0">G13/C13*100</f>
        <v>1.09878499735869</v>
      </c>
      <c r="I13" s="162">
        <v>73</v>
      </c>
      <c r="J13" s="162">
        <v>16</v>
      </c>
      <c r="K13" s="162">
        <v>12</v>
      </c>
      <c r="L13" s="162"/>
      <c r="M13" s="162"/>
      <c r="N13" s="185"/>
      <c r="O13" s="161">
        <v>10626</v>
      </c>
      <c r="P13" s="221"/>
      <c r="Q13" s="162">
        <v>10479</v>
      </c>
      <c r="R13" s="162"/>
      <c r="S13" s="162">
        <v>149</v>
      </c>
      <c r="T13" s="26">
        <f t="shared" ref="T13:T40" si="1">S13/O13*100</f>
        <v>1.40222096743836</v>
      </c>
      <c r="U13" s="162">
        <v>69</v>
      </c>
      <c r="V13" s="162"/>
      <c r="W13" s="162"/>
      <c r="X13" s="162">
        <v>54</v>
      </c>
      <c r="Y13" s="161">
        <v>26</v>
      </c>
      <c r="Z13" s="221"/>
      <c r="AA13" s="162"/>
    </row>
    <row r="14" ht="25" customHeight="1" spans="1:27">
      <c r="A14" s="87">
        <v>45812</v>
      </c>
      <c r="B14" s="87"/>
      <c r="C14" s="25">
        <v>10582</v>
      </c>
      <c r="D14" s="25"/>
      <c r="E14" s="25">
        <v>10541</v>
      </c>
      <c r="F14" s="25"/>
      <c r="G14" s="25">
        <v>41</v>
      </c>
      <c r="H14" s="26">
        <f t="shared" si="0"/>
        <v>0.387450387450387</v>
      </c>
      <c r="I14" s="25">
        <v>22</v>
      </c>
      <c r="J14" s="25">
        <v>15</v>
      </c>
      <c r="K14" s="25">
        <v>4</v>
      </c>
      <c r="L14" s="25"/>
      <c r="M14" s="25"/>
      <c r="N14" s="177"/>
      <c r="O14" s="25">
        <v>9907</v>
      </c>
      <c r="P14" s="25"/>
      <c r="Q14" s="25">
        <v>9459</v>
      </c>
      <c r="R14" s="25"/>
      <c r="S14" s="25">
        <v>448</v>
      </c>
      <c r="T14" s="26">
        <f t="shared" si="1"/>
        <v>4.52205511254668</v>
      </c>
      <c r="U14" s="25">
        <v>72</v>
      </c>
      <c r="V14" s="25"/>
      <c r="W14" s="25"/>
      <c r="X14" s="25">
        <v>331</v>
      </c>
      <c r="Y14" s="25">
        <v>45</v>
      </c>
      <c r="Z14" s="25"/>
      <c r="AA14" s="25"/>
    </row>
    <row r="15" ht="25" customHeight="1" spans="1:27">
      <c r="A15" s="275">
        <v>45813</v>
      </c>
      <c r="B15" s="276"/>
      <c r="C15" s="212">
        <v>9649</v>
      </c>
      <c r="D15" s="216"/>
      <c r="E15" s="213">
        <v>9603</v>
      </c>
      <c r="F15" s="213"/>
      <c r="G15" s="213">
        <v>46</v>
      </c>
      <c r="H15" s="26">
        <f t="shared" si="0"/>
        <v>0.476733340242512</v>
      </c>
      <c r="I15" s="213">
        <v>29</v>
      </c>
      <c r="J15" s="213">
        <v>19</v>
      </c>
      <c r="K15" s="213"/>
      <c r="L15" s="213"/>
      <c r="M15" s="213"/>
      <c r="N15" s="185"/>
      <c r="O15" s="212">
        <v>12699</v>
      </c>
      <c r="P15" s="216"/>
      <c r="Q15" s="213">
        <v>11918</v>
      </c>
      <c r="R15" s="213"/>
      <c r="S15" s="213">
        <v>781</v>
      </c>
      <c r="T15" s="26">
        <f t="shared" si="1"/>
        <v>6.15009055831168</v>
      </c>
      <c r="U15" s="213">
        <v>54</v>
      </c>
      <c r="V15" s="213"/>
      <c r="W15" s="213"/>
      <c r="X15" s="213">
        <v>586</v>
      </c>
      <c r="Y15" s="212">
        <v>141</v>
      </c>
      <c r="Z15" s="216"/>
      <c r="AA15" s="213"/>
    </row>
    <row r="16" ht="25" customHeight="1" spans="1:27">
      <c r="A16" s="134">
        <v>45814</v>
      </c>
      <c r="B16" s="135"/>
      <c r="C16" s="63">
        <v>10226</v>
      </c>
      <c r="D16" s="64"/>
      <c r="E16" s="25">
        <v>10169</v>
      </c>
      <c r="F16" s="25"/>
      <c r="G16" s="25">
        <v>67</v>
      </c>
      <c r="H16" s="26">
        <f t="shared" si="0"/>
        <v>0.655192646195971</v>
      </c>
      <c r="I16" s="25">
        <v>39</v>
      </c>
      <c r="J16" s="25">
        <v>16</v>
      </c>
      <c r="K16" s="25">
        <v>2</v>
      </c>
      <c r="L16" s="25"/>
      <c r="M16" s="25"/>
      <c r="N16" s="185"/>
      <c r="O16" s="63">
        <v>11489</v>
      </c>
      <c r="P16" s="64"/>
      <c r="Q16" s="25">
        <v>11272</v>
      </c>
      <c r="R16" s="25"/>
      <c r="S16" s="25">
        <v>217</v>
      </c>
      <c r="T16" s="26">
        <f t="shared" si="1"/>
        <v>1.8887631647663</v>
      </c>
      <c r="U16" s="25">
        <v>64</v>
      </c>
      <c r="V16" s="25"/>
      <c r="W16" s="25"/>
      <c r="X16" s="25">
        <v>75</v>
      </c>
      <c r="Y16" s="63">
        <v>78</v>
      </c>
      <c r="Z16" s="64"/>
      <c r="AA16" s="25"/>
    </row>
    <row r="17" ht="25" customHeight="1" spans="1:27">
      <c r="A17" s="134">
        <v>45815</v>
      </c>
      <c r="B17" s="135"/>
      <c r="C17" s="161">
        <v>10346</v>
      </c>
      <c r="D17" s="221"/>
      <c r="E17" s="162">
        <v>10290</v>
      </c>
      <c r="F17" s="162"/>
      <c r="G17" s="162">
        <v>56</v>
      </c>
      <c r="H17" s="144">
        <f t="shared" si="0"/>
        <v>0.54127198917456</v>
      </c>
      <c r="I17" s="162">
        <v>36</v>
      </c>
      <c r="J17" s="162">
        <v>15</v>
      </c>
      <c r="K17" s="162">
        <v>5</v>
      </c>
      <c r="L17" s="162"/>
      <c r="M17" s="162"/>
      <c r="N17" s="185"/>
      <c r="O17" s="161">
        <v>10290</v>
      </c>
      <c r="P17" s="221"/>
      <c r="Q17" s="162">
        <v>9979</v>
      </c>
      <c r="R17" s="162"/>
      <c r="S17" s="162">
        <v>311</v>
      </c>
      <c r="T17" s="144">
        <f t="shared" si="1"/>
        <v>3.022351797862</v>
      </c>
      <c r="U17" s="162">
        <v>31</v>
      </c>
      <c r="V17" s="162"/>
      <c r="W17" s="162"/>
      <c r="X17" s="162">
        <v>45</v>
      </c>
      <c r="Y17" s="161">
        <v>235</v>
      </c>
      <c r="Z17" s="221"/>
      <c r="AA17" s="162"/>
    </row>
    <row r="18" ht="25" customHeight="1" spans="1:27">
      <c r="A18" s="138">
        <v>45816</v>
      </c>
      <c r="B18" s="139"/>
      <c r="C18" s="272" t="s">
        <v>34</v>
      </c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179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</row>
    <row r="19" ht="25" customHeight="1" spans="1:27">
      <c r="A19" s="134">
        <v>45817</v>
      </c>
      <c r="B19" s="135"/>
      <c r="C19" s="212">
        <v>10892</v>
      </c>
      <c r="D19" s="216"/>
      <c r="E19" s="213">
        <v>10805</v>
      </c>
      <c r="F19" s="213"/>
      <c r="G19" s="213">
        <v>87</v>
      </c>
      <c r="H19" s="157">
        <f t="shared" si="0"/>
        <v>0.798751377157547</v>
      </c>
      <c r="I19" s="213">
        <v>6</v>
      </c>
      <c r="J19" s="213">
        <v>8</v>
      </c>
      <c r="K19" s="213">
        <v>73</v>
      </c>
      <c r="L19" s="213"/>
      <c r="M19" s="213"/>
      <c r="N19" s="185"/>
      <c r="O19" s="212">
        <v>10805</v>
      </c>
      <c r="P19" s="216"/>
      <c r="Q19" s="213">
        <v>10679</v>
      </c>
      <c r="R19" s="213"/>
      <c r="S19" s="213">
        <v>126</v>
      </c>
      <c r="T19" s="157">
        <f t="shared" si="1"/>
        <v>1.16612679315132</v>
      </c>
      <c r="U19" s="213">
        <v>55</v>
      </c>
      <c r="V19" s="213"/>
      <c r="W19" s="213"/>
      <c r="X19" s="213">
        <v>34</v>
      </c>
      <c r="Y19" s="212">
        <v>37</v>
      </c>
      <c r="Z19" s="216"/>
      <c r="AA19" s="213"/>
    </row>
    <row r="20" ht="25" customHeight="1" spans="1:27">
      <c r="A20" s="134">
        <v>45818</v>
      </c>
      <c r="B20" s="135"/>
      <c r="C20" s="63">
        <v>10481</v>
      </c>
      <c r="D20" s="64"/>
      <c r="E20" s="25">
        <v>10065</v>
      </c>
      <c r="F20" s="25"/>
      <c r="G20" s="25">
        <v>416</v>
      </c>
      <c r="H20" s="26">
        <f t="shared" si="0"/>
        <v>3.9690869191871</v>
      </c>
      <c r="I20" s="25">
        <v>10</v>
      </c>
      <c r="J20" s="25">
        <v>25</v>
      </c>
      <c r="K20" s="25">
        <v>381</v>
      </c>
      <c r="L20" s="25"/>
      <c r="M20" s="25"/>
      <c r="N20" s="185"/>
      <c r="O20" s="63">
        <v>10065</v>
      </c>
      <c r="P20" s="64"/>
      <c r="Q20" s="25">
        <v>9453</v>
      </c>
      <c r="R20" s="25"/>
      <c r="S20" s="25">
        <v>612</v>
      </c>
      <c r="T20" s="26">
        <f t="shared" si="1"/>
        <v>6.08047690014903</v>
      </c>
      <c r="U20" s="25">
        <v>313</v>
      </c>
      <c r="V20" s="25"/>
      <c r="W20" s="25"/>
      <c r="X20" s="25">
        <v>257</v>
      </c>
      <c r="Y20" s="63">
        <v>42</v>
      </c>
      <c r="Z20" s="64"/>
      <c r="AA20" s="25"/>
    </row>
    <row r="21" ht="25" customHeight="1" spans="1:27">
      <c r="A21" s="134">
        <v>45819</v>
      </c>
      <c r="B21" s="135"/>
      <c r="C21" s="63">
        <v>10274</v>
      </c>
      <c r="D21" s="64"/>
      <c r="E21" s="25">
        <v>10168</v>
      </c>
      <c r="F21" s="25"/>
      <c r="G21" s="25">
        <v>106</v>
      </c>
      <c r="H21" s="26">
        <f t="shared" si="0"/>
        <v>1.03173058205178</v>
      </c>
      <c r="I21" s="25">
        <v>29</v>
      </c>
      <c r="J21" s="25">
        <v>4</v>
      </c>
      <c r="K21" s="25">
        <v>73</v>
      </c>
      <c r="L21" s="25"/>
      <c r="M21" s="25"/>
      <c r="N21" s="185"/>
      <c r="O21" s="63">
        <v>10168</v>
      </c>
      <c r="P21" s="64"/>
      <c r="Q21" s="25">
        <v>9882</v>
      </c>
      <c r="R21" s="25"/>
      <c r="S21" s="25">
        <v>286</v>
      </c>
      <c r="T21" s="26">
        <f t="shared" si="1"/>
        <v>2.81274586939418</v>
      </c>
      <c r="U21" s="25">
        <v>76</v>
      </c>
      <c r="V21" s="25"/>
      <c r="W21" s="25"/>
      <c r="X21" s="25">
        <v>99</v>
      </c>
      <c r="Y21" s="63">
        <v>111</v>
      </c>
      <c r="Z21" s="64"/>
      <c r="AA21" s="25"/>
    </row>
    <row r="22" ht="25" customHeight="1" spans="1:27">
      <c r="A22" s="134">
        <v>45820</v>
      </c>
      <c r="B22" s="135"/>
      <c r="C22" s="63">
        <v>10118</v>
      </c>
      <c r="D22" s="64"/>
      <c r="E22" s="25">
        <v>10071</v>
      </c>
      <c r="F22" s="25"/>
      <c r="G22" s="25">
        <v>47</v>
      </c>
      <c r="H22" s="26">
        <f t="shared" si="0"/>
        <v>0.464518679580945</v>
      </c>
      <c r="I22" s="25">
        <v>24</v>
      </c>
      <c r="J22" s="25">
        <v>8</v>
      </c>
      <c r="K22" s="25">
        <v>15</v>
      </c>
      <c r="L22" s="25"/>
      <c r="M22" s="25"/>
      <c r="N22" s="185"/>
      <c r="O22" s="63">
        <v>10071</v>
      </c>
      <c r="P22" s="64"/>
      <c r="Q22" s="25">
        <v>9696</v>
      </c>
      <c r="R22" s="25"/>
      <c r="S22" s="25">
        <v>329</v>
      </c>
      <c r="T22" s="26">
        <f t="shared" si="1"/>
        <v>3.26680567967431</v>
      </c>
      <c r="U22" s="25">
        <v>102</v>
      </c>
      <c r="V22" s="25">
        <v>7</v>
      </c>
      <c r="W22" s="25"/>
      <c r="X22" s="25">
        <v>11</v>
      </c>
      <c r="Y22" s="63">
        <v>201</v>
      </c>
      <c r="Z22" s="64"/>
      <c r="AA22" s="25"/>
    </row>
    <row r="23" ht="25" customHeight="1" spans="1:27">
      <c r="A23" s="134">
        <v>45821</v>
      </c>
      <c r="B23" s="135"/>
      <c r="C23" s="63">
        <v>10789</v>
      </c>
      <c r="D23" s="64"/>
      <c r="E23" s="25">
        <v>10715</v>
      </c>
      <c r="F23" s="25"/>
      <c r="G23" s="25">
        <v>74</v>
      </c>
      <c r="H23" s="26">
        <f t="shared" si="0"/>
        <v>0.685883770506998</v>
      </c>
      <c r="I23" s="25">
        <v>22</v>
      </c>
      <c r="J23" s="25">
        <v>31</v>
      </c>
      <c r="K23" s="25">
        <v>21</v>
      </c>
      <c r="L23" s="25"/>
      <c r="M23" s="25"/>
      <c r="N23" s="185"/>
      <c r="O23" s="63">
        <v>10715</v>
      </c>
      <c r="P23" s="64"/>
      <c r="Q23" s="25">
        <v>10386</v>
      </c>
      <c r="R23" s="25"/>
      <c r="S23" s="25">
        <v>329</v>
      </c>
      <c r="T23" s="26">
        <f t="shared" si="1"/>
        <v>3.07046196920205</v>
      </c>
      <c r="U23" s="25">
        <v>204</v>
      </c>
      <c r="V23" s="25"/>
      <c r="W23" s="25">
        <v>2</v>
      </c>
      <c r="X23" s="25">
        <v>35</v>
      </c>
      <c r="Y23" s="63">
        <v>88</v>
      </c>
      <c r="Z23" s="64"/>
      <c r="AA23" s="25"/>
    </row>
    <row r="24" ht="25" customHeight="1" spans="1:27">
      <c r="A24" s="134">
        <v>45822</v>
      </c>
      <c r="B24" s="135"/>
      <c r="C24" s="161">
        <v>10431</v>
      </c>
      <c r="D24" s="221"/>
      <c r="E24" s="162">
        <v>10349</v>
      </c>
      <c r="F24" s="162"/>
      <c r="G24" s="162">
        <v>82</v>
      </c>
      <c r="H24" s="144">
        <f t="shared" si="0"/>
        <v>0.786118301217525</v>
      </c>
      <c r="I24" s="162">
        <v>48</v>
      </c>
      <c r="J24" s="162">
        <v>24</v>
      </c>
      <c r="K24" s="162">
        <v>10</v>
      </c>
      <c r="L24" s="162"/>
      <c r="M24" s="162"/>
      <c r="N24" s="185"/>
      <c r="O24" s="161">
        <v>10349</v>
      </c>
      <c r="P24" s="221"/>
      <c r="Q24" s="162">
        <v>9878</v>
      </c>
      <c r="R24" s="162"/>
      <c r="S24" s="162">
        <v>471</v>
      </c>
      <c r="T24" s="144">
        <f t="shared" si="1"/>
        <v>4.55116436370664</v>
      </c>
      <c r="U24" s="162">
        <v>164</v>
      </c>
      <c r="V24" s="162"/>
      <c r="W24" s="162"/>
      <c r="X24" s="162">
        <v>229</v>
      </c>
      <c r="Y24" s="161">
        <v>78</v>
      </c>
      <c r="Z24" s="221"/>
      <c r="AA24" s="162"/>
    </row>
    <row r="25" ht="25" customHeight="1" spans="1:27">
      <c r="A25" s="138">
        <v>45823</v>
      </c>
      <c r="B25" s="139"/>
      <c r="C25" s="272" t="s">
        <v>34</v>
      </c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179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</row>
    <row r="26" ht="25" customHeight="1" spans="1:27">
      <c r="A26" s="134">
        <v>45824</v>
      </c>
      <c r="B26" s="135"/>
      <c r="C26" s="212">
        <v>10851</v>
      </c>
      <c r="D26" s="216"/>
      <c r="E26" s="213">
        <v>10808</v>
      </c>
      <c r="F26" s="213"/>
      <c r="G26" s="213">
        <v>43</v>
      </c>
      <c r="H26" s="157">
        <f t="shared" si="0"/>
        <v>0.396276840844162</v>
      </c>
      <c r="I26" s="213">
        <v>23</v>
      </c>
      <c r="J26" s="213">
        <v>13</v>
      </c>
      <c r="K26" s="213">
        <v>7</v>
      </c>
      <c r="L26" s="213"/>
      <c r="M26" s="213"/>
      <c r="N26" s="185"/>
      <c r="O26" s="212">
        <v>10808</v>
      </c>
      <c r="P26" s="216"/>
      <c r="Q26" s="213">
        <v>10613</v>
      </c>
      <c r="R26" s="213"/>
      <c r="S26" s="213">
        <v>285</v>
      </c>
      <c r="T26" s="157">
        <f t="shared" si="1"/>
        <v>2.63693560325685</v>
      </c>
      <c r="U26" s="213">
        <v>130</v>
      </c>
      <c r="V26" s="213"/>
      <c r="W26" s="213"/>
      <c r="X26" s="213">
        <v>35</v>
      </c>
      <c r="Y26" s="212">
        <v>120</v>
      </c>
      <c r="Z26" s="216"/>
      <c r="AA26" s="213"/>
    </row>
    <row r="27" ht="25" customHeight="1" spans="1:27">
      <c r="A27" s="134">
        <v>45825</v>
      </c>
      <c r="B27" s="135"/>
      <c r="C27" s="63">
        <v>9506</v>
      </c>
      <c r="D27" s="64"/>
      <c r="E27" s="25">
        <v>9446</v>
      </c>
      <c r="F27" s="25"/>
      <c r="G27" s="25">
        <v>60</v>
      </c>
      <c r="H27" s="26">
        <f t="shared" si="0"/>
        <v>0.631180307174416</v>
      </c>
      <c r="I27" s="25">
        <v>35</v>
      </c>
      <c r="J27" s="25">
        <v>11</v>
      </c>
      <c r="K27" s="25">
        <v>14</v>
      </c>
      <c r="L27" s="25"/>
      <c r="M27" s="25"/>
      <c r="N27" s="185"/>
      <c r="O27" s="63">
        <v>9446</v>
      </c>
      <c r="P27" s="64"/>
      <c r="Q27" s="25">
        <v>9179</v>
      </c>
      <c r="R27" s="25"/>
      <c r="S27" s="25">
        <v>267</v>
      </c>
      <c r="T27" s="26">
        <f t="shared" si="1"/>
        <v>2.82659326699132</v>
      </c>
      <c r="U27" s="25">
        <v>71</v>
      </c>
      <c r="V27" s="25"/>
      <c r="W27" s="25"/>
      <c r="X27" s="25">
        <v>82</v>
      </c>
      <c r="Y27" s="63">
        <v>114</v>
      </c>
      <c r="Z27" s="64"/>
      <c r="AA27" s="25"/>
    </row>
    <row r="28" ht="25" customHeight="1" spans="1:27">
      <c r="A28" s="134">
        <v>45826</v>
      </c>
      <c r="B28" s="135"/>
      <c r="C28" s="63">
        <v>10137</v>
      </c>
      <c r="D28" s="64"/>
      <c r="E28" s="25">
        <v>10073</v>
      </c>
      <c r="F28" s="25"/>
      <c r="G28" s="25">
        <v>64</v>
      </c>
      <c r="H28" s="26">
        <f t="shared" si="0"/>
        <v>0.631350498175002</v>
      </c>
      <c r="I28" s="25">
        <v>40</v>
      </c>
      <c r="J28" s="25">
        <v>16</v>
      </c>
      <c r="K28" s="25">
        <v>8</v>
      </c>
      <c r="L28" s="25"/>
      <c r="M28" s="25"/>
      <c r="N28" s="185"/>
      <c r="O28" s="63">
        <v>10073</v>
      </c>
      <c r="P28" s="64"/>
      <c r="Q28" s="25">
        <v>9846</v>
      </c>
      <c r="R28" s="25"/>
      <c r="S28" s="25">
        <v>227</v>
      </c>
      <c r="T28" s="26">
        <f t="shared" si="1"/>
        <v>2.25354909163109</v>
      </c>
      <c r="U28" s="25">
        <v>120</v>
      </c>
      <c r="V28" s="25"/>
      <c r="W28" s="25"/>
      <c r="X28" s="25">
        <v>18</v>
      </c>
      <c r="Y28" s="63">
        <v>89</v>
      </c>
      <c r="Z28" s="64"/>
      <c r="AA28" s="25"/>
    </row>
    <row r="29" ht="25" customHeight="1" spans="1:27">
      <c r="A29" s="134">
        <v>45827</v>
      </c>
      <c r="B29" s="135"/>
      <c r="C29" s="63">
        <v>12684</v>
      </c>
      <c r="D29" s="64"/>
      <c r="E29" s="25">
        <v>12635</v>
      </c>
      <c r="F29" s="25"/>
      <c r="G29" s="25">
        <v>49</v>
      </c>
      <c r="H29" s="26">
        <f t="shared" si="0"/>
        <v>0.386313465783664</v>
      </c>
      <c r="I29" s="25">
        <v>27</v>
      </c>
      <c r="J29" s="25">
        <v>8</v>
      </c>
      <c r="K29" s="25">
        <v>14</v>
      </c>
      <c r="L29" s="25"/>
      <c r="M29" s="25"/>
      <c r="N29" s="185"/>
      <c r="O29" s="63">
        <v>12635</v>
      </c>
      <c r="P29" s="64"/>
      <c r="Q29" s="25">
        <v>12284</v>
      </c>
      <c r="R29" s="25"/>
      <c r="S29" s="25">
        <v>351</v>
      </c>
      <c r="T29" s="26">
        <f t="shared" si="1"/>
        <v>2.77799762564306</v>
      </c>
      <c r="U29" s="25">
        <v>140</v>
      </c>
      <c r="V29" s="25"/>
      <c r="W29" s="25"/>
      <c r="X29" s="25">
        <v>16</v>
      </c>
      <c r="Y29" s="63">
        <v>145</v>
      </c>
      <c r="Z29" s="64"/>
      <c r="AA29" s="25"/>
    </row>
    <row r="30" ht="25" customHeight="1" spans="1:27">
      <c r="A30" s="134">
        <v>45828</v>
      </c>
      <c r="B30" s="135"/>
      <c r="C30" s="63">
        <v>11697</v>
      </c>
      <c r="D30" s="64"/>
      <c r="E30" s="25">
        <v>11592</v>
      </c>
      <c r="F30" s="25"/>
      <c r="G30" s="25">
        <v>105</v>
      </c>
      <c r="H30" s="26">
        <f t="shared" si="0"/>
        <v>0.897666068222621</v>
      </c>
      <c r="I30" s="25">
        <v>53</v>
      </c>
      <c r="J30" s="25">
        <v>46</v>
      </c>
      <c r="K30" s="25">
        <v>6</v>
      </c>
      <c r="L30" s="25"/>
      <c r="M30" s="25"/>
      <c r="N30" s="185"/>
      <c r="O30" s="63">
        <v>11592</v>
      </c>
      <c r="P30" s="64"/>
      <c r="Q30" s="25">
        <v>11114</v>
      </c>
      <c r="R30" s="25"/>
      <c r="S30" s="25">
        <v>478</v>
      </c>
      <c r="T30" s="26">
        <f t="shared" si="1"/>
        <v>4.12353347135956</v>
      </c>
      <c r="U30" s="25">
        <v>151</v>
      </c>
      <c r="V30" s="25"/>
      <c r="W30" s="25"/>
      <c r="X30" s="25">
        <v>189</v>
      </c>
      <c r="Y30" s="63">
        <v>138</v>
      </c>
      <c r="Z30" s="64"/>
      <c r="AA30" s="25"/>
    </row>
    <row r="31" ht="25" customHeight="1" spans="1:27">
      <c r="A31" s="134">
        <v>45829</v>
      </c>
      <c r="B31" s="135"/>
      <c r="C31" s="161">
        <v>12405</v>
      </c>
      <c r="D31" s="221"/>
      <c r="E31" s="162">
        <v>12340</v>
      </c>
      <c r="F31" s="162"/>
      <c r="G31" s="162">
        <v>65</v>
      </c>
      <c r="H31" s="144">
        <f t="shared" si="0"/>
        <v>0.523982265215639</v>
      </c>
      <c r="I31" s="162">
        <v>47</v>
      </c>
      <c r="J31" s="162">
        <v>13</v>
      </c>
      <c r="K31" s="162">
        <v>5</v>
      </c>
      <c r="L31" s="162"/>
      <c r="M31" s="162"/>
      <c r="N31" s="185"/>
      <c r="O31" s="161">
        <v>12340</v>
      </c>
      <c r="P31" s="221"/>
      <c r="Q31" s="162">
        <v>12066</v>
      </c>
      <c r="R31" s="162"/>
      <c r="S31" s="162">
        <v>274</v>
      </c>
      <c r="T31" s="144">
        <f t="shared" si="1"/>
        <v>2.22042139384117</v>
      </c>
      <c r="U31" s="162">
        <v>46</v>
      </c>
      <c r="V31" s="162"/>
      <c r="W31" s="162"/>
      <c r="X31" s="162">
        <v>56</v>
      </c>
      <c r="Y31" s="161">
        <v>172</v>
      </c>
      <c r="Z31" s="221"/>
      <c r="AA31" s="162"/>
    </row>
    <row r="32" s="265" customFormat="1" ht="25" customHeight="1" spans="1:27">
      <c r="A32" s="138">
        <v>45830</v>
      </c>
      <c r="B32" s="139"/>
      <c r="C32" s="277">
        <v>10383</v>
      </c>
      <c r="D32" s="278"/>
      <c r="E32" s="279">
        <v>10358</v>
      </c>
      <c r="F32" s="279"/>
      <c r="G32" s="279">
        <v>25</v>
      </c>
      <c r="H32" s="205">
        <f t="shared" si="0"/>
        <v>0.240778195126649</v>
      </c>
      <c r="I32" s="279">
        <v>17</v>
      </c>
      <c r="J32" s="279">
        <v>3</v>
      </c>
      <c r="K32" s="279">
        <v>5</v>
      </c>
      <c r="L32" s="279"/>
      <c r="M32" s="279"/>
      <c r="N32" s="279"/>
      <c r="O32" s="277">
        <v>8140</v>
      </c>
      <c r="P32" s="278"/>
      <c r="Q32" s="279">
        <v>7625</v>
      </c>
      <c r="R32" s="279"/>
      <c r="S32" s="279">
        <v>515</v>
      </c>
      <c r="T32" s="205">
        <f t="shared" si="1"/>
        <v>6.32678132678133</v>
      </c>
      <c r="U32" s="279">
        <v>27</v>
      </c>
      <c r="V32" s="279">
        <v>2</v>
      </c>
      <c r="W32" s="279"/>
      <c r="X32" s="279">
        <v>104</v>
      </c>
      <c r="Y32" s="277">
        <v>382</v>
      </c>
      <c r="Z32" s="278"/>
      <c r="AA32" s="279"/>
    </row>
    <row r="33" ht="25" customHeight="1" spans="1:27">
      <c r="A33" s="134">
        <v>45831</v>
      </c>
      <c r="B33" s="135"/>
      <c r="C33" s="212">
        <v>11300</v>
      </c>
      <c r="D33" s="216"/>
      <c r="E33" s="213">
        <v>11240</v>
      </c>
      <c r="F33" s="213"/>
      <c r="G33" s="213">
        <v>60</v>
      </c>
      <c r="H33" s="157">
        <f t="shared" si="0"/>
        <v>0.530973451327434</v>
      </c>
      <c r="I33" s="213">
        <v>60</v>
      </c>
      <c r="J33" s="213"/>
      <c r="K33" s="213"/>
      <c r="L33" s="213"/>
      <c r="M33" s="213"/>
      <c r="N33" s="185"/>
      <c r="O33" s="212">
        <v>12218</v>
      </c>
      <c r="P33" s="216"/>
      <c r="Q33" s="213">
        <v>11602</v>
      </c>
      <c r="R33" s="213"/>
      <c r="S33" s="213">
        <v>616</v>
      </c>
      <c r="T33" s="157">
        <f t="shared" si="1"/>
        <v>5.04174169258471</v>
      </c>
      <c r="U33" s="213">
        <v>98</v>
      </c>
      <c r="V33" s="213"/>
      <c r="W33" s="213"/>
      <c r="X33" s="213">
        <v>197</v>
      </c>
      <c r="Y33" s="212">
        <v>321</v>
      </c>
      <c r="Z33" s="216"/>
      <c r="AA33" s="213"/>
    </row>
    <row r="34" ht="25" customHeight="1" spans="1:27">
      <c r="A34" s="134">
        <v>45832</v>
      </c>
      <c r="B34" s="135"/>
      <c r="C34" s="63">
        <v>10261</v>
      </c>
      <c r="D34" s="64"/>
      <c r="E34" s="25">
        <v>10218</v>
      </c>
      <c r="F34" s="25"/>
      <c r="G34" s="25">
        <v>43</v>
      </c>
      <c r="H34" s="26">
        <f t="shared" si="0"/>
        <v>0.419062469544879</v>
      </c>
      <c r="I34" s="25">
        <v>7</v>
      </c>
      <c r="J34" s="25">
        <v>18</v>
      </c>
      <c r="K34" s="25">
        <v>18</v>
      </c>
      <c r="L34" s="25"/>
      <c r="M34" s="25"/>
      <c r="N34" s="185"/>
      <c r="O34" s="63">
        <v>10458</v>
      </c>
      <c r="P34" s="64"/>
      <c r="Q34" s="25">
        <v>10236</v>
      </c>
      <c r="R34" s="25"/>
      <c r="S34" s="25">
        <v>222</v>
      </c>
      <c r="T34" s="26">
        <f t="shared" si="1"/>
        <v>2.122776821572</v>
      </c>
      <c r="U34" s="25">
        <v>112</v>
      </c>
      <c r="V34" s="25"/>
      <c r="W34" s="25"/>
      <c r="X34" s="25">
        <v>30</v>
      </c>
      <c r="Y34" s="63">
        <v>80</v>
      </c>
      <c r="Z34" s="64"/>
      <c r="AA34" s="25"/>
    </row>
    <row r="35" ht="25" customHeight="1" spans="1:27">
      <c r="A35" s="134">
        <v>45833</v>
      </c>
      <c r="B35" s="135"/>
      <c r="C35" s="63">
        <v>10758</v>
      </c>
      <c r="D35" s="64"/>
      <c r="E35" s="25">
        <v>10730</v>
      </c>
      <c r="F35" s="25"/>
      <c r="G35" s="25">
        <v>28</v>
      </c>
      <c r="H35" s="26">
        <f t="shared" si="0"/>
        <v>0.260271425915598</v>
      </c>
      <c r="I35" s="25">
        <v>19</v>
      </c>
      <c r="J35" s="25">
        <v>6</v>
      </c>
      <c r="K35" s="25">
        <v>3</v>
      </c>
      <c r="L35" s="25"/>
      <c r="M35" s="25"/>
      <c r="N35" s="185"/>
      <c r="O35" s="63">
        <v>10745</v>
      </c>
      <c r="P35" s="64"/>
      <c r="Q35" s="25">
        <v>10624</v>
      </c>
      <c r="R35" s="25"/>
      <c r="S35" s="25">
        <v>121</v>
      </c>
      <c r="T35" s="26">
        <f t="shared" si="1"/>
        <v>1.12610516519311</v>
      </c>
      <c r="U35" s="25">
        <v>43</v>
      </c>
      <c r="V35" s="25"/>
      <c r="W35" s="25"/>
      <c r="X35" s="25">
        <v>17</v>
      </c>
      <c r="Y35" s="63">
        <v>61</v>
      </c>
      <c r="Z35" s="64"/>
      <c r="AA35" s="25"/>
    </row>
    <row r="36" ht="25" customHeight="1" spans="1:27">
      <c r="A36" s="134">
        <v>45834</v>
      </c>
      <c r="B36" s="135"/>
      <c r="C36" s="63">
        <v>9518</v>
      </c>
      <c r="D36" s="64"/>
      <c r="E36" s="25">
        <v>9497</v>
      </c>
      <c r="F36" s="25"/>
      <c r="G36" s="25">
        <v>21</v>
      </c>
      <c r="H36" s="26">
        <f t="shared" si="0"/>
        <v>0.22063458709813</v>
      </c>
      <c r="I36" s="25">
        <v>12</v>
      </c>
      <c r="J36" s="25">
        <v>6</v>
      </c>
      <c r="K36" s="25">
        <v>3</v>
      </c>
      <c r="L36" s="25"/>
      <c r="M36" s="25"/>
      <c r="N36" s="185"/>
      <c r="O36" s="63">
        <v>10491</v>
      </c>
      <c r="P36" s="64"/>
      <c r="Q36" s="25">
        <v>10367</v>
      </c>
      <c r="R36" s="25"/>
      <c r="S36" s="25">
        <v>124</v>
      </c>
      <c r="T36" s="26">
        <f t="shared" si="1"/>
        <v>1.18196549423315</v>
      </c>
      <c r="U36" s="25">
        <v>50</v>
      </c>
      <c r="V36" s="25"/>
      <c r="W36" s="25"/>
      <c r="X36" s="25">
        <v>9</v>
      </c>
      <c r="Y36" s="63">
        <v>65</v>
      </c>
      <c r="Z36" s="64"/>
      <c r="AA36" s="25"/>
    </row>
    <row r="37" ht="25" customHeight="1" spans="1:27">
      <c r="A37" s="134">
        <v>45835</v>
      </c>
      <c r="B37" s="135"/>
      <c r="C37" s="63">
        <v>13746</v>
      </c>
      <c r="D37" s="64"/>
      <c r="E37" s="25">
        <v>13720</v>
      </c>
      <c r="F37" s="25"/>
      <c r="G37" s="25">
        <v>26</v>
      </c>
      <c r="H37" s="26">
        <f t="shared" si="0"/>
        <v>0.189145933362433</v>
      </c>
      <c r="I37" s="25">
        <v>12</v>
      </c>
      <c r="J37" s="25">
        <v>9</v>
      </c>
      <c r="K37" s="25">
        <v>5</v>
      </c>
      <c r="L37" s="25"/>
      <c r="M37" s="25"/>
      <c r="N37" s="185"/>
      <c r="O37" s="63">
        <v>12720</v>
      </c>
      <c r="P37" s="64"/>
      <c r="Q37" s="25">
        <v>12609</v>
      </c>
      <c r="R37" s="25"/>
      <c r="S37" s="25">
        <v>111</v>
      </c>
      <c r="T37" s="26">
        <f t="shared" si="1"/>
        <v>0.872641509433962</v>
      </c>
      <c r="U37" s="25">
        <v>80</v>
      </c>
      <c r="V37" s="25"/>
      <c r="W37" s="25"/>
      <c r="X37" s="25">
        <v>24</v>
      </c>
      <c r="Y37" s="63">
        <v>7</v>
      </c>
      <c r="Z37" s="64"/>
      <c r="AA37" s="25"/>
    </row>
    <row r="38" ht="25" customHeight="1" spans="1:27">
      <c r="A38" s="134">
        <v>45836</v>
      </c>
      <c r="B38" s="135"/>
      <c r="C38" s="161">
        <v>11974</v>
      </c>
      <c r="D38" s="221"/>
      <c r="E38" s="162">
        <v>11940</v>
      </c>
      <c r="F38" s="162"/>
      <c r="G38" s="162">
        <v>34</v>
      </c>
      <c r="H38" s="144">
        <f t="shared" si="0"/>
        <v>0.28394855520294</v>
      </c>
      <c r="I38" s="162">
        <v>24</v>
      </c>
      <c r="J38" s="162"/>
      <c r="K38" s="162">
        <v>10</v>
      </c>
      <c r="L38" s="162"/>
      <c r="M38" s="162"/>
      <c r="N38" s="253"/>
      <c r="O38" s="161">
        <v>11940</v>
      </c>
      <c r="P38" s="221"/>
      <c r="Q38" s="162">
        <v>11809</v>
      </c>
      <c r="R38" s="162"/>
      <c r="S38" s="162">
        <v>131</v>
      </c>
      <c r="T38" s="144">
        <f t="shared" si="1"/>
        <v>1.09715242881072</v>
      </c>
      <c r="U38" s="162">
        <v>113</v>
      </c>
      <c r="V38" s="162"/>
      <c r="W38" s="162"/>
      <c r="X38" s="162">
        <v>18</v>
      </c>
      <c r="Y38" s="161"/>
      <c r="Z38" s="221"/>
      <c r="AA38" s="162"/>
    </row>
    <row r="39" ht="25" customHeight="1" spans="1:27">
      <c r="A39" s="138">
        <v>45837</v>
      </c>
      <c r="B39" s="139"/>
      <c r="C39" s="272" t="s">
        <v>34</v>
      </c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179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</row>
    <row r="40" ht="25" customHeight="1" spans="1:27">
      <c r="A40" s="134">
        <v>45838</v>
      </c>
      <c r="B40" s="135"/>
      <c r="C40" s="212">
        <v>12690</v>
      </c>
      <c r="D40" s="216"/>
      <c r="E40" s="213">
        <v>12672</v>
      </c>
      <c r="F40" s="213"/>
      <c r="G40" s="213">
        <v>18</v>
      </c>
      <c r="H40" s="157">
        <f t="shared" si="0"/>
        <v>0.141843971631206</v>
      </c>
      <c r="I40" s="213">
        <v>13</v>
      </c>
      <c r="J40" s="213">
        <v>1</v>
      </c>
      <c r="K40" s="213">
        <v>4</v>
      </c>
      <c r="L40" s="213"/>
      <c r="M40" s="213"/>
      <c r="N40" s="253"/>
      <c r="O40" s="212">
        <v>12888</v>
      </c>
      <c r="P40" s="216"/>
      <c r="Q40" s="213">
        <v>12790</v>
      </c>
      <c r="R40" s="213"/>
      <c r="S40" s="213">
        <v>98</v>
      </c>
      <c r="T40" s="157">
        <f t="shared" si="1"/>
        <v>0.760397268777157</v>
      </c>
      <c r="U40" s="213">
        <v>81</v>
      </c>
      <c r="V40" s="213"/>
      <c r="W40" s="213"/>
      <c r="X40" s="213">
        <v>17</v>
      </c>
      <c r="Y40" s="212"/>
      <c r="Z40" s="216"/>
      <c r="AA40" s="213"/>
    </row>
    <row r="41" ht="28" customHeight="1" spans="1:27">
      <c r="A41" s="247" t="s">
        <v>24</v>
      </c>
      <c r="B41" s="248"/>
      <c r="C41" s="249">
        <f>SUM(C11:D40)</f>
        <v>281210</v>
      </c>
      <c r="D41" s="250"/>
      <c r="E41" s="251">
        <f>SUM(E11:E40)</f>
        <v>279119</v>
      </c>
      <c r="F41" s="251"/>
      <c r="G41" s="251">
        <f>SUM(G11:G40)</f>
        <v>2101</v>
      </c>
      <c r="H41" s="251"/>
      <c r="I41" s="251">
        <f>SUM(I11:I40)</f>
        <v>785</v>
      </c>
      <c r="J41" s="251">
        <f>SUM(J11:J40)</f>
        <v>457</v>
      </c>
      <c r="K41" s="251">
        <f>SUM(K11:K40)</f>
        <v>848</v>
      </c>
      <c r="L41" s="264"/>
      <c r="M41" s="264"/>
      <c r="N41" s="253"/>
      <c r="O41" s="249">
        <f>SUM(O11:P40)</f>
        <v>283904</v>
      </c>
      <c r="P41" s="250"/>
      <c r="Q41" s="251">
        <f>SUM(Q11:Q40)</f>
        <v>275849</v>
      </c>
      <c r="R41" s="251">
        <f>SUM(R11:R40)</f>
        <v>0</v>
      </c>
      <c r="S41" s="251">
        <f>SUM(S11:S40)</f>
        <v>8101</v>
      </c>
      <c r="T41" s="251"/>
      <c r="U41" s="251">
        <f>SUM(U11:U40)</f>
        <v>2540</v>
      </c>
      <c r="V41" s="251">
        <f>SUM(V11:V40)</f>
        <v>9</v>
      </c>
      <c r="W41" s="251">
        <f>SUM(W11:W40)</f>
        <v>2</v>
      </c>
      <c r="X41" s="251">
        <f>SUM(X11:X40)</f>
        <v>2685</v>
      </c>
      <c r="Y41" s="249">
        <f>SUM(Y11:Y40)</f>
        <v>2807</v>
      </c>
      <c r="Z41" s="250"/>
      <c r="AA41" s="264"/>
    </row>
    <row r="42" ht="35" customHeight="1" spans="1:27">
      <c r="A42" s="166" t="s">
        <v>25</v>
      </c>
      <c r="B42" s="167"/>
      <c r="C42" s="167"/>
      <c r="D42" s="252"/>
      <c r="E42" s="168">
        <f>E41/C41*100</f>
        <v>99.2564275808115</v>
      </c>
      <c r="F42" s="168"/>
      <c r="G42" s="168">
        <f>G41/C41*100</f>
        <v>0.747128480495004</v>
      </c>
      <c r="H42" s="168"/>
      <c r="I42" s="168">
        <f>I41/C41*100</f>
        <v>0.279150812560009</v>
      </c>
      <c r="J42" s="168">
        <f>J41/C41*100</f>
        <v>0.162512001706909</v>
      </c>
      <c r="K42" s="168">
        <f>K41/C41*100</f>
        <v>0.301553998790939</v>
      </c>
      <c r="L42" s="168"/>
      <c r="M42" s="187"/>
      <c r="N42" s="253"/>
      <c r="O42" s="188" t="s">
        <v>25</v>
      </c>
      <c r="P42" s="223"/>
      <c r="Q42" s="168">
        <f>Q41/O41*100</f>
        <v>97.1627733318305</v>
      </c>
      <c r="R42" s="168">
        <f>R41/O41*100</f>
        <v>0</v>
      </c>
      <c r="S42" s="168">
        <f>S41/O41*100</f>
        <v>2.85342932822362</v>
      </c>
      <c r="T42" s="168"/>
      <c r="U42" s="168">
        <f>U41/O41*100</f>
        <v>0.89466862037872</v>
      </c>
      <c r="V42" s="168">
        <f>V41/O41*100</f>
        <v>0.00317008566275924</v>
      </c>
      <c r="W42" s="168">
        <f>W41/O41*100</f>
        <v>0.000704463480613165</v>
      </c>
      <c r="X42" s="168"/>
      <c r="Y42" s="188">
        <f>Y41/O41*100</f>
        <v>0.988714495040577</v>
      </c>
      <c r="Z42" s="223"/>
      <c r="AA42" s="168"/>
    </row>
    <row r="43" ht="60" customHeight="1" spans="1:27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253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</row>
    <row r="44" ht="74" customHeight="1" spans="2:18">
      <c r="B44" s="34"/>
      <c r="C44" s="34"/>
      <c r="D44" s="34"/>
      <c r="E44" s="34"/>
      <c r="F44" s="34"/>
      <c r="R44" s="111"/>
    </row>
    <row r="45" spans="2:6">
      <c r="B45" s="34"/>
      <c r="C45" s="34"/>
      <c r="D45" s="34"/>
      <c r="E45" s="34"/>
      <c r="F45" s="34"/>
    </row>
    <row r="47" ht="28.5" spans="3:13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ht="28.5" spans="3:13"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51" spans="2:4">
      <c r="B51" s="36" t="s">
        <v>26</v>
      </c>
      <c r="C51" s="36"/>
      <c r="D51" s="36"/>
    </row>
    <row r="52" spans="2:4">
      <c r="B52" s="37" t="s">
        <v>16</v>
      </c>
      <c r="C52" s="37"/>
      <c r="D52" s="38">
        <f>I41</f>
        <v>785</v>
      </c>
    </row>
    <row r="53" spans="2:4">
      <c r="B53" s="37" t="s">
        <v>27</v>
      </c>
      <c r="C53" s="37"/>
      <c r="D53" s="38">
        <f>J41</f>
        <v>457</v>
      </c>
    </row>
    <row r="54" spans="2:4">
      <c r="B54" s="37" t="s">
        <v>18</v>
      </c>
      <c r="C54" s="37"/>
      <c r="D54" s="38">
        <f>K41</f>
        <v>848</v>
      </c>
    </row>
    <row r="55" spans="2:4">
      <c r="B55" s="37" t="s">
        <v>28</v>
      </c>
      <c r="C55" s="37"/>
      <c r="D55" s="39">
        <f>SUM(D52:D54)</f>
        <v>2090</v>
      </c>
    </row>
    <row r="56" spans="2:2">
      <c r="B56" s="40"/>
    </row>
    <row r="57" spans="2:4">
      <c r="B57" s="36" t="s">
        <v>29</v>
      </c>
      <c r="C57" s="36"/>
      <c r="D57" s="36"/>
    </row>
    <row r="58" spans="2:4">
      <c r="B58" s="37" t="s">
        <v>18</v>
      </c>
      <c r="C58" s="37"/>
      <c r="D58" s="38">
        <f>U41</f>
        <v>2540</v>
      </c>
    </row>
    <row r="59" spans="2:4">
      <c r="B59" s="37" t="s">
        <v>21</v>
      </c>
      <c r="C59" s="37"/>
      <c r="D59" s="38">
        <f>V41</f>
        <v>9</v>
      </c>
    </row>
    <row r="60" spans="2:4">
      <c r="B60" s="37" t="s">
        <v>22</v>
      </c>
      <c r="C60" s="37"/>
      <c r="D60" s="38">
        <f>W41</f>
        <v>2</v>
      </c>
    </row>
    <row r="61" spans="2:4">
      <c r="B61" s="37" t="s">
        <v>23</v>
      </c>
      <c r="C61" s="37"/>
      <c r="D61" s="38">
        <f>X41</f>
        <v>2685</v>
      </c>
    </row>
    <row r="62" spans="2:4">
      <c r="B62" s="37" t="s">
        <v>19</v>
      </c>
      <c r="C62" s="37"/>
      <c r="D62" s="38">
        <f>Y41</f>
        <v>2807</v>
      </c>
    </row>
    <row r="63" spans="2:4">
      <c r="B63" s="37" t="s">
        <v>28</v>
      </c>
      <c r="C63" s="37"/>
      <c r="D63" s="39">
        <f>SUM(D58:D62)</f>
        <v>8043</v>
      </c>
    </row>
  </sheetData>
  <mergeCells count="167">
    <mergeCell ref="X3:Y3"/>
    <mergeCell ref="Z3:AA3"/>
    <mergeCell ref="X4:Y4"/>
    <mergeCell ref="Z4:AA4"/>
    <mergeCell ref="C5:W5"/>
    <mergeCell ref="X5:AA5"/>
    <mergeCell ref="A6:AA6"/>
    <mergeCell ref="A7:M7"/>
    <mergeCell ref="O7:AA7"/>
    <mergeCell ref="A11:B11"/>
    <mergeCell ref="C11:AA11"/>
    <mergeCell ref="A12:B12"/>
    <mergeCell ref="C12:D12"/>
    <mergeCell ref="O12:P12"/>
    <mergeCell ref="Y12:Z12"/>
    <mergeCell ref="A13:B13"/>
    <mergeCell ref="C13:D13"/>
    <mergeCell ref="O13:P13"/>
    <mergeCell ref="Y13:Z13"/>
    <mergeCell ref="A14:B14"/>
    <mergeCell ref="C14:D14"/>
    <mergeCell ref="O14:P14"/>
    <mergeCell ref="Y14:Z14"/>
    <mergeCell ref="A15:B15"/>
    <mergeCell ref="C15:D15"/>
    <mergeCell ref="O15:P15"/>
    <mergeCell ref="Y15:Z15"/>
    <mergeCell ref="A16:B16"/>
    <mergeCell ref="C16:D16"/>
    <mergeCell ref="O16:P16"/>
    <mergeCell ref="Y16:Z16"/>
    <mergeCell ref="A17:B17"/>
    <mergeCell ref="C17:D17"/>
    <mergeCell ref="O17:P17"/>
    <mergeCell ref="Y17:Z17"/>
    <mergeCell ref="A18:B18"/>
    <mergeCell ref="C18:AA18"/>
    <mergeCell ref="A19:B19"/>
    <mergeCell ref="C19:D19"/>
    <mergeCell ref="O19:P19"/>
    <mergeCell ref="Y19:Z19"/>
    <mergeCell ref="A20:B20"/>
    <mergeCell ref="C20:D20"/>
    <mergeCell ref="O20:P20"/>
    <mergeCell ref="Y20:Z20"/>
    <mergeCell ref="A21:B21"/>
    <mergeCell ref="C21:D21"/>
    <mergeCell ref="O21:P21"/>
    <mergeCell ref="Y21:Z21"/>
    <mergeCell ref="A22:B22"/>
    <mergeCell ref="C22:D22"/>
    <mergeCell ref="O22:P22"/>
    <mergeCell ref="Y22:Z22"/>
    <mergeCell ref="A23:B23"/>
    <mergeCell ref="C23:D23"/>
    <mergeCell ref="O23:P23"/>
    <mergeCell ref="Y23:Z23"/>
    <mergeCell ref="A24:B24"/>
    <mergeCell ref="C24:D24"/>
    <mergeCell ref="O24:P24"/>
    <mergeCell ref="Y24:Z24"/>
    <mergeCell ref="A25:B25"/>
    <mergeCell ref="C25:AA25"/>
    <mergeCell ref="A26:B26"/>
    <mergeCell ref="C26:D26"/>
    <mergeCell ref="O26:P26"/>
    <mergeCell ref="Y26:Z26"/>
    <mergeCell ref="A27:B27"/>
    <mergeCell ref="C27:D27"/>
    <mergeCell ref="O27:P27"/>
    <mergeCell ref="Y27:Z27"/>
    <mergeCell ref="A28:B28"/>
    <mergeCell ref="C28:D28"/>
    <mergeCell ref="O28:P28"/>
    <mergeCell ref="Y28:Z28"/>
    <mergeCell ref="A29:B29"/>
    <mergeCell ref="C29:D29"/>
    <mergeCell ref="O29:P29"/>
    <mergeCell ref="Y29:Z29"/>
    <mergeCell ref="A30:B30"/>
    <mergeCell ref="C30:D30"/>
    <mergeCell ref="O30:P30"/>
    <mergeCell ref="Y30:Z30"/>
    <mergeCell ref="A31:B31"/>
    <mergeCell ref="C31:D31"/>
    <mergeCell ref="O31:P31"/>
    <mergeCell ref="Y31:Z31"/>
    <mergeCell ref="A32:B32"/>
    <mergeCell ref="C32:D32"/>
    <mergeCell ref="O32:P32"/>
    <mergeCell ref="Y32:Z32"/>
    <mergeCell ref="A33:B33"/>
    <mergeCell ref="C33:D33"/>
    <mergeCell ref="O33:P33"/>
    <mergeCell ref="Y33:Z33"/>
    <mergeCell ref="A34:B34"/>
    <mergeCell ref="C34:D34"/>
    <mergeCell ref="O34:P34"/>
    <mergeCell ref="Y34:Z34"/>
    <mergeCell ref="A35:B35"/>
    <mergeCell ref="C35:D35"/>
    <mergeCell ref="O35:P35"/>
    <mergeCell ref="Y35:Z35"/>
    <mergeCell ref="A36:B36"/>
    <mergeCell ref="C36:D36"/>
    <mergeCell ref="O36:P36"/>
    <mergeCell ref="Y36:Z36"/>
    <mergeCell ref="A37:B37"/>
    <mergeCell ref="C37:D37"/>
    <mergeCell ref="O37:P37"/>
    <mergeCell ref="Y37:Z37"/>
    <mergeCell ref="A38:B38"/>
    <mergeCell ref="C38:D38"/>
    <mergeCell ref="O38:P38"/>
    <mergeCell ref="Y38:Z38"/>
    <mergeCell ref="A39:B39"/>
    <mergeCell ref="C39:AA39"/>
    <mergeCell ref="A40:B40"/>
    <mergeCell ref="C40:D40"/>
    <mergeCell ref="O40:P40"/>
    <mergeCell ref="Y40:Z40"/>
    <mergeCell ref="A41:B41"/>
    <mergeCell ref="C41:D41"/>
    <mergeCell ref="O41:P41"/>
    <mergeCell ref="Y41:Z41"/>
    <mergeCell ref="A42:D42"/>
    <mergeCell ref="O42:P42"/>
    <mergeCell ref="Y42:Z42"/>
    <mergeCell ref="B51:D51"/>
    <mergeCell ref="B52:C52"/>
    <mergeCell ref="B53:C53"/>
    <mergeCell ref="B54:C54"/>
    <mergeCell ref="B55:C55"/>
    <mergeCell ref="B57:D57"/>
    <mergeCell ref="B58:C58"/>
    <mergeCell ref="B59:C59"/>
    <mergeCell ref="B60:C60"/>
    <mergeCell ref="B61:C61"/>
    <mergeCell ref="B62:C62"/>
    <mergeCell ref="B63:C63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40:N43"/>
    <mergeCell ref="Q8:Q10"/>
    <mergeCell ref="R8:R10"/>
    <mergeCell ref="S8:S10"/>
    <mergeCell ref="T8:T10"/>
    <mergeCell ref="U8:U10"/>
    <mergeCell ref="V8:V10"/>
    <mergeCell ref="W8:W10"/>
    <mergeCell ref="X8:X10"/>
    <mergeCell ref="AA8:AA10"/>
    <mergeCell ref="A1:B5"/>
    <mergeCell ref="C1:W4"/>
    <mergeCell ref="X1:Y2"/>
    <mergeCell ref="Z1:AA2"/>
    <mergeCell ref="A8:B10"/>
    <mergeCell ref="C8:D10"/>
    <mergeCell ref="O8:P10"/>
    <mergeCell ref="Y8:Z10"/>
  </mergeCells>
  <pageMargins left="0.251388888888889" right="0.251388888888889" top="0.251388888888889" bottom="0.251388888888889" header="0.298611111111111" footer="0.298611111111111"/>
  <pageSetup paperSize="9" scale="55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69"/>
  <sheetViews>
    <sheetView zoomScale="85" zoomScaleNormal="85" zoomScalePageLayoutView="80" zoomScaleSheetLayoutView="70" topLeftCell="A6" workbookViewId="0">
      <pane ySplit="5" topLeftCell="A11" activePane="bottomLeft" state="frozen"/>
      <selection/>
      <selection pane="bottomLeft" activeCell="G47" sqref="G47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5.20952380952381" customWidth="1"/>
    <col min="4" max="4" width="7.73333333333333" customWidth="1"/>
    <col min="5" max="5" width="14.9619047619048" customWidth="1"/>
    <col min="6" max="6" width="12.9333333333333" customWidth="1"/>
    <col min="7" max="7" width="8.85714285714286" customWidth="1"/>
    <col min="8" max="8" width="10.5714285714286" customWidth="1"/>
    <col min="9" max="9" width="10.247619047619" customWidth="1"/>
    <col min="10" max="10" width="11.4190476190476" customWidth="1"/>
    <col min="11" max="11" width="10.4285714285714" customWidth="1"/>
    <col min="12" max="12" width="9.74285714285714" customWidth="1"/>
    <col min="13" max="13" width="9.85714285714286" customWidth="1"/>
    <col min="14" max="14" width="3.25714285714286" style="75" customWidth="1"/>
    <col min="15" max="15" width="9.14285714285714" customWidth="1"/>
    <col min="16" max="16" width="19.8285714285714" customWidth="1"/>
    <col min="17" max="17" width="12.4285714285714" customWidth="1"/>
    <col min="18" max="18" width="11.4285714285714" customWidth="1"/>
    <col min="19" max="19" width="8.85714285714286" customWidth="1"/>
    <col min="20" max="20" width="10.5714285714286" customWidth="1"/>
    <col min="21" max="21" width="11.2571428571429" customWidth="1"/>
    <col min="22" max="22" width="11.4190476190476" customWidth="1"/>
    <col min="23" max="23" width="10.247619047619" customWidth="1"/>
    <col min="24" max="24" width="13.4380952380952" customWidth="1"/>
    <col min="25" max="25" width="7.05714285714286" customWidth="1"/>
    <col min="26" max="26" width="7.14285714285714" customWidth="1"/>
    <col min="27" max="27" width="14.2857142857143" customWidth="1"/>
    <col min="28" max="33" width="6.71428571428571" customWidth="1"/>
  </cols>
  <sheetData>
    <row r="1" spans="1:27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169"/>
      <c r="O1" s="3"/>
      <c r="P1" s="3"/>
      <c r="Q1" s="3"/>
      <c r="R1" s="3"/>
      <c r="S1" s="3"/>
      <c r="T1" s="3"/>
      <c r="U1" s="3"/>
      <c r="V1" s="3"/>
      <c r="W1" s="50"/>
      <c r="X1" s="189" t="s">
        <v>1</v>
      </c>
      <c r="Y1" s="190"/>
      <c r="Z1" s="191" t="s">
        <v>2</v>
      </c>
      <c r="AA1" s="191"/>
    </row>
    <row r="2" ht="23" customHeight="1" spans="1:27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6"/>
      <c r="N2" s="170"/>
      <c r="O2" s="6"/>
      <c r="P2" s="6"/>
      <c r="Q2" s="6"/>
      <c r="R2" s="6"/>
      <c r="S2" s="6"/>
      <c r="T2" s="6"/>
      <c r="U2" s="6"/>
      <c r="V2" s="6"/>
      <c r="W2" s="54"/>
      <c r="X2" s="192"/>
      <c r="Y2" s="193"/>
      <c r="Z2" s="191"/>
      <c r="AA2" s="191"/>
    </row>
    <row r="3" ht="26" customHeight="1" spans="1:27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6"/>
      <c r="N3" s="170"/>
      <c r="O3" s="6"/>
      <c r="P3" s="6"/>
      <c r="Q3" s="6"/>
      <c r="R3" s="6"/>
      <c r="S3" s="6"/>
      <c r="T3" s="6"/>
      <c r="U3" s="6"/>
      <c r="V3" s="6"/>
      <c r="W3" s="54"/>
      <c r="X3" s="194" t="s">
        <v>31</v>
      </c>
      <c r="Y3" s="195"/>
      <c r="Z3" s="311" t="s">
        <v>36</v>
      </c>
      <c r="AA3" s="191"/>
    </row>
    <row r="4" ht="24" customHeight="1" spans="1:27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7"/>
      <c r="N4" s="171"/>
      <c r="O4" s="7"/>
      <c r="P4" s="7"/>
      <c r="Q4" s="7"/>
      <c r="R4" s="7"/>
      <c r="S4" s="7"/>
      <c r="T4" s="7"/>
      <c r="U4" s="7"/>
      <c r="V4" s="7"/>
      <c r="W4" s="59"/>
      <c r="X4" s="194" t="s">
        <v>32</v>
      </c>
      <c r="Y4" s="195"/>
      <c r="Z4" s="196">
        <v>45607</v>
      </c>
      <c r="AA4" s="196"/>
    </row>
    <row r="5" ht="19" customHeight="1" spans="1:27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172"/>
      <c r="O5" s="82"/>
      <c r="P5" s="82"/>
      <c r="Q5" s="82"/>
      <c r="R5" s="82"/>
      <c r="S5" s="82"/>
      <c r="T5" s="82"/>
      <c r="U5" s="82"/>
      <c r="V5" s="82"/>
      <c r="W5" s="119"/>
      <c r="X5" s="197" t="s">
        <v>7</v>
      </c>
      <c r="Y5" s="197"/>
      <c r="Z5" s="197"/>
      <c r="AA5" s="198"/>
    </row>
    <row r="6" ht="20" customHeight="1" spans="1:33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11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12"/>
      <c r="AC6" s="12"/>
      <c r="AD6" s="12"/>
      <c r="AE6" s="12"/>
      <c r="AF6" s="12"/>
      <c r="AG6" s="12"/>
    </row>
    <row r="7" ht="21" customHeight="1" spans="1:33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73"/>
      <c r="N7" s="174"/>
      <c r="O7" s="175" t="s">
        <v>9</v>
      </c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72"/>
      <c r="AC7" s="72"/>
      <c r="AD7" s="72"/>
      <c r="AE7" s="72"/>
      <c r="AF7" s="72"/>
      <c r="AG7" s="73"/>
    </row>
    <row r="8" ht="15.75" spans="1:27">
      <c r="A8" s="128" t="s">
        <v>10</v>
      </c>
      <c r="B8" s="129"/>
      <c r="C8" s="86" t="s">
        <v>11</v>
      </c>
      <c r="D8" s="86"/>
      <c r="E8" s="85" t="s">
        <v>12</v>
      </c>
      <c r="F8" s="85" t="s">
        <v>13</v>
      </c>
      <c r="G8" s="86" t="s">
        <v>14</v>
      </c>
      <c r="H8" s="86" t="s">
        <v>15</v>
      </c>
      <c r="I8" s="86" t="s">
        <v>16</v>
      </c>
      <c r="J8" s="86" t="s">
        <v>17</v>
      </c>
      <c r="K8" s="85" t="s">
        <v>18</v>
      </c>
      <c r="L8" s="85" t="s">
        <v>19</v>
      </c>
      <c r="M8" s="85" t="s">
        <v>20</v>
      </c>
      <c r="N8" s="176"/>
      <c r="O8" s="86" t="s">
        <v>11</v>
      </c>
      <c r="P8" s="86"/>
      <c r="Q8" s="86" t="s">
        <v>12</v>
      </c>
      <c r="R8" s="86" t="s">
        <v>13</v>
      </c>
      <c r="S8" s="86" t="s">
        <v>14</v>
      </c>
      <c r="T8" s="86" t="s">
        <v>15</v>
      </c>
      <c r="U8" s="86" t="s">
        <v>18</v>
      </c>
      <c r="V8" s="86" t="s">
        <v>21</v>
      </c>
      <c r="W8" s="86" t="s">
        <v>22</v>
      </c>
      <c r="X8" s="86" t="s">
        <v>23</v>
      </c>
      <c r="Y8" s="85" t="s">
        <v>19</v>
      </c>
      <c r="Z8" s="85"/>
      <c r="AA8" s="85" t="s">
        <v>20</v>
      </c>
    </row>
    <row r="9" ht="15.75" spans="1:27">
      <c r="A9" s="130"/>
      <c r="B9" s="131"/>
      <c r="C9" s="86"/>
      <c r="D9" s="86"/>
      <c r="E9" s="85"/>
      <c r="F9" s="85"/>
      <c r="G9" s="86"/>
      <c r="H9" s="86"/>
      <c r="I9" s="86"/>
      <c r="J9" s="86"/>
      <c r="K9" s="85"/>
      <c r="L9" s="85"/>
      <c r="M9" s="85"/>
      <c r="N9" s="176"/>
      <c r="O9" s="86"/>
      <c r="P9" s="86"/>
      <c r="Q9" s="86"/>
      <c r="R9" s="86"/>
      <c r="S9" s="86"/>
      <c r="T9" s="86"/>
      <c r="U9" s="86"/>
      <c r="V9" s="86"/>
      <c r="W9" s="86"/>
      <c r="X9" s="86"/>
      <c r="Y9" s="85"/>
      <c r="Z9" s="85"/>
      <c r="AA9" s="85"/>
    </row>
    <row r="10" ht="15.75" spans="1:27">
      <c r="A10" s="132"/>
      <c r="B10" s="133"/>
      <c r="C10" s="86"/>
      <c r="D10" s="86"/>
      <c r="E10" s="85"/>
      <c r="F10" s="85"/>
      <c r="G10" s="86"/>
      <c r="H10" s="86"/>
      <c r="I10" s="86"/>
      <c r="J10" s="86"/>
      <c r="K10" s="85"/>
      <c r="L10" s="85"/>
      <c r="M10" s="85"/>
      <c r="N10" s="17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5"/>
      <c r="Z10" s="85"/>
      <c r="AA10" s="85"/>
    </row>
    <row r="11" ht="18.75" spans="1:27">
      <c r="A11" s="134">
        <v>45839</v>
      </c>
      <c r="B11" s="135"/>
      <c r="C11" s="212">
        <v>11448</v>
      </c>
      <c r="D11" s="216"/>
      <c r="E11" s="213">
        <v>11387</v>
      </c>
      <c r="F11" s="213"/>
      <c r="G11" s="213">
        <v>61</v>
      </c>
      <c r="H11" s="157">
        <f t="shared" ref="H11:H16" si="0">G11/C11*100</f>
        <v>0.532844164919637</v>
      </c>
      <c r="I11" s="213">
        <v>49</v>
      </c>
      <c r="J11" s="213">
        <v>1</v>
      </c>
      <c r="K11" s="213">
        <v>11</v>
      </c>
      <c r="L11" s="213"/>
      <c r="M11" s="213"/>
      <c r="N11" s="185"/>
      <c r="O11" s="212">
        <v>12387</v>
      </c>
      <c r="P11" s="216"/>
      <c r="Q11" s="213">
        <v>12234</v>
      </c>
      <c r="R11" s="213"/>
      <c r="S11" s="213">
        <v>153</v>
      </c>
      <c r="T11" s="157">
        <f t="shared" ref="T11:T16" si="1">S11/O11*100</f>
        <v>1.23516589973359</v>
      </c>
      <c r="U11" s="213">
        <v>54</v>
      </c>
      <c r="V11" s="213"/>
      <c r="W11" s="213"/>
      <c r="X11" s="213">
        <v>94</v>
      </c>
      <c r="Y11" s="212">
        <v>5</v>
      </c>
      <c r="Z11" s="216"/>
      <c r="AA11" s="213"/>
    </row>
    <row r="12" ht="25" customHeight="1" spans="1:27">
      <c r="A12" s="134">
        <v>45840</v>
      </c>
      <c r="B12" s="135"/>
      <c r="C12" s="212">
        <v>12083</v>
      </c>
      <c r="D12" s="216"/>
      <c r="E12" s="213">
        <v>12049</v>
      </c>
      <c r="F12" s="213"/>
      <c r="G12" s="213">
        <v>34</v>
      </c>
      <c r="H12" s="157">
        <f t="shared" si="0"/>
        <v>0.281387072746834</v>
      </c>
      <c r="I12" s="213">
        <v>13</v>
      </c>
      <c r="J12" s="213">
        <v>9</v>
      </c>
      <c r="K12" s="213">
        <v>12</v>
      </c>
      <c r="L12" s="213"/>
      <c r="M12" s="213"/>
      <c r="N12" s="185"/>
      <c r="O12" s="212">
        <v>12049</v>
      </c>
      <c r="P12" s="216"/>
      <c r="Q12" s="213">
        <v>11972</v>
      </c>
      <c r="R12" s="213"/>
      <c r="S12" s="213">
        <v>77</v>
      </c>
      <c r="T12" s="157">
        <f t="shared" si="1"/>
        <v>0.639057183168728</v>
      </c>
      <c r="U12" s="213">
        <v>66</v>
      </c>
      <c r="V12" s="213">
        <v>1</v>
      </c>
      <c r="W12" s="213"/>
      <c r="X12" s="213">
        <v>8</v>
      </c>
      <c r="Y12" s="212">
        <v>3</v>
      </c>
      <c r="Z12" s="216"/>
      <c r="AA12" s="213"/>
    </row>
    <row r="13" ht="25" customHeight="1" spans="1:27">
      <c r="A13" s="134">
        <v>45841</v>
      </c>
      <c r="B13" s="135"/>
      <c r="C13" s="161">
        <v>9565</v>
      </c>
      <c r="D13" s="221"/>
      <c r="E13" s="162">
        <v>9498</v>
      </c>
      <c r="F13" s="162"/>
      <c r="G13" s="162">
        <v>67</v>
      </c>
      <c r="H13" s="26">
        <f t="shared" si="0"/>
        <v>0.700470465237846</v>
      </c>
      <c r="I13" s="162">
        <v>10</v>
      </c>
      <c r="J13" s="162">
        <v>17</v>
      </c>
      <c r="K13" s="162">
        <v>40</v>
      </c>
      <c r="L13" s="162"/>
      <c r="M13" s="162"/>
      <c r="N13" s="185"/>
      <c r="O13" s="161">
        <v>9498</v>
      </c>
      <c r="P13" s="221"/>
      <c r="Q13" s="162">
        <v>9362</v>
      </c>
      <c r="R13" s="162"/>
      <c r="S13" s="162">
        <v>136</v>
      </c>
      <c r="T13" s="26">
        <f t="shared" si="1"/>
        <v>1.43188039587282</v>
      </c>
      <c r="U13" s="162">
        <v>58</v>
      </c>
      <c r="V13" s="162">
        <v>14</v>
      </c>
      <c r="W13" s="162"/>
      <c r="X13" s="162">
        <v>52</v>
      </c>
      <c r="Y13" s="161">
        <v>12</v>
      </c>
      <c r="Z13" s="221"/>
      <c r="AA13" s="162"/>
    </row>
    <row r="14" ht="25" customHeight="1" spans="1:27">
      <c r="A14" s="134">
        <v>45842</v>
      </c>
      <c r="B14" s="135"/>
      <c r="C14" s="25">
        <v>11248</v>
      </c>
      <c r="D14" s="25"/>
      <c r="E14" s="25">
        <v>11193</v>
      </c>
      <c r="F14" s="25"/>
      <c r="G14" s="25">
        <v>55</v>
      </c>
      <c r="H14" s="26">
        <f t="shared" si="0"/>
        <v>0.488975817923186</v>
      </c>
      <c r="I14" s="25">
        <v>27</v>
      </c>
      <c r="J14" s="25">
        <v>2</v>
      </c>
      <c r="K14" s="25">
        <v>26</v>
      </c>
      <c r="L14" s="25"/>
      <c r="M14" s="25"/>
      <c r="N14" s="177"/>
      <c r="O14" s="25">
        <v>11193</v>
      </c>
      <c r="P14" s="25"/>
      <c r="Q14" s="25">
        <v>11002</v>
      </c>
      <c r="R14" s="25"/>
      <c r="S14" s="25">
        <v>191</v>
      </c>
      <c r="T14" s="26">
        <f t="shared" si="1"/>
        <v>1.70642365764317</v>
      </c>
      <c r="U14" s="25">
        <v>91</v>
      </c>
      <c r="V14" s="25"/>
      <c r="W14" s="25"/>
      <c r="X14" s="25">
        <v>65</v>
      </c>
      <c r="Y14" s="25">
        <v>35</v>
      </c>
      <c r="Z14" s="25"/>
      <c r="AA14" s="25"/>
    </row>
    <row r="15" ht="25" customHeight="1" spans="1:27">
      <c r="A15" s="134">
        <v>45843</v>
      </c>
      <c r="B15" s="135"/>
      <c r="C15" s="25">
        <v>12619</v>
      </c>
      <c r="D15" s="25"/>
      <c r="E15" s="25">
        <v>12578</v>
      </c>
      <c r="F15" s="25"/>
      <c r="G15" s="25">
        <v>41</v>
      </c>
      <c r="H15" s="26">
        <f t="shared" si="0"/>
        <v>0.324906886441081</v>
      </c>
      <c r="I15" s="25">
        <v>16</v>
      </c>
      <c r="J15" s="25">
        <v>4</v>
      </c>
      <c r="K15" s="25">
        <v>21</v>
      </c>
      <c r="L15" s="25"/>
      <c r="M15" s="25"/>
      <c r="N15" s="177"/>
      <c r="O15" s="25">
        <v>12578</v>
      </c>
      <c r="P15" s="25"/>
      <c r="Q15" s="25">
        <v>12501</v>
      </c>
      <c r="R15" s="25"/>
      <c r="S15" s="25">
        <v>77</v>
      </c>
      <c r="T15" s="26">
        <f t="shared" ref="T15:T18" si="2">S15/O15*100</f>
        <v>0.612179996819844</v>
      </c>
      <c r="U15" s="25">
        <v>56</v>
      </c>
      <c r="V15" s="25">
        <v>4</v>
      </c>
      <c r="W15" s="25"/>
      <c r="X15" s="25">
        <v>8</v>
      </c>
      <c r="Y15" s="25">
        <v>9</v>
      </c>
      <c r="Z15" s="25"/>
      <c r="AA15" s="25"/>
    </row>
    <row r="16" ht="25" customHeight="1" spans="1:27">
      <c r="A16" s="136" t="s">
        <v>37</v>
      </c>
      <c r="B16" s="137"/>
      <c r="C16" s="237">
        <f>SUM(C11:D15)</f>
        <v>56963</v>
      </c>
      <c r="D16" s="238"/>
      <c r="E16" s="237">
        <f>SUM(E11:E15)</f>
        <v>56705</v>
      </c>
      <c r="F16" s="237">
        <f>SUM(F11:F15)</f>
        <v>0</v>
      </c>
      <c r="G16" s="237">
        <f>SUM(G11:G15)</f>
        <v>258</v>
      </c>
      <c r="H16" s="108">
        <f t="shared" si="0"/>
        <v>0.452925583273353</v>
      </c>
      <c r="I16" s="237">
        <f>SUM(I11:I15)</f>
        <v>115</v>
      </c>
      <c r="J16" s="237">
        <f>SUM(J11:J15)</f>
        <v>33</v>
      </c>
      <c r="K16" s="237">
        <f>SUM(K11:K15)</f>
        <v>110</v>
      </c>
      <c r="L16" s="237">
        <f>SUM(L11:L15)</f>
        <v>0</v>
      </c>
      <c r="M16" s="237">
        <f>SUM(M11:M15)</f>
        <v>0</v>
      </c>
      <c r="N16" s="238"/>
      <c r="O16" s="237">
        <f>SUM(O11:P15)</f>
        <v>57705</v>
      </c>
      <c r="P16" s="238"/>
      <c r="Q16" s="237">
        <f>SUM(Q11:Q15)</f>
        <v>57071</v>
      </c>
      <c r="R16" s="237">
        <f>SUM(R11:R15)</f>
        <v>0</v>
      </c>
      <c r="S16" s="237">
        <f>SUM(S11:S15)</f>
        <v>634</v>
      </c>
      <c r="T16" s="108">
        <f t="shared" si="2"/>
        <v>1.09869162117667</v>
      </c>
      <c r="U16" s="237">
        <f>SUM(U11:U15)</f>
        <v>325</v>
      </c>
      <c r="V16" s="237">
        <f>SUM(V11:V15)</f>
        <v>19</v>
      </c>
      <c r="W16" s="237">
        <f>SUM(W11:W15)</f>
        <v>0</v>
      </c>
      <c r="X16" s="237">
        <f>SUM(X11:X15)</f>
        <v>227</v>
      </c>
      <c r="Y16" s="255">
        <f>SUM(Y11:Z15)</f>
        <v>64</v>
      </c>
      <c r="Z16" s="256"/>
      <c r="AA16" s="237">
        <f>SUM(AA11:AA15)</f>
        <v>0</v>
      </c>
    </row>
    <row r="17" ht="25" customHeight="1" spans="1:27">
      <c r="A17" s="138">
        <v>45844</v>
      </c>
      <c r="B17" s="139"/>
      <c r="C17" s="259"/>
      <c r="D17" s="260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59"/>
      <c r="P17" s="260"/>
      <c r="Q17" s="261"/>
      <c r="R17" s="261"/>
      <c r="S17" s="261"/>
      <c r="T17" s="93" t="e">
        <f t="shared" si="2"/>
        <v>#DIV/0!</v>
      </c>
      <c r="U17" s="261"/>
      <c r="V17" s="261"/>
      <c r="W17" s="261"/>
      <c r="X17" s="261"/>
      <c r="Y17" s="261"/>
      <c r="Z17" s="261"/>
      <c r="AA17" s="261"/>
    </row>
    <row r="18" ht="25" customHeight="1" spans="1:27">
      <c r="A18" s="134">
        <v>45845</v>
      </c>
      <c r="B18" s="135"/>
      <c r="C18" s="25">
        <v>11752</v>
      </c>
      <c r="D18" s="25"/>
      <c r="E18" s="25">
        <v>11737</v>
      </c>
      <c r="F18" s="25"/>
      <c r="G18" s="25">
        <v>15</v>
      </c>
      <c r="H18" s="26">
        <f>G18/C18*100</f>
        <v>0.127637848876787</v>
      </c>
      <c r="I18" s="25">
        <v>12</v>
      </c>
      <c r="J18" s="25"/>
      <c r="K18" s="25">
        <v>3</v>
      </c>
      <c r="L18" s="25"/>
      <c r="M18" s="25"/>
      <c r="N18" s="177"/>
      <c r="O18" s="25">
        <v>10644</v>
      </c>
      <c r="P18" s="25"/>
      <c r="Q18" s="25">
        <v>10578</v>
      </c>
      <c r="R18" s="25"/>
      <c r="S18" s="25">
        <v>66</v>
      </c>
      <c r="T18" s="26">
        <f t="shared" si="2"/>
        <v>0.620067643742954</v>
      </c>
      <c r="U18" s="25">
        <v>53</v>
      </c>
      <c r="V18" s="25"/>
      <c r="W18" s="25"/>
      <c r="X18" s="25">
        <v>5</v>
      </c>
      <c r="Y18" s="25">
        <v>8</v>
      </c>
      <c r="Z18" s="25"/>
      <c r="AA18" s="25"/>
    </row>
    <row r="19" ht="25" customHeight="1" spans="1:27">
      <c r="A19" s="134">
        <v>45846</v>
      </c>
      <c r="B19" s="135"/>
      <c r="C19" s="25">
        <v>11153</v>
      </c>
      <c r="D19" s="25"/>
      <c r="E19" s="25">
        <v>11121</v>
      </c>
      <c r="F19" s="25"/>
      <c r="G19" s="25">
        <v>32</v>
      </c>
      <c r="H19" s="26">
        <f t="shared" ref="H19:H24" si="3">G19/C19*100</f>
        <v>0.286918317941361</v>
      </c>
      <c r="I19" s="25">
        <v>26</v>
      </c>
      <c r="J19" s="25">
        <v>2</v>
      </c>
      <c r="K19" s="25">
        <v>4</v>
      </c>
      <c r="L19" s="25"/>
      <c r="M19" s="25"/>
      <c r="N19" s="177"/>
      <c r="O19" s="25">
        <v>10945</v>
      </c>
      <c r="P19" s="25"/>
      <c r="Q19" s="25">
        <v>10902</v>
      </c>
      <c r="R19" s="25"/>
      <c r="S19" s="25">
        <v>43</v>
      </c>
      <c r="T19" s="26">
        <f t="shared" ref="T19:T24" si="4">S19/O19*100</f>
        <v>0.392873458200091</v>
      </c>
      <c r="U19" s="25">
        <v>36</v>
      </c>
      <c r="V19" s="25"/>
      <c r="W19" s="25"/>
      <c r="X19" s="25">
        <v>5</v>
      </c>
      <c r="Y19" s="25">
        <v>2</v>
      </c>
      <c r="Z19" s="25"/>
      <c r="AA19" s="25"/>
    </row>
    <row r="20" ht="25" customHeight="1" spans="1:27">
      <c r="A20" s="134">
        <v>45847</v>
      </c>
      <c r="B20" s="135"/>
      <c r="C20" s="25">
        <v>11394</v>
      </c>
      <c r="D20" s="25"/>
      <c r="E20" s="25">
        <v>11364</v>
      </c>
      <c r="F20" s="25"/>
      <c r="G20" s="25">
        <v>30</v>
      </c>
      <c r="H20" s="26">
        <f t="shared" si="3"/>
        <v>0.263296471827278</v>
      </c>
      <c r="I20" s="25">
        <v>19</v>
      </c>
      <c r="J20" s="25">
        <v>2</v>
      </c>
      <c r="K20" s="25">
        <v>9</v>
      </c>
      <c r="L20" s="25"/>
      <c r="M20" s="25"/>
      <c r="N20" s="177"/>
      <c r="O20" s="25">
        <v>10366</v>
      </c>
      <c r="P20" s="25"/>
      <c r="Q20" s="25">
        <v>10319</v>
      </c>
      <c r="R20" s="25"/>
      <c r="S20" s="25">
        <v>47</v>
      </c>
      <c r="T20" s="26">
        <f t="shared" si="4"/>
        <v>0.453405363688983</v>
      </c>
      <c r="U20" s="25">
        <v>28</v>
      </c>
      <c r="V20" s="25"/>
      <c r="W20" s="25"/>
      <c r="X20" s="25">
        <v>11</v>
      </c>
      <c r="Y20" s="25">
        <v>8</v>
      </c>
      <c r="Z20" s="25"/>
      <c r="AA20" s="25"/>
    </row>
    <row r="21" ht="25" customHeight="1" spans="1:27">
      <c r="A21" s="134">
        <v>45848</v>
      </c>
      <c r="B21" s="135"/>
      <c r="C21" s="25">
        <v>9652</v>
      </c>
      <c r="D21" s="25"/>
      <c r="E21" s="25">
        <v>9611</v>
      </c>
      <c r="F21" s="25"/>
      <c r="G21" s="25">
        <v>41</v>
      </c>
      <c r="H21" s="26">
        <f t="shared" si="3"/>
        <v>0.424782428512225</v>
      </c>
      <c r="I21" s="25">
        <v>27</v>
      </c>
      <c r="J21" s="25">
        <v>14</v>
      </c>
      <c r="K21" s="25"/>
      <c r="L21" s="25"/>
      <c r="M21" s="25"/>
      <c r="N21" s="177"/>
      <c r="O21" s="25">
        <v>9611</v>
      </c>
      <c r="P21" s="25"/>
      <c r="Q21" s="25">
        <v>9509</v>
      </c>
      <c r="R21" s="25"/>
      <c r="S21" s="25">
        <v>102</v>
      </c>
      <c r="T21" s="26">
        <f t="shared" si="4"/>
        <v>1.06128394547914</v>
      </c>
      <c r="U21" s="25">
        <v>64</v>
      </c>
      <c r="V21" s="25"/>
      <c r="W21" s="25"/>
      <c r="X21" s="25">
        <v>21</v>
      </c>
      <c r="Y21" s="25">
        <v>17</v>
      </c>
      <c r="Z21" s="25"/>
      <c r="AA21" s="25"/>
    </row>
    <row r="22" ht="25" customHeight="1" spans="1:27">
      <c r="A22" s="134">
        <v>45849</v>
      </c>
      <c r="B22" s="135"/>
      <c r="C22" s="25">
        <v>10694</v>
      </c>
      <c r="D22" s="25"/>
      <c r="E22" s="25">
        <v>10661</v>
      </c>
      <c r="F22" s="25"/>
      <c r="G22" s="25">
        <v>33</v>
      </c>
      <c r="H22" s="26">
        <f t="shared" si="3"/>
        <v>0.308584252852067</v>
      </c>
      <c r="I22" s="25">
        <v>16</v>
      </c>
      <c r="J22" s="25">
        <v>10</v>
      </c>
      <c r="K22" s="25">
        <v>7</v>
      </c>
      <c r="L22" s="25"/>
      <c r="M22" s="25"/>
      <c r="N22" s="177"/>
      <c r="O22" s="25">
        <v>10661</v>
      </c>
      <c r="P22" s="25"/>
      <c r="Q22" s="25">
        <v>10592</v>
      </c>
      <c r="R22" s="25"/>
      <c r="S22" s="25">
        <v>69</v>
      </c>
      <c r="T22" s="26">
        <f t="shared" si="4"/>
        <v>0.647218835006097</v>
      </c>
      <c r="U22" s="25">
        <v>44</v>
      </c>
      <c r="V22" s="25"/>
      <c r="W22" s="25"/>
      <c r="X22" s="25">
        <v>17</v>
      </c>
      <c r="Y22" s="25">
        <v>8</v>
      </c>
      <c r="Z22" s="25"/>
      <c r="AA22" s="25"/>
    </row>
    <row r="23" ht="25" customHeight="1" spans="1:27">
      <c r="A23" s="134">
        <v>45850</v>
      </c>
      <c r="B23" s="135"/>
      <c r="C23" s="206">
        <v>11488</v>
      </c>
      <c r="D23" s="215"/>
      <c r="E23" s="207">
        <v>11447</v>
      </c>
      <c r="F23" s="207"/>
      <c r="G23" s="207">
        <v>41</v>
      </c>
      <c r="H23" s="208">
        <f t="shared" si="3"/>
        <v>0.356894150417827</v>
      </c>
      <c r="I23" s="207">
        <v>33</v>
      </c>
      <c r="J23" s="207">
        <v>6</v>
      </c>
      <c r="K23" s="207">
        <v>2</v>
      </c>
      <c r="L23" s="207"/>
      <c r="M23" s="207"/>
      <c r="N23" s="185"/>
      <c r="O23" s="206">
        <v>11447</v>
      </c>
      <c r="P23" s="215"/>
      <c r="Q23" s="207">
        <v>11367</v>
      </c>
      <c r="R23" s="207"/>
      <c r="S23" s="207">
        <v>80</v>
      </c>
      <c r="T23" s="208">
        <f t="shared" si="4"/>
        <v>0.698873067179174</v>
      </c>
      <c r="U23" s="207">
        <v>69</v>
      </c>
      <c r="V23" s="207"/>
      <c r="W23" s="207"/>
      <c r="X23" s="207">
        <v>9</v>
      </c>
      <c r="Y23" s="206">
        <v>2</v>
      </c>
      <c r="Z23" s="215"/>
      <c r="AA23" s="207"/>
    </row>
    <row r="24" customFormat="1" ht="25" customHeight="1" spans="1:27">
      <c r="A24" s="136" t="s">
        <v>38</v>
      </c>
      <c r="B24" s="137"/>
      <c r="C24" s="237">
        <f>SUM(C18:D23)</f>
        <v>66133</v>
      </c>
      <c r="D24" s="238"/>
      <c r="E24" s="237">
        <f>SUM(E18:E23)</f>
        <v>65941</v>
      </c>
      <c r="F24" s="237">
        <f>SUM(F18:F23)</f>
        <v>0</v>
      </c>
      <c r="G24" s="237">
        <f>SUM(G18:G23)</f>
        <v>192</v>
      </c>
      <c r="H24" s="108">
        <f t="shared" si="3"/>
        <v>0.290324043971996</v>
      </c>
      <c r="I24" s="237">
        <f>SUM(I18:I23)</f>
        <v>133</v>
      </c>
      <c r="J24" s="237">
        <f>SUM(J18:J23)</f>
        <v>34</v>
      </c>
      <c r="K24" s="237">
        <f>SUM(K18:K23)</f>
        <v>25</v>
      </c>
      <c r="L24" s="237">
        <f>SUM(L18:L23)</f>
        <v>0</v>
      </c>
      <c r="M24" s="237">
        <f>SUM(M18:M23)</f>
        <v>0</v>
      </c>
      <c r="N24" s="238"/>
      <c r="O24" s="263">
        <f>SUM(O17:P23)</f>
        <v>63674</v>
      </c>
      <c r="P24" s="238"/>
      <c r="Q24" s="237">
        <f>SUM(Q18:Q23)</f>
        <v>63267</v>
      </c>
      <c r="R24" s="237">
        <f>SUM(R18:R23)</f>
        <v>0</v>
      </c>
      <c r="S24" s="237">
        <f>SUM(S18:S23)</f>
        <v>407</v>
      </c>
      <c r="T24" s="108">
        <f t="shared" si="4"/>
        <v>0.639193391337123</v>
      </c>
      <c r="U24" s="237">
        <f>SUM(U18:U23)</f>
        <v>294</v>
      </c>
      <c r="V24" s="237">
        <f>SUM(V18:V23)</f>
        <v>0</v>
      </c>
      <c r="W24" s="237">
        <f>SUM(W18:W23)</f>
        <v>0</v>
      </c>
      <c r="X24" s="237">
        <f>SUM(X18:X23)</f>
        <v>68</v>
      </c>
      <c r="Y24" s="255">
        <f>SUM(Y18:Z23)</f>
        <v>45</v>
      </c>
      <c r="Z24" s="256"/>
      <c r="AA24" s="237">
        <f>SUM(AA18:AA23)</f>
        <v>0</v>
      </c>
    </row>
    <row r="25" ht="25" customHeight="1" spans="1:27">
      <c r="A25" s="138">
        <v>45851</v>
      </c>
      <c r="B25" s="139"/>
      <c r="C25" s="262" t="s">
        <v>34</v>
      </c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  <c r="AA25" s="262"/>
    </row>
    <row r="26" ht="25" customHeight="1" spans="1:27">
      <c r="A26" s="134">
        <v>45852</v>
      </c>
      <c r="B26" s="135"/>
      <c r="C26" s="206">
        <v>9998</v>
      </c>
      <c r="D26" s="215"/>
      <c r="E26" s="207">
        <v>9971</v>
      </c>
      <c r="F26" s="207"/>
      <c r="G26" s="207">
        <v>27</v>
      </c>
      <c r="H26" s="208">
        <f>G26/C26*100</f>
        <v>0.27005401080216</v>
      </c>
      <c r="I26" s="207">
        <v>27</v>
      </c>
      <c r="J26" s="207"/>
      <c r="K26" s="207"/>
      <c r="L26" s="207"/>
      <c r="M26" s="207"/>
      <c r="N26" s="185"/>
      <c r="O26" s="206">
        <v>9971</v>
      </c>
      <c r="P26" s="215"/>
      <c r="Q26" s="207">
        <v>9948</v>
      </c>
      <c r="R26" s="207"/>
      <c r="S26" s="207">
        <v>23</v>
      </c>
      <c r="T26" s="208">
        <f>S26/O26*100</f>
        <v>0.230668939925785</v>
      </c>
      <c r="U26" s="207">
        <v>17</v>
      </c>
      <c r="V26" s="207"/>
      <c r="W26" s="207"/>
      <c r="X26" s="207">
        <v>4</v>
      </c>
      <c r="Y26" s="206">
        <v>2</v>
      </c>
      <c r="Z26" s="215"/>
      <c r="AA26" s="207"/>
    </row>
    <row r="27" ht="25" customHeight="1" spans="1:27">
      <c r="A27" s="134">
        <v>45853</v>
      </c>
      <c r="B27" s="135"/>
      <c r="C27" s="25">
        <v>10458</v>
      </c>
      <c r="D27" s="25"/>
      <c r="E27" s="25">
        <v>10422</v>
      </c>
      <c r="F27" s="25"/>
      <c r="G27" s="25">
        <v>36</v>
      </c>
      <c r="H27" s="26">
        <f t="shared" ref="H27:H32" si="5">G27/C27*100</f>
        <v>0.344234079173838</v>
      </c>
      <c r="I27" s="25">
        <v>36</v>
      </c>
      <c r="J27" s="25"/>
      <c r="K27" s="25"/>
      <c r="L27" s="25"/>
      <c r="M27" s="25"/>
      <c r="N27" s="177"/>
      <c r="O27" s="25">
        <v>10422</v>
      </c>
      <c r="P27" s="25"/>
      <c r="Q27" s="25">
        <v>10371</v>
      </c>
      <c r="R27" s="25"/>
      <c r="S27" s="25">
        <v>51</v>
      </c>
      <c r="T27" s="26">
        <f t="shared" ref="T27:T32" si="6">S27/O27*100</f>
        <v>0.489349453080023</v>
      </c>
      <c r="U27" s="25">
        <v>44</v>
      </c>
      <c r="V27" s="25">
        <v>1</v>
      </c>
      <c r="W27" s="25"/>
      <c r="X27" s="25">
        <v>3</v>
      </c>
      <c r="Y27" s="25">
        <v>3</v>
      </c>
      <c r="Z27" s="25"/>
      <c r="AA27" s="25"/>
    </row>
    <row r="28" ht="25" customHeight="1" spans="1:27">
      <c r="A28" s="134">
        <v>45854</v>
      </c>
      <c r="B28" s="135"/>
      <c r="C28" s="25">
        <v>10839</v>
      </c>
      <c r="D28" s="25"/>
      <c r="E28" s="25">
        <v>10766</v>
      </c>
      <c r="F28" s="25"/>
      <c r="G28" s="25">
        <v>73</v>
      </c>
      <c r="H28" s="26">
        <f t="shared" si="5"/>
        <v>0.67349386474767</v>
      </c>
      <c r="I28" s="25">
        <v>69</v>
      </c>
      <c r="J28" s="25"/>
      <c r="K28" s="25">
        <v>4</v>
      </c>
      <c r="L28" s="25"/>
      <c r="M28" s="25"/>
      <c r="N28" s="177"/>
      <c r="O28" s="25">
        <v>10766</v>
      </c>
      <c r="P28" s="25"/>
      <c r="Q28" s="25">
        <v>10686</v>
      </c>
      <c r="R28" s="25"/>
      <c r="S28" s="25">
        <v>80</v>
      </c>
      <c r="T28" s="26">
        <f t="shared" si="6"/>
        <v>0.743080066877206</v>
      </c>
      <c r="U28" s="25">
        <v>44</v>
      </c>
      <c r="V28" s="25">
        <v>7</v>
      </c>
      <c r="W28" s="25"/>
      <c r="X28" s="25">
        <v>8</v>
      </c>
      <c r="Y28" s="25">
        <v>21</v>
      </c>
      <c r="Z28" s="25"/>
      <c r="AA28" s="25"/>
    </row>
    <row r="29" ht="25" customHeight="1" spans="1:27">
      <c r="A29" s="134">
        <v>45855</v>
      </c>
      <c r="B29" s="135"/>
      <c r="C29" s="25">
        <v>12473</v>
      </c>
      <c r="D29" s="25"/>
      <c r="E29" s="25">
        <v>12456</v>
      </c>
      <c r="F29" s="25"/>
      <c r="G29" s="25">
        <v>17</v>
      </c>
      <c r="H29" s="26">
        <f t="shared" si="5"/>
        <v>0.136294395895133</v>
      </c>
      <c r="I29" s="25">
        <v>17</v>
      </c>
      <c r="J29" s="25"/>
      <c r="K29" s="25"/>
      <c r="L29" s="25"/>
      <c r="M29" s="25"/>
      <c r="N29" s="177"/>
      <c r="O29" s="25">
        <v>12456</v>
      </c>
      <c r="P29" s="25"/>
      <c r="Q29" s="25">
        <v>12381</v>
      </c>
      <c r="R29" s="25"/>
      <c r="S29" s="25">
        <v>75</v>
      </c>
      <c r="T29" s="26">
        <f t="shared" si="6"/>
        <v>0.602119460500963</v>
      </c>
      <c r="U29" s="25">
        <v>52</v>
      </c>
      <c r="V29" s="25"/>
      <c r="W29" s="25"/>
      <c r="X29" s="25">
        <v>4</v>
      </c>
      <c r="Y29" s="25">
        <v>19</v>
      </c>
      <c r="Z29" s="25"/>
      <c r="AA29" s="25"/>
    </row>
    <row r="30" ht="25" customHeight="1" spans="1:27">
      <c r="A30" s="134">
        <v>45856</v>
      </c>
      <c r="B30" s="135"/>
      <c r="C30" s="212">
        <v>11421</v>
      </c>
      <c r="D30" s="216"/>
      <c r="E30" s="213">
        <v>11396</v>
      </c>
      <c r="F30" s="213"/>
      <c r="G30" s="213">
        <v>25</v>
      </c>
      <c r="H30" s="157">
        <f t="shared" si="5"/>
        <v>0.218895017949391</v>
      </c>
      <c r="I30" s="213">
        <v>22</v>
      </c>
      <c r="J30" s="213"/>
      <c r="K30" s="213">
        <v>3</v>
      </c>
      <c r="L30" s="213"/>
      <c r="M30" s="213"/>
      <c r="N30" s="185"/>
      <c r="O30" s="212">
        <v>11396</v>
      </c>
      <c r="P30" s="216"/>
      <c r="Q30" s="213">
        <v>11378</v>
      </c>
      <c r="R30" s="213"/>
      <c r="S30" s="213">
        <v>18</v>
      </c>
      <c r="T30" s="157">
        <f t="shared" si="6"/>
        <v>0.157950157950158</v>
      </c>
      <c r="U30" s="213">
        <v>9</v>
      </c>
      <c r="V30" s="213">
        <v>1</v>
      </c>
      <c r="W30" s="213">
        <v>1</v>
      </c>
      <c r="X30" s="213">
        <v>5</v>
      </c>
      <c r="Y30" s="212">
        <v>2</v>
      </c>
      <c r="Z30" s="216"/>
      <c r="AA30" s="213"/>
    </row>
    <row r="31" ht="25" customHeight="1" spans="1:27">
      <c r="A31" s="134">
        <v>45857</v>
      </c>
      <c r="B31" s="135"/>
      <c r="C31" s="161">
        <v>10557</v>
      </c>
      <c r="D31" s="221"/>
      <c r="E31" s="162">
        <v>10520</v>
      </c>
      <c r="F31" s="162"/>
      <c r="G31" s="162">
        <v>37</v>
      </c>
      <c r="H31" s="144">
        <f t="shared" si="5"/>
        <v>0.350478355593445</v>
      </c>
      <c r="I31" s="162">
        <v>37</v>
      </c>
      <c r="J31" s="162"/>
      <c r="K31" s="162"/>
      <c r="L31" s="162"/>
      <c r="M31" s="162"/>
      <c r="N31" s="185"/>
      <c r="O31" s="161">
        <v>10520</v>
      </c>
      <c r="P31" s="221"/>
      <c r="Q31" s="162">
        <v>10500</v>
      </c>
      <c r="R31" s="162"/>
      <c r="S31" s="162">
        <v>20</v>
      </c>
      <c r="T31" s="144">
        <f t="shared" si="6"/>
        <v>0.190114068441065</v>
      </c>
      <c r="U31" s="162">
        <v>16</v>
      </c>
      <c r="V31" s="162"/>
      <c r="W31" s="162">
        <v>1</v>
      </c>
      <c r="X31" s="162">
        <v>3</v>
      </c>
      <c r="Y31" s="161"/>
      <c r="Z31" s="221"/>
      <c r="AA31" s="162"/>
    </row>
    <row r="32" customFormat="1" ht="25" customHeight="1" spans="1:27">
      <c r="A32" s="136" t="s">
        <v>39</v>
      </c>
      <c r="B32" s="137"/>
      <c r="C32" s="237">
        <f>SUM(C26:D31)</f>
        <v>65746</v>
      </c>
      <c r="D32" s="238"/>
      <c r="E32" s="237">
        <f>SUM(E26:E31)</f>
        <v>65531</v>
      </c>
      <c r="F32" s="237">
        <f>SUM(F26:F31)</f>
        <v>0</v>
      </c>
      <c r="G32" s="237">
        <f>SUM(G26:G31)</f>
        <v>215</v>
      </c>
      <c r="H32" s="108">
        <f t="shared" si="5"/>
        <v>0.327016092233748</v>
      </c>
      <c r="I32" s="237">
        <f>SUM(I26:I31)</f>
        <v>208</v>
      </c>
      <c r="J32" s="237">
        <f>SUM(J26:J31)</f>
        <v>0</v>
      </c>
      <c r="K32" s="237">
        <f>SUM(K26:K31)</f>
        <v>7</v>
      </c>
      <c r="L32" s="237">
        <f>SUM(L26:L31)</f>
        <v>0</v>
      </c>
      <c r="M32" s="237">
        <f>SUM(M26:M31)</f>
        <v>0</v>
      </c>
      <c r="N32" s="238"/>
      <c r="O32" s="237">
        <f>SUM(O26:P31)</f>
        <v>65531</v>
      </c>
      <c r="P32" s="238"/>
      <c r="Q32" s="237">
        <f>SUM(Q26:Q31)</f>
        <v>65264</v>
      </c>
      <c r="R32" s="237">
        <f>SUM(R26:R31)</f>
        <v>0</v>
      </c>
      <c r="S32" s="237">
        <f>SUM(S26:S31)</f>
        <v>267</v>
      </c>
      <c r="T32" s="108">
        <f t="shared" si="6"/>
        <v>0.407440753231295</v>
      </c>
      <c r="U32" s="237">
        <f>SUM(U26:U31)</f>
        <v>182</v>
      </c>
      <c r="V32" s="237">
        <f>SUM(V26:V31)</f>
        <v>9</v>
      </c>
      <c r="W32" s="237">
        <f>SUM(W26:W31)</f>
        <v>2</v>
      </c>
      <c r="X32" s="237">
        <f>SUM(X26:X31)</f>
        <v>27</v>
      </c>
      <c r="Y32" s="255">
        <f>SUM(Y26:Z31)</f>
        <v>47</v>
      </c>
      <c r="Z32" s="256"/>
      <c r="AA32" s="237">
        <f>SUM(AA26:AA31)</f>
        <v>0</v>
      </c>
    </row>
    <row r="33" ht="25" customHeight="1" spans="1:27">
      <c r="A33" s="138">
        <v>45858</v>
      </c>
      <c r="B33" s="139"/>
      <c r="C33" s="262" t="s">
        <v>34</v>
      </c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</row>
    <row r="34" ht="25" customHeight="1" spans="1:27">
      <c r="A34" s="134">
        <v>45859</v>
      </c>
      <c r="B34" s="135"/>
      <c r="C34" s="212">
        <v>11070</v>
      </c>
      <c r="D34" s="216"/>
      <c r="E34" s="213">
        <v>11041</v>
      </c>
      <c r="F34" s="213"/>
      <c r="G34" s="213">
        <v>29</v>
      </c>
      <c r="H34" s="157">
        <f>G34/C34*100</f>
        <v>0.26196928635953</v>
      </c>
      <c r="I34" s="213">
        <v>25</v>
      </c>
      <c r="J34" s="213">
        <v>4</v>
      </c>
      <c r="K34" s="213"/>
      <c r="L34" s="213"/>
      <c r="M34" s="213"/>
      <c r="N34" s="185"/>
      <c r="O34" s="212">
        <v>11041</v>
      </c>
      <c r="P34" s="216"/>
      <c r="Q34" s="213">
        <v>11012</v>
      </c>
      <c r="R34" s="213"/>
      <c r="S34" s="213">
        <v>29</v>
      </c>
      <c r="T34" s="157">
        <f>S34/O34*100</f>
        <v>0.26265736799203</v>
      </c>
      <c r="U34" s="213">
        <v>29</v>
      </c>
      <c r="V34" s="213"/>
      <c r="W34" s="213"/>
      <c r="X34" s="213"/>
      <c r="Y34" s="212"/>
      <c r="Z34" s="216"/>
      <c r="AA34" s="213"/>
    </row>
    <row r="35" ht="25" customHeight="1" spans="1:27">
      <c r="A35" s="134">
        <v>45860</v>
      </c>
      <c r="B35" s="135"/>
      <c r="C35" s="63">
        <v>13366</v>
      </c>
      <c r="D35" s="64"/>
      <c r="E35" s="25">
        <v>13340</v>
      </c>
      <c r="F35" s="25"/>
      <c r="G35" s="25">
        <v>17</v>
      </c>
      <c r="H35" s="26">
        <f t="shared" ref="H35:H40" si="7">G35/C35*100</f>
        <v>0.127188388448302</v>
      </c>
      <c r="I35" s="25">
        <v>13</v>
      </c>
      <c r="J35" s="25">
        <v>4</v>
      </c>
      <c r="K35" s="25"/>
      <c r="L35" s="25"/>
      <c r="M35" s="25"/>
      <c r="N35" s="185"/>
      <c r="O35" s="63">
        <v>13340</v>
      </c>
      <c r="P35" s="64"/>
      <c r="Q35" s="25">
        <v>13260</v>
      </c>
      <c r="R35" s="25"/>
      <c r="S35" s="25">
        <v>89</v>
      </c>
      <c r="T35" s="26">
        <f t="shared" ref="T35:T40" si="8">S35/O35*100</f>
        <v>0.667166416791604</v>
      </c>
      <c r="U35" s="25">
        <v>72</v>
      </c>
      <c r="V35" s="25"/>
      <c r="W35" s="25"/>
      <c r="X35" s="25">
        <v>15</v>
      </c>
      <c r="Y35" s="63">
        <v>2</v>
      </c>
      <c r="Z35" s="64"/>
      <c r="AA35" s="25"/>
    </row>
    <row r="36" ht="25" customHeight="1" spans="1:27">
      <c r="A36" s="134">
        <v>45861</v>
      </c>
      <c r="B36" s="135"/>
      <c r="C36" s="63">
        <v>13505</v>
      </c>
      <c r="D36" s="64"/>
      <c r="E36" s="25">
        <v>13479</v>
      </c>
      <c r="F36" s="25"/>
      <c r="G36" s="25">
        <v>26</v>
      </c>
      <c r="H36" s="26">
        <f t="shared" si="7"/>
        <v>0.192521288411699</v>
      </c>
      <c r="I36" s="25">
        <v>26</v>
      </c>
      <c r="J36" s="25"/>
      <c r="K36" s="25"/>
      <c r="L36" s="25"/>
      <c r="M36" s="25"/>
      <c r="N36" s="185"/>
      <c r="O36" s="63">
        <v>13479</v>
      </c>
      <c r="P36" s="64"/>
      <c r="Q36" s="25">
        <v>13469</v>
      </c>
      <c r="R36" s="25"/>
      <c r="S36" s="25">
        <v>10</v>
      </c>
      <c r="T36" s="26">
        <f t="shared" si="8"/>
        <v>0.0741894799317457</v>
      </c>
      <c r="U36" s="25">
        <v>6</v>
      </c>
      <c r="V36" s="25"/>
      <c r="W36" s="25"/>
      <c r="X36" s="25">
        <v>3</v>
      </c>
      <c r="Y36" s="63">
        <v>1</v>
      </c>
      <c r="Z36" s="64"/>
      <c r="AA36" s="25"/>
    </row>
    <row r="37" ht="25" customHeight="1" spans="1:27">
      <c r="A37" s="134">
        <v>45862</v>
      </c>
      <c r="B37" s="135"/>
      <c r="C37" s="63">
        <v>11893</v>
      </c>
      <c r="D37" s="64"/>
      <c r="E37" s="25">
        <v>11869</v>
      </c>
      <c r="F37" s="25"/>
      <c r="G37" s="25">
        <v>24</v>
      </c>
      <c r="H37" s="26">
        <f t="shared" si="7"/>
        <v>0.201799377785252</v>
      </c>
      <c r="I37" s="25">
        <v>21</v>
      </c>
      <c r="J37" s="25">
        <v>2</v>
      </c>
      <c r="K37" s="25">
        <v>1</v>
      </c>
      <c r="L37" s="25"/>
      <c r="M37" s="25"/>
      <c r="N37" s="185"/>
      <c r="O37" s="63">
        <v>11869</v>
      </c>
      <c r="P37" s="64"/>
      <c r="Q37" s="25">
        <v>11860</v>
      </c>
      <c r="R37" s="25"/>
      <c r="S37" s="25">
        <v>9</v>
      </c>
      <c r="T37" s="26">
        <f t="shared" si="8"/>
        <v>0.0758277866711602</v>
      </c>
      <c r="U37" s="25">
        <v>5</v>
      </c>
      <c r="V37" s="25"/>
      <c r="W37" s="25"/>
      <c r="X37" s="25">
        <v>4</v>
      </c>
      <c r="Y37" s="63"/>
      <c r="Z37" s="64"/>
      <c r="AA37" s="25"/>
    </row>
    <row r="38" ht="25" customHeight="1" spans="1:27">
      <c r="A38" s="134">
        <v>45863</v>
      </c>
      <c r="B38" s="135"/>
      <c r="C38" s="63">
        <v>13520</v>
      </c>
      <c r="D38" s="64"/>
      <c r="E38" s="25">
        <v>13488</v>
      </c>
      <c r="F38" s="25"/>
      <c r="G38" s="25">
        <v>32</v>
      </c>
      <c r="H38" s="26">
        <f t="shared" si="7"/>
        <v>0.236686390532544</v>
      </c>
      <c r="I38" s="25">
        <v>2</v>
      </c>
      <c r="J38" s="25"/>
      <c r="K38" s="25"/>
      <c r="L38" s="25"/>
      <c r="M38" s="25"/>
      <c r="N38" s="185"/>
      <c r="O38" s="63">
        <v>13488</v>
      </c>
      <c r="P38" s="64"/>
      <c r="Q38" s="25">
        <v>13473</v>
      </c>
      <c r="R38" s="25"/>
      <c r="S38" s="25">
        <v>15</v>
      </c>
      <c r="T38" s="26">
        <f t="shared" si="8"/>
        <v>0.111209964412811</v>
      </c>
      <c r="U38" s="25">
        <v>7</v>
      </c>
      <c r="V38" s="25"/>
      <c r="W38" s="25"/>
      <c r="X38" s="25">
        <v>8</v>
      </c>
      <c r="Y38" s="63"/>
      <c r="Z38" s="64"/>
      <c r="AA38" s="25"/>
    </row>
    <row r="39" ht="25" customHeight="1" spans="1:27">
      <c r="A39" s="134">
        <v>45864</v>
      </c>
      <c r="B39" s="135"/>
      <c r="C39" s="161">
        <v>12451</v>
      </c>
      <c r="D39" s="221"/>
      <c r="E39" s="162">
        <v>12410</v>
      </c>
      <c r="F39" s="162"/>
      <c r="G39" s="162">
        <v>41</v>
      </c>
      <c r="H39" s="144">
        <f t="shared" si="7"/>
        <v>0.329290820014457</v>
      </c>
      <c r="I39" s="162">
        <v>41</v>
      </c>
      <c r="J39" s="162"/>
      <c r="K39" s="162"/>
      <c r="L39" s="162"/>
      <c r="M39" s="162"/>
      <c r="N39" s="185"/>
      <c r="O39" s="161">
        <v>12410</v>
      </c>
      <c r="P39" s="221"/>
      <c r="Q39" s="162">
        <v>12400</v>
      </c>
      <c r="R39" s="162"/>
      <c r="S39" s="162">
        <v>10</v>
      </c>
      <c r="T39" s="144">
        <f t="shared" si="8"/>
        <v>0.08058017727639</v>
      </c>
      <c r="U39" s="162">
        <v>4</v>
      </c>
      <c r="V39" s="162"/>
      <c r="W39" s="162"/>
      <c r="X39" s="162">
        <v>1</v>
      </c>
      <c r="Y39" s="161">
        <v>5</v>
      </c>
      <c r="Z39" s="221"/>
      <c r="AA39" s="162"/>
    </row>
    <row r="40" customFormat="1" ht="25" customHeight="1" spans="1:27">
      <c r="A40" s="136" t="s">
        <v>40</v>
      </c>
      <c r="B40" s="137"/>
      <c r="C40" s="237">
        <f>SUM(C34:D39)</f>
        <v>75805</v>
      </c>
      <c r="D40" s="238"/>
      <c r="E40" s="237">
        <f>SUM(E34:E39)</f>
        <v>75627</v>
      </c>
      <c r="F40" s="237">
        <f>SUM(F34:F39)</f>
        <v>0</v>
      </c>
      <c r="G40" s="237">
        <f>SUM(G34:G39)</f>
        <v>169</v>
      </c>
      <c r="H40" s="108">
        <f t="shared" si="7"/>
        <v>0.222940439285008</v>
      </c>
      <c r="I40" s="237">
        <f>SUM(I34:I39)</f>
        <v>128</v>
      </c>
      <c r="J40" s="237">
        <f>SUM(J34:J39)</f>
        <v>10</v>
      </c>
      <c r="K40" s="237">
        <f>SUM(K34:K39)</f>
        <v>1</v>
      </c>
      <c r="L40" s="237">
        <f>SUM(L34:L39)</f>
        <v>0</v>
      </c>
      <c r="M40" s="237">
        <f>SUM(M34:M39)</f>
        <v>0</v>
      </c>
      <c r="N40" s="238"/>
      <c r="O40" s="237">
        <f>SUM(O34:P39)</f>
        <v>75627</v>
      </c>
      <c r="P40" s="238"/>
      <c r="Q40" s="237">
        <f>SUM(Q34:Q39)</f>
        <v>75474</v>
      </c>
      <c r="R40" s="237">
        <f>SUM(R34:R39)</f>
        <v>0</v>
      </c>
      <c r="S40" s="237">
        <f>SUM(S34:S39)</f>
        <v>162</v>
      </c>
      <c r="T40" s="108">
        <f t="shared" si="8"/>
        <v>0.214209210996073</v>
      </c>
      <c r="U40" s="237">
        <f>SUM(U34:U39)</f>
        <v>123</v>
      </c>
      <c r="V40" s="237">
        <f>SUM(V34:V39)</f>
        <v>0</v>
      </c>
      <c r="W40" s="237">
        <f>SUM(W34:W39)</f>
        <v>0</v>
      </c>
      <c r="X40" s="237">
        <f>SUM(X34:X39)</f>
        <v>31</v>
      </c>
      <c r="Y40" s="255">
        <f>SUM(Y34:Z39)</f>
        <v>8</v>
      </c>
      <c r="Z40" s="256"/>
      <c r="AA40" s="237">
        <f>SUM(AA34:AA39)</f>
        <v>0</v>
      </c>
    </row>
    <row r="41" ht="25" customHeight="1" spans="1:27">
      <c r="A41" s="138">
        <v>45865</v>
      </c>
      <c r="B41" s="139"/>
      <c r="C41" s="262" t="s">
        <v>34</v>
      </c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</row>
    <row r="42" ht="25" customHeight="1" spans="1:27">
      <c r="A42" s="134">
        <v>45866</v>
      </c>
      <c r="B42" s="135"/>
      <c r="C42" s="206">
        <v>11082</v>
      </c>
      <c r="D42" s="215"/>
      <c r="E42" s="207">
        <v>11068</v>
      </c>
      <c r="F42" s="207"/>
      <c r="G42" s="207">
        <v>14</v>
      </c>
      <c r="H42" s="208">
        <f t="shared" ref="H42:H47" si="9">G42/C42*100</f>
        <v>0.126330987186428</v>
      </c>
      <c r="I42" s="207">
        <v>13</v>
      </c>
      <c r="J42" s="207">
        <v>1</v>
      </c>
      <c r="K42" s="207"/>
      <c r="L42" s="207"/>
      <c r="M42" s="207"/>
      <c r="N42" s="253"/>
      <c r="O42" s="206">
        <v>11074</v>
      </c>
      <c r="P42" s="215"/>
      <c r="Q42" s="207">
        <v>11061</v>
      </c>
      <c r="R42" s="207"/>
      <c r="S42" s="207">
        <v>13</v>
      </c>
      <c r="T42" s="208">
        <f t="shared" ref="T42:T47" si="10">S42/O42*100</f>
        <v>0.117392089579195</v>
      </c>
      <c r="U42" s="207">
        <v>10</v>
      </c>
      <c r="V42" s="207"/>
      <c r="W42" s="207"/>
      <c r="X42" s="207">
        <v>3</v>
      </c>
      <c r="Y42" s="206"/>
      <c r="Z42" s="215"/>
      <c r="AA42" s="207"/>
    </row>
    <row r="43" ht="25" customHeight="1" spans="1:27">
      <c r="A43" s="134">
        <v>45867</v>
      </c>
      <c r="B43" s="135"/>
      <c r="C43" s="161">
        <v>13451</v>
      </c>
      <c r="D43" s="221"/>
      <c r="E43" s="162">
        <v>13422</v>
      </c>
      <c r="F43" s="162"/>
      <c r="G43" s="162">
        <v>29</v>
      </c>
      <c r="H43" s="144">
        <f t="shared" si="9"/>
        <v>0.215597353356628</v>
      </c>
      <c r="I43" s="162">
        <v>29</v>
      </c>
      <c r="J43" s="162"/>
      <c r="K43" s="162"/>
      <c r="L43" s="162"/>
      <c r="M43" s="162"/>
      <c r="N43" s="253"/>
      <c r="O43" s="161">
        <v>13416</v>
      </c>
      <c r="P43" s="221"/>
      <c r="Q43" s="162">
        <v>13369</v>
      </c>
      <c r="R43" s="162"/>
      <c r="S43" s="162">
        <v>47</v>
      </c>
      <c r="T43" s="144">
        <f t="shared" si="10"/>
        <v>0.350327966607036</v>
      </c>
      <c r="U43" s="162">
        <v>46</v>
      </c>
      <c r="V43" s="162"/>
      <c r="W43" s="162"/>
      <c r="X43" s="162">
        <v>1</v>
      </c>
      <c r="Y43" s="161"/>
      <c r="Z43" s="221"/>
      <c r="AA43" s="162"/>
    </row>
    <row r="44" ht="25" customHeight="1" spans="1:27">
      <c r="A44" s="134">
        <v>45868</v>
      </c>
      <c r="B44" s="135"/>
      <c r="C44" s="161">
        <v>9594</v>
      </c>
      <c r="D44" s="221"/>
      <c r="E44" s="162">
        <v>9571</v>
      </c>
      <c r="F44" s="162"/>
      <c r="G44" s="162">
        <v>23</v>
      </c>
      <c r="H44" s="144">
        <f t="shared" si="9"/>
        <v>0.239733166562435</v>
      </c>
      <c r="I44" s="162">
        <v>20</v>
      </c>
      <c r="J44" s="162">
        <v>2</v>
      </c>
      <c r="K44" s="162">
        <v>1</v>
      </c>
      <c r="L44" s="162"/>
      <c r="M44" s="162"/>
      <c r="N44" s="253"/>
      <c r="O44" s="161">
        <v>9571</v>
      </c>
      <c r="P44" s="221"/>
      <c r="Q44" s="162">
        <v>9532</v>
      </c>
      <c r="R44" s="162"/>
      <c r="S44" s="162">
        <v>39</v>
      </c>
      <c r="T44" s="144">
        <f t="shared" si="10"/>
        <v>0.407480931982029</v>
      </c>
      <c r="U44" s="162">
        <v>7</v>
      </c>
      <c r="V44" s="162"/>
      <c r="W44" s="162"/>
      <c r="X44" s="162">
        <v>25</v>
      </c>
      <c r="Y44" s="161">
        <v>7</v>
      </c>
      <c r="Z44" s="221"/>
      <c r="AA44" s="162"/>
    </row>
    <row r="45" ht="25" customHeight="1" spans="1:27">
      <c r="A45" s="134">
        <v>45869</v>
      </c>
      <c r="B45" s="135"/>
      <c r="C45" s="161">
        <v>14970</v>
      </c>
      <c r="D45" s="221"/>
      <c r="E45" s="162">
        <v>14945</v>
      </c>
      <c r="F45" s="162"/>
      <c r="G45" s="162">
        <v>25</v>
      </c>
      <c r="H45" s="144">
        <f t="shared" si="9"/>
        <v>0.167000668002672</v>
      </c>
      <c r="I45" s="162">
        <v>22</v>
      </c>
      <c r="J45" s="162">
        <v>3</v>
      </c>
      <c r="K45" s="162"/>
      <c r="L45" s="162"/>
      <c r="M45" s="162"/>
      <c r="N45" s="253"/>
      <c r="O45" s="161">
        <v>14945</v>
      </c>
      <c r="P45" s="221"/>
      <c r="Q45" s="162">
        <v>14939</v>
      </c>
      <c r="R45" s="162"/>
      <c r="S45" s="162">
        <v>6</v>
      </c>
      <c r="T45" s="144">
        <f t="shared" si="10"/>
        <v>0.040147206423553</v>
      </c>
      <c r="U45" s="162">
        <v>2</v>
      </c>
      <c r="V45" s="162"/>
      <c r="W45" s="162"/>
      <c r="X45" s="162">
        <v>4</v>
      </c>
      <c r="Y45" s="161"/>
      <c r="Z45" s="221"/>
      <c r="AA45" s="162"/>
    </row>
    <row r="46" customFormat="1" ht="25" customHeight="1" spans="1:27">
      <c r="A46" s="136" t="s">
        <v>41</v>
      </c>
      <c r="B46" s="137"/>
      <c r="C46" s="237">
        <f>SUM(C42:D45)</f>
        <v>49097</v>
      </c>
      <c r="D46" s="238"/>
      <c r="E46" s="237">
        <f>SUM(E42:E45)</f>
        <v>49006</v>
      </c>
      <c r="F46" s="237">
        <f>SUM(F42:F45)</f>
        <v>0</v>
      </c>
      <c r="G46" s="237">
        <f>SUM(G42:G45)</f>
        <v>91</v>
      </c>
      <c r="H46" s="108">
        <f t="shared" si="9"/>
        <v>0.185347373566613</v>
      </c>
      <c r="I46" s="237">
        <f>SUM(I42:I45)</f>
        <v>84</v>
      </c>
      <c r="J46" s="237">
        <f>SUM(J42:J45)</f>
        <v>6</v>
      </c>
      <c r="K46" s="237">
        <f>SUM(K42:K45)</f>
        <v>1</v>
      </c>
      <c r="L46" s="237">
        <f>SUM(L42:L45)</f>
        <v>0</v>
      </c>
      <c r="M46" s="237">
        <f>SUM(M42:M45)</f>
        <v>0</v>
      </c>
      <c r="N46" s="238"/>
      <c r="O46" s="237">
        <f>SUM(O42:P45)</f>
        <v>49006</v>
      </c>
      <c r="P46" s="238"/>
      <c r="Q46" s="237">
        <f>SUM(Q42:Q45)</f>
        <v>48901</v>
      </c>
      <c r="R46" s="237">
        <f>SUM(R42:R45)</f>
        <v>0</v>
      </c>
      <c r="S46" s="237">
        <f>SUM(S42:S45)</f>
        <v>105</v>
      </c>
      <c r="T46" s="108">
        <f t="shared" si="10"/>
        <v>0.214259478431213</v>
      </c>
      <c r="U46" s="237">
        <f>SUM(U42:U45)</f>
        <v>65</v>
      </c>
      <c r="V46" s="237">
        <f>SUM(V42:V45)</f>
        <v>0</v>
      </c>
      <c r="W46" s="237">
        <f>SUM(W42:W45)</f>
        <v>0</v>
      </c>
      <c r="X46" s="237">
        <f>SUM(X42:X45)</f>
        <v>33</v>
      </c>
      <c r="Y46" s="255">
        <f>SUM(Y42:Z45)</f>
        <v>7</v>
      </c>
      <c r="Z46" s="256"/>
      <c r="AA46" s="237">
        <f>SUM(AA42:AA45)</f>
        <v>0</v>
      </c>
    </row>
    <row r="47" ht="28" customHeight="1" spans="1:27">
      <c r="A47" s="247" t="s">
        <v>24</v>
      </c>
      <c r="B47" s="248"/>
      <c r="C47" s="249">
        <f>C46+C40+C32+C24+C16</f>
        <v>313744</v>
      </c>
      <c r="D47" s="250"/>
      <c r="E47" s="251">
        <f>E46+E40+E32+E24+E16</f>
        <v>312810</v>
      </c>
      <c r="F47" s="251">
        <f t="shared" ref="E47:I47" si="11">F46+F40+F32+F24+F16</f>
        <v>0</v>
      </c>
      <c r="G47" s="251">
        <f t="shared" si="11"/>
        <v>925</v>
      </c>
      <c r="H47" s="108">
        <f t="shared" si="9"/>
        <v>0.294826355245041</v>
      </c>
      <c r="I47" s="251">
        <f>I46+I40+I32+I24+I16</f>
        <v>668</v>
      </c>
      <c r="J47" s="251">
        <f>J46+J40+J32+J24+J16</f>
        <v>83</v>
      </c>
      <c r="K47" s="251">
        <f>K46+K40+K32+K24+K16</f>
        <v>144</v>
      </c>
      <c r="L47" s="251">
        <f>L46+L40+L32+L24+L16</f>
        <v>0</v>
      </c>
      <c r="M47" s="264"/>
      <c r="N47" s="253"/>
      <c r="O47" s="249">
        <f>O40+O32+O24+O16</f>
        <v>262537</v>
      </c>
      <c r="P47" s="250"/>
      <c r="Q47" s="251">
        <f t="shared" ref="Q47:U47" si="12">Q46+Q40+Q32+Q24+Q16</f>
        <v>309977</v>
      </c>
      <c r="R47" s="251">
        <f t="shared" si="12"/>
        <v>0</v>
      </c>
      <c r="S47" s="251">
        <f t="shared" si="12"/>
        <v>1575</v>
      </c>
      <c r="T47" s="108">
        <f t="shared" si="10"/>
        <v>0.599915440490293</v>
      </c>
      <c r="U47" s="251">
        <f>U46+U40+U32+U24+U16</f>
        <v>989</v>
      </c>
      <c r="V47" s="251">
        <f>V46+V40+V32+V24+V16</f>
        <v>28</v>
      </c>
      <c r="W47" s="251">
        <f>W46+W40+W32+W24+W16</f>
        <v>2</v>
      </c>
      <c r="X47" s="251">
        <f>X46+X40+X32+X24+X16</f>
        <v>386</v>
      </c>
      <c r="Y47" s="249">
        <f>Y46+Y40+Y32+Y24+Y16</f>
        <v>171</v>
      </c>
      <c r="Z47" s="250"/>
      <c r="AA47" s="264"/>
    </row>
    <row r="48" ht="35" customHeight="1" spans="1:27">
      <c r="A48" s="166" t="s">
        <v>42</v>
      </c>
      <c r="B48" s="167"/>
      <c r="C48" s="167"/>
      <c r="D48" s="252"/>
      <c r="E48" s="168">
        <f>E47/C47*100</f>
        <v>99.7023050640012</v>
      </c>
      <c r="F48" s="168"/>
      <c r="G48" s="168">
        <f>G47/C47*100</f>
        <v>0.294826355245041</v>
      </c>
      <c r="H48" s="168"/>
      <c r="I48" s="168">
        <f>I47/C47*100</f>
        <v>0.212912438166148</v>
      </c>
      <c r="J48" s="168">
        <f>J47/C47*100</f>
        <v>0.0264546891733388</v>
      </c>
      <c r="K48" s="168">
        <f>K47/C47*100</f>
        <v>0.0458972920597685</v>
      </c>
      <c r="L48" s="168"/>
      <c r="M48" s="187"/>
      <c r="N48" s="253"/>
      <c r="O48" s="188" t="s">
        <v>42</v>
      </c>
      <c r="P48" s="223"/>
      <c r="Q48" s="168">
        <f>Q47/O47*100</f>
        <v>118.06983396626</v>
      </c>
      <c r="R48" s="168">
        <f>R47/O47*100</f>
        <v>0</v>
      </c>
      <c r="S48" s="168">
        <f>S47/O47*100</f>
        <v>0.599915440490293</v>
      </c>
      <c r="T48" s="168"/>
      <c r="U48" s="168">
        <f>U47/O47*100</f>
        <v>0.376708806758666</v>
      </c>
      <c r="V48" s="168">
        <f>V47/O47*100</f>
        <v>0.0106651633864941</v>
      </c>
      <c r="W48" s="168">
        <f>W47/O47*100</f>
        <v>0.000761797384749578</v>
      </c>
      <c r="X48" s="168">
        <f>X47/O47*100</f>
        <v>0.147026895256669</v>
      </c>
      <c r="Y48" s="188">
        <f>Y47/O47*100</f>
        <v>0.0651336763960889</v>
      </c>
      <c r="Z48" s="223"/>
      <c r="AA48" s="168"/>
    </row>
    <row r="49" ht="60" customHeight="1" spans="1:27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253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</row>
    <row r="50" ht="74" customHeight="1" spans="2:18">
      <c r="B50" s="34"/>
      <c r="C50" s="34"/>
      <c r="D50" s="34"/>
      <c r="E50" s="34"/>
      <c r="F50" s="34"/>
      <c r="R50" s="111"/>
    </row>
    <row r="51" spans="2:6">
      <c r="B51" s="34"/>
      <c r="C51" s="34"/>
      <c r="D51" s="34"/>
      <c r="E51" s="34"/>
      <c r="F51" s="34"/>
    </row>
    <row r="53" ht="28.5" spans="3:13"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ht="28.5" spans="3:13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7" spans="2:4">
      <c r="B57" s="36" t="s">
        <v>26</v>
      </c>
      <c r="C57" s="36"/>
      <c r="D57" s="36"/>
    </row>
    <row r="58" spans="2:4">
      <c r="B58" s="37" t="s">
        <v>16</v>
      </c>
      <c r="C58" s="37"/>
      <c r="D58" s="38">
        <f>I47</f>
        <v>668</v>
      </c>
    </row>
    <row r="59" spans="2:4">
      <c r="B59" s="37" t="s">
        <v>27</v>
      </c>
      <c r="C59" s="37"/>
      <c r="D59" s="38">
        <f>J47</f>
        <v>83</v>
      </c>
    </row>
    <row r="60" spans="2:4">
      <c r="B60" s="37" t="s">
        <v>18</v>
      </c>
      <c r="C60" s="37"/>
      <c r="D60" s="38">
        <f>K47</f>
        <v>144</v>
      </c>
    </row>
    <row r="61" spans="2:4">
      <c r="B61" s="37" t="s">
        <v>28</v>
      </c>
      <c r="C61" s="37"/>
      <c r="D61" s="39">
        <f>SUM(D58:D60)</f>
        <v>895</v>
      </c>
    </row>
    <row r="62" spans="2:2">
      <c r="B62" s="40"/>
    </row>
    <row r="63" spans="2:4">
      <c r="B63" s="36" t="s">
        <v>29</v>
      </c>
      <c r="C63" s="36"/>
      <c r="D63" s="36"/>
    </row>
    <row r="64" spans="2:4">
      <c r="B64" s="37" t="s">
        <v>18</v>
      </c>
      <c r="C64" s="37"/>
      <c r="D64" s="38">
        <f>U47</f>
        <v>989</v>
      </c>
    </row>
    <row r="65" spans="2:4">
      <c r="B65" s="37" t="s">
        <v>21</v>
      </c>
      <c r="C65" s="37"/>
      <c r="D65" s="38">
        <f>V47</f>
        <v>28</v>
      </c>
    </row>
    <row r="66" spans="2:4">
      <c r="B66" s="37" t="s">
        <v>22</v>
      </c>
      <c r="C66" s="37"/>
      <c r="D66" s="38">
        <f>W47</f>
        <v>2</v>
      </c>
    </row>
    <row r="67" spans="2:4">
      <c r="B67" s="37" t="s">
        <v>23</v>
      </c>
      <c r="C67" s="37"/>
      <c r="D67" s="38">
        <f>X47</f>
        <v>386</v>
      </c>
    </row>
    <row r="68" spans="2:4">
      <c r="B68" s="37" t="s">
        <v>19</v>
      </c>
      <c r="C68" s="37"/>
      <c r="D68" s="38">
        <f>Y47</f>
        <v>171</v>
      </c>
    </row>
    <row r="69" spans="2:4">
      <c r="B69" s="37" t="s">
        <v>28</v>
      </c>
      <c r="C69" s="37"/>
      <c r="D69" s="39">
        <f>SUM(D64:D68)</f>
        <v>1576</v>
      </c>
    </row>
  </sheetData>
  <mergeCells count="192">
    <mergeCell ref="X3:Y3"/>
    <mergeCell ref="Z3:AA3"/>
    <mergeCell ref="X4:Y4"/>
    <mergeCell ref="Z4:AA4"/>
    <mergeCell ref="C5:W5"/>
    <mergeCell ref="X5:AA5"/>
    <mergeCell ref="A6:AA6"/>
    <mergeCell ref="A7:M7"/>
    <mergeCell ref="O7:AA7"/>
    <mergeCell ref="A11:B11"/>
    <mergeCell ref="C11:D11"/>
    <mergeCell ref="O11:P11"/>
    <mergeCell ref="Y11:Z11"/>
    <mergeCell ref="A12:B12"/>
    <mergeCell ref="C12:D12"/>
    <mergeCell ref="O12:P12"/>
    <mergeCell ref="Y12:Z12"/>
    <mergeCell ref="A13:B13"/>
    <mergeCell ref="C13:D13"/>
    <mergeCell ref="O13:P13"/>
    <mergeCell ref="Y13:Z13"/>
    <mergeCell ref="A14:B14"/>
    <mergeCell ref="C14:D14"/>
    <mergeCell ref="O14:P14"/>
    <mergeCell ref="Y14:Z14"/>
    <mergeCell ref="A15:B15"/>
    <mergeCell ref="C15:D15"/>
    <mergeCell ref="O15:P15"/>
    <mergeCell ref="Y15:Z15"/>
    <mergeCell ref="A16:B16"/>
    <mergeCell ref="C16:D16"/>
    <mergeCell ref="O16:P16"/>
    <mergeCell ref="Y16:Z16"/>
    <mergeCell ref="A17:B17"/>
    <mergeCell ref="C17:D17"/>
    <mergeCell ref="O17:P17"/>
    <mergeCell ref="A18:B18"/>
    <mergeCell ref="C18:D18"/>
    <mergeCell ref="O18:P18"/>
    <mergeCell ref="Y18:Z18"/>
    <mergeCell ref="A19:B19"/>
    <mergeCell ref="C19:D19"/>
    <mergeCell ref="O19:P19"/>
    <mergeCell ref="Y19:Z19"/>
    <mergeCell ref="A20:B20"/>
    <mergeCell ref="C20:D20"/>
    <mergeCell ref="O20:P20"/>
    <mergeCell ref="Y20:Z20"/>
    <mergeCell ref="A21:B21"/>
    <mergeCell ref="C21:D21"/>
    <mergeCell ref="O21:P21"/>
    <mergeCell ref="Y21:Z21"/>
    <mergeCell ref="A22:B22"/>
    <mergeCell ref="C22:D22"/>
    <mergeCell ref="O22:P22"/>
    <mergeCell ref="Y22:Z22"/>
    <mergeCell ref="A23:B23"/>
    <mergeCell ref="C23:D23"/>
    <mergeCell ref="O23:P23"/>
    <mergeCell ref="Y23:Z23"/>
    <mergeCell ref="A24:B24"/>
    <mergeCell ref="C24:D24"/>
    <mergeCell ref="O24:P24"/>
    <mergeCell ref="Y24:Z24"/>
    <mergeCell ref="A25:B25"/>
    <mergeCell ref="C25:AA25"/>
    <mergeCell ref="A26:B26"/>
    <mergeCell ref="C26:D26"/>
    <mergeCell ref="O26:P26"/>
    <mergeCell ref="Y26:Z26"/>
    <mergeCell ref="A27:B27"/>
    <mergeCell ref="C27:D27"/>
    <mergeCell ref="O27:P27"/>
    <mergeCell ref="Y27:Z27"/>
    <mergeCell ref="A28:B28"/>
    <mergeCell ref="C28:D28"/>
    <mergeCell ref="O28:P28"/>
    <mergeCell ref="Y28:Z28"/>
    <mergeCell ref="A29:B29"/>
    <mergeCell ref="C29:D29"/>
    <mergeCell ref="O29:P29"/>
    <mergeCell ref="Y29:Z29"/>
    <mergeCell ref="A30:B30"/>
    <mergeCell ref="C30:D30"/>
    <mergeCell ref="O30:P30"/>
    <mergeCell ref="Y30:Z30"/>
    <mergeCell ref="A31:B31"/>
    <mergeCell ref="C31:D31"/>
    <mergeCell ref="O31:P31"/>
    <mergeCell ref="Y31:Z31"/>
    <mergeCell ref="A32:B32"/>
    <mergeCell ref="C32:D32"/>
    <mergeCell ref="O32:P32"/>
    <mergeCell ref="Y32:Z32"/>
    <mergeCell ref="A33:B33"/>
    <mergeCell ref="C33:AA33"/>
    <mergeCell ref="A34:B34"/>
    <mergeCell ref="C34:D34"/>
    <mergeCell ref="O34:P34"/>
    <mergeCell ref="Y34:Z34"/>
    <mergeCell ref="A35:B35"/>
    <mergeCell ref="C35:D35"/>
    <mergeCell ref="O35:P35"/>
    <mergeCell ref="Y35:Z35"/>
    <mergeCell ref="A36:B36"/>
    <mergeCell ref="C36:D36"/>
    <mergeCell ref="O36:P36"/>
    <mergeCell ref="Y36:Z36"/>
    <mergeCell ref="A37:B37"/>
    <mergeCell ref="C37:D37"/>
    <mergeCell ref="O37:P37"/>
    <mergeCell ref="Y37:Z37"/>
    <mergeCell ref="A38:B38"/>
    <mergeCell ref="C38:D38"/>
    <mergeCell ref="O38:P38"/>
    <mergeCell ref="Y38:Z38"/>
    <mergeCell ref="A39:B39"/>
    <mergeCell ref="C39:D39"/>
    <mergeCell ref="O39:P39"/>
    <mergeCell ref="Y39:Z39"/>
    <mergeCell ref="A40:B40"/>
    <mergeCell ref="C40:D40"/>
    <mergeCell ref="O40:P40"/>
    <mergeCell ref="Y40:Z40"/>
    <mergeCell ref="A41:B41"/>
    <mergeCell ref="C41:AA41"/>
    <mergeCell ref="A42:B42"/>
    <mergeCell ref="C42:D42"/>
    <mergeCell ref="O42:P42"/>
    <mergeCell ref="Y42:Z42"/>
    <mergeCell ref="A43:B43"/>
    <mergeCell ref="C43:D43"/>
    <mergeCell ref="O43:P43"/>
    <mergeCell ref="Y43:Z43"/>
    <mergeCell ref="A44:B44"/>
    <mergeCell ref="C44:D44"/>
    <mergeCell ref="O44:P44"/>
    <mergeCell ref="Y44:Z44"/>
    <mergeCell ref="A45:B45"/>
    <mergeCell ref="C45:D45"/>
    <mergeCell ref="O45:P45"/>
    <mergeCell ref="Y45:Z45"/>
    <mergeCell ref="A46:B46"/>
    <mergeCell ref="C46:D46"/>
    <mergeCell ref="O46:P46"/>
    <mergeCell ref="Y46:Z46"/>
    <mergeCell ref="A47:B47"/>
    <mergeCell ref="C47:D47"/>
    <mergeCell ref="O47:P47"/>
    <mergeCell ref="Y47:Z47"/>
    <mergeCell ref="A48:D48"/>
    <mergeCell ref="O48:P48"/>
    <mergeCell ref="Y48:Z48"/>
    <mergeCell ref="B57:D57"/>
    <mergeCell ref="B58:C58"/>
    <mergeCell ref="B59:C59"/>
    <mergeCell ref="B60:C60"/>
    <mergeCell ref="B61:C61"/>
    <mergeCell ref="B63:D63"/>
    <mergeCell ref="B64:C64"/>
    <mergeCell ref="B65:C65"/>
    <mergeCell ref="B66:C66"/>
    <mergeCell ref="B67:C67"/>
    <mergeCell ref="B68:C68"/>
    <mergeCell ref="B69:C69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45:N49"/>
    <mergeCell ref="Q8:Q10"/>
    <mergeCell ref="R8:R10"/>
    <mergeCell ref="S8:S10"/>
    <mergeCell ref="T8:T10"/>
    <mergeCell ref="U8:U10"/>
    <mergeCell ref="V8:V10"/>
    <mergeCell ref="W8:W10"/>
    <mergeCell ref="X8:X10"/>
    <mergeCell ref="AA8:AA10"/>
    <mergeCell ref="A1:B5"/>
    <mergeCell ref="C1:W4"/>
    <mergeCell ref="X1:Y2"/>
    <mergeCell ref="Z1:AA2"/>
    <mergeCell ref="A8:B10"/>
    <mergeCell ref="C8:D10"/>
    <mergeCell ref="O8:P10"/>
    <mergeCell ref="Y8:Z10"/>
  </mergeCells>
  <pageMargins left="0.251388888888889" right="0.251388888888889" top="0.251388888888889" bottom="0.251388888888889" header="0.298611111111111" footer="0.298611111111111"/>
  <pageSetup paperSize="9" scale="56" fitToHeight="0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69"/>
  <sheetViews>
    <sheetView zoomScale="70" zoomScaleNormal="70" zoomScalePageLayoutView="80" zoomScaleSheetLayoutView="70" topLeftCell="A6" workbookViewId="0">
      <pane ySplit="5" topLeftCell="A23" activePane="bottomLeft" state="frozen"/>
      <selection/>
      <selection pane="bottomLeft" activeCell="AA44" sqref="AA44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5.20952380952381" customWidth="1"/>
    <col min="4" max="4" width="7.73333333333333" customWidth="1"/>
    <col min="5" max="5" width="14.9619047619048" customWidth="1"/>
    <col min="6" max="6" width="12.9333333333333" customWidth="1"/>
    <col min="7" max="7" width="8.85714285714286" customWidth="1"/>
    <col min="8" max="8" width="10.5714285714286" customWidth="1"/>
    <col min="9" max="9" width="10.247619047619" customWidth="1"/>
    <col min="10" max="10" width="11.4190476190476" customWidth="1"/>
    <col min="11" max="11" width="10.4285714285714" customWidth="1"/>
    <col min="12" max="12" width="9.74285714285714" customWidth="1"/>
    <col min="13" max="13" width="9.85714285714286" customWidth="1"/>
    <col min="14" max="14" width="3.25714285714286" style="75" customWidth="1"/>
    <col min="15" max="15" width="9.14285714285714" customWidth="1"/>
    <col min="16" max="16" width="8.57142857142857" customWidth="1"/>
    <col min="17" max="17" width="12.4285714285714" customWidth="1"/>
    <col min="18" max="18" width="11.4285714285714" customWidth="1"/>
    <col min="19" max="19" width="8.85714285714286" customWidth="1"/>
    <col min="20" max="20" width="10.5714285714286" customWidth="1"/>
    <col min="21" max="21" width="11.2571428571429" customWidth="1"/>
    <col min="22" max="22" width="11.4190476190476" customWidth="1"/>
    <col min="23" max="23" width="10.247619047619" customWidth="1"/>
    <col min="24" max="24" width="13.4380952380952" customWidth="1"/>
    <col min="25" max="25" width="7.05714285714286" customWidth="1"/>
    <col min="26" max="26" width="7.14285714285714" customWidth="1"/>
    <col min="27" max="27" width="14.2857142857143" customWidth="1"/>
    <col min="28" max="33" width="6.71428571428571" customWidth="1"/>
  </cols>
  <sheetData>
    <row r="1" spans="1:27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169"/>
      <c r="O1" s="3"/>
      <c r="P1" s="3"/>
      <c r="Q1" s="3"/>
      <c r="R1" s="3"/>
      <c r="S1" s="3"/>
      <c r="T1" s="3"/>
      <c r="U1" s="3"/>
      <c r="V1" s="3"/>
      <c r="W1" s="50"/>
      <c r="X1" s="189" t="s">
        <v>1</v>
      </c>
      <c r="Y1" s="190"/>
      <c r="Z1" s="191" t="s">
        <v>2</v>
      </c>
      <c r="AA1" s="191"/>
    </row>
    <row r="2" ht="23" customHeight="1" spans="1:27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6"/>
      <c r="N2" s="170"/>
      <c r="O2" s="6"/>
      <c r="P2" s="6"/>
      <c r="Q2" s="6"/>
      <c r="R2" s="6"/>
      <c r="S2" s="6"/>
      <c r="T2" s="6"/>
      <c r="U2" s="6"/>
      <c r="V2" s="6"/>
      <c r="W2" s="54"/>
      <c r="X2" s="192"/>
      <c r="Y2" s="193"/>
      <c r="Z2" s="191"/>
      <c r="AA2" s="191"/>
    </row>
    <row r="3" ht="26" customHeight="1" spans="1:27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6"/>
      <c r="N3" s="170"/>
      <c r="O3" s="6"/>
      <c r="P3" s="6"/>
      <c r="Q3" s="6"/>
      <c r="R3" s="6"/>
      <c r="S3" s="6"/>
      <c r="T3" s="6"/>
      <c r="U3" s="6"/>
      <c r="V3" s="6"/>
      <c r="W3" s="54"/>
      <c r="X3" s="194" t="s">
        <v>31</v>
      </c>
      <c r="Y3" s="195"/>
      <c r="Z3" s="311" t="s">
        <v>36</v>
      </c>
      <c r="AA3" s="191"/>
    </row>
    <row r="4" ht="24" customHeight="1" spans="1:27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7"/>
      <c r="N4" s="171"/>
      <c r="O4" s="7"/>
      <c r="P4" s="7"/>
      <c r="Q4" s="7"/>
      <c r="R4" s="7"/>
      <c r="S4" s="7"/>
      <c r="T4" s="7"/>
      <c r="U4" s="7"/>
      <c r="V4" s="7"/>
      <c r="W4" s="59"/>
      <c r="X4" s="194" t="s">
        <v>32</v>
      </c>
      <c r="Y4" s="195"/>
      <c r="Z4" s="196">
        <v>45607</v>
      </c>
      <c r="AA4" s="196"/>
    </row>
    <row r="5" ht="19" customHeight="1" spans="1:27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172"/>
      <c r="O5" s="82"/>
      <c r="P5" s="82"/>
      <c r="Q5" s="82"/>
      <c r="R5" s="82"/>
      <c r="S5" s="82"/>
      <c r="T5" s="82"/>
      <c r="U5" s="82"/>
      <c r="V5" s="82"/>
      <c r="W5" s="119"/>
      <c r="X5" s="197" t="s">
        <v>7</v>
      </c>
      <c r="Y5" s="197"/>
      <c r="Z5" s="197"/>
      <c r="AA5" s="198"/>
    </row>
    <row r="6" ht="20" customHeight="1" spans="1:33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11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12"/>
      <c r="AC6" s="12"/>
      <c r="AD6" s="12"/>
      <c r="AE6" s="12"/>
      <c r="AF6" s="12"/>
      <c r="AG6" s="12"/>
    </row>
    <row r="7" ht="21" customHeight="1" spans="1:33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73"/>
      <c r="N7" s="174"/>
      <c r="O7" s="175" t="s">
        <v>9</v>
      </c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72"/>
      <c r="AC7" s="72"/>
      <c r="AD7" s="72"/>
      <c r="AE7" s="72"/>
      <c r="AF7" s="72"/>
      <c r="AG7" s="73"/>
    </row>
    <row r="8" ht="15.75" spans="1:27">
      <c r="A8" s="128" t="s">
        <v>10</v>
      </c>
      <c r="B8" s="129"/>
      <c r="C8" s="86" t="s">
        <v>11</v>
      </c>
      <c r="D8" s="86"/>
      <c r="E8" s="85" t="s">
        <v>12</v>
      </c>
      <c r="F8" s="85" t="s">
        <v>13</v>
      </c>
      <c r="G8" s="86" t="s">
        <v>14</v>
      </c>
      <c r="H8" s="86" t="s">
        <v>15</v>
      </c>
      <c r="I8" s="86" t="s">
        <v>16</v>
      </c>
      <c r="J8" s="86" t="s">
        <v>17</v>
      </c>
      <c r="K8" s="85" t="s">
        <v>18</v>
      </c>
      <c r="L8" s="85" t="s">
        <v>19</v>
      </c>
      <c r="M8" s="85" t="s">
        <v>20</v>
      </c>
      <c r="N8" s="176"/>
      <c r="O8" s="86" t="s">
        <v>11</v>
      </c>
      <c r="P8" s="86"/>
      <c r="Q8" s="86" t="s">
        <v>12</v>
      </c>
      <c r="R8" s="86" t="s">
        <v>13</v>
      </c>
      <c r="S8" s="86" t="s">
        <v>14</v>
      </c>
      <c r="T8" s="86" t="s">
        <v>15</v>
      </c>
      <c r="U8" s="86" t="s">
        <v>18</v>
      </c>
      <c r="V8" s="86" t="s">
        <v>21</v>
      </c>
      <c r="W8" s="86" t="s">
        <v>22</v>
      </c>
      <c r="X8" s="86" t="s">
        <v>23</v>
      </c>
      <c r="Y8" s="85" t="s">
        <v>19</v>
      </c>
      <c r="Z8" s="85"/>
      <c r="AA8" s="85" t="s">
        <v>20</v>
      </c>
    </row>
    <row r="9" ht="15.75" spans="1:27">
      <c r="A9" s="130"/>
      <c r="B9" s="131"/>
      <c r="C9" s="86"/>
      <c r="D9" s="86"/>
      <c r="E9" s="85"/>
      <c r="F9" s="85"/>
      <c r="G9" s="86"/>
      <c r="H9" s="86"/>
      <c r="I9" s="86"/>
      <c r="J9" s="86"/>
      <c r="K9" s="85"/>
      <c r="L9" s="85"/>
      <c r="M9" s="85"/>
      <c r="N9" s="176"/>
      <c r="O9" s="86"/>
      <c r="P9" s="86"/>
      <c r="Q9" s="86"/>
      <c r="R9" s="86"/>
      <c r="S9" s="86"/>
      <c r="T9" s="86"/>
      <c r="U9" s="86"/>
      <c r="V9" s="86"/>
      <c r="W9" s="86"/>
      <c r="X9" s="86"/>
      <c r="Y9" s="85"/>
      <c r="Z9" s="85"/>
      <c r="AA9" s="85"/>
    </row>
    <row r="10" ht="15.75" spans="1:27">
      <c r="A10" s="132"/>
      <c r="B10" s="133"/>
      <c r="C10" s="86"/>
      <c r="D10" s="86"/>
      <c r="E10" s="85"/>
      <c r="F10" s="85"/>
      <c r="G10" s="86"/>
      <c r="H10" s="86"/>
      <c r="I10" s="86"/>
      <c r="J10" s="86"/>
      <c r="K10" s="85"/>
      <c r="L10" s="85"/>
      <c r="M10" s="85"/>
      <c r="N10" s="17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5"/>
      <c r="Z10" s="85"/>
      <c r="AA10" s="85"/>
    </row>
    <row r="11" ht="18.75" spans="1:27">
      <c r="A11" s="134">
        <v>45870</v>
      </c>
      <c r="B11" s="135"/>
      <c r="C11" s="212">
        <v>11911</v>
      </c>
      <c r="D11" s="216"/>
      <c r="E11" s="213">
        <v>11886</v>
      </c>
      <c r="F11" s="213"/>
      <c r="G11" s="213">
        <v>25</v>
      </c>
      <c r="H11" s="157">
        <f>G11/C11*100</f>
        <v>0.209890017630761</v>
      </c>
      <c r="I11" s="213">
        <v>24</v>
      </c>
      <c r="J11" s="213">
        <v>1</v>
      </c>
      <c r="K11" s="213"/>
      <c r="L11" s="213"/>
      <c r="M11" s="213"/>
      <c r="N11" s="185"/>
      <c r="O11" s="212">
        <v>11886</v>
      </c>
      <c r="P11" s="216"/>
      <c r="Q11" s="213">
        <v>11845</v>
      </c>
      <c r="R11" s="213"/>
      <c r="S11" s="213">
        <v>41</v>
      </c>
      <c r="T11" s="157">
        <f>S11/O11*100</f>
        <v>0.344943631162712</v>
      </c>
      <c r="U11" s="213">
        <v>30</v>
      </c>
      <c r="V11" s="213"/>
      <c r="W11" s="213"/>
      <c r="X11" s="213">
        <v>6</v>
      </c>
      <c r="Y11" s="212">
        <v>5</v>
      </c>
      <c r="Z11" s="216"/>
      <c r="AA11" s="213"/>
    </row>
    <row r="12" ht="25" customHeight="1" spans="1:27">
      <c r="A12" s="134">
        <v>45871</v>
      </c>
      <c r="B12" s="135"/>
      <c r="C12" s="212">
        <v>11330</v>
      </c>
      <c r="D12" s="216"/>
      <c r="E12" s="213">
        <v>11154</v>
      </c>
      <c r="F12" s="213"/>
      <c r="G12" s="213">
        <v>10</v>
      </c>
      <c r="H12" s="157">
        <f>G12/C12*100</f>
        <v>0.088261253309797</v>
      </c>
      <c r="I12" s="213">
        <v>4</v>
      </c>
      <c r="J12" s="213">
        <v>6</v>
      </c>
      <c r="K12" s="213"/>
      <c r="L12" s="213"/>
      <c r="M12" s="213"/>
      <c r="N12" s="185"/>
      <c r="O12" s="212">
        <v>11149</v>
      </c>
      <c r="P12" s="216"/>
      <c r="Q12" s="213">
        <v>11109</v>
      </c>
      <c r="R12" s="213"/>
      <c r="S12" s="213">
        <v>40</v>
      </c>
      <c r="T12" s="157">
        <f>S12/O12*100</f>
        <v>0.358776571889856</v>
      </c>
      <c r="U12" s="213">
        <v>36</v>
      </c>
      <c r="V12" s="213"/>
      <c r="W12" s="213"/>
      <c r="X12" s="213">
        <v>4</v>
      </c>
      <c r="Y12" s="212"/>
      <c r="Z12" s="216"/>
      <c r="AA12" s="213"/>
    </row>
    <row r="13" ht="25" customHeight="1" spans="1:27">
      <c r="A13" s="136" t="s">
        <v>38</v>
      </c>
      <c r="B13" s="137"/>
      <c r="C13" s="237">
        <f>SUM(C11:D12)</f>
        <v>23241</v>
      </c>
      <c r="D13" s="238"/>
      <c r="E13" s="237">
        <f>SUM(E11:E12)</f>
        <v>23040</v>
      </c>
      <c r="F13" s="237">
        <f>SUM(F11:F12)</f>
        <v>0</v>
      </c>
      <c r="G13" s="237">
        <f>SUM(G11:G12)</f>
        <v>35</v>
      </c>
      <c r="H13" s="108">
        <f>G13/C13*100</f>
        <v>0.15059592960716</v>
      </c>
      <c r="I13" s="237">
        <f>SUM(I11:I12)</f>
        <v>28</v>
      </c>
      <c r="J13" s="237">
        <f>SUM(J11:J12)</f>
        <v>7</v>
      </c>
      <c r="K13" s="237">
        <f>SUM(K11:K12)</f>
        <v>0</v>
      </c>
      <c r="L13" s="237">
        <f>SUM(L11:L12)</f>
        <v>0</v>
      </c>
      <c r="M13" s="237">
        <f>SUM(M11:M12)</f>
        <v>0</v>
      </c>
      <c r="N13" s="238"/>
      <c r="O13" s="237">
        <f>SUM(O11:P12)</f>
        <v>23035</v>
      </c>
      <c r="P13" s="238"/>
      <c r="Q13" s="237">
        <f>SUM(Q11:Q12)</f>
        <v>22954</v>
      </c>
      <c r="R13" s="237">
        <f>SUM(R11:R12)</f>
        <v>0</v>
      </c>
      <c r="S13" s="237">
        <f>SUM(S11:S12)</f>
        <v>81</v>
      </c>
      <c r="T13" s="108">
        <f>S13/O13*100</f>
        <v>0.351638810505752</v>
      </c>
      <c r="U13" s="237">
        <f>SUM(U11:U12)</f>
        <v>66</v>
      </c>
      <c r="V13" s="237">
        <f>SUM(V11:V12)</f>
        <v>0</v>
      </c>
      <c r="W13" s="237">
        <f>SUM(W11:W12)</f>
        <v>0</v>
      </c>
      <c r="X13" s="237">
        <f>SUM(X11:X12)</f>
        <v>10</v>
      </c>
      <c r="Y13" s="255">
        <f>SUM(Y11:Z12)</f>
        <v>5</v>
      </c>
      <c r="Z13" s="256"/>
      <c r="AA13" s="237">
        <f>SUM(AA11:AA12)</f>
        <v>0</v>
      </c>
    </row>
    <row r="14" ht="25" customHeight="1" spans="1:27">
      <c r="A14" s="138">
        <v>45872</v>
      </c>
      <c r="B14" s="139"/>
      <c r="C14" s="158"/>
      <c r="D14" s="217"/>
      <c r="E14" s="159"/>
      <c r="F14" s="159"/>
      <c r="G14" s="159"/>
      <c r="H14" s="93" t="e">
        <f>G14/C14*100</f>
        <v>#DIV/0!</v>
      </c>
      <c r="I14" s="159"/>
      <c r="J14" s="159"/>
      <c r="K14" s="159"/>
      <c r="L14" s="159"/>
      <c r="M14" s="159"/>
      <c r="N14" s="186"/>
      <c r="O14" s="158"/>
      <c r="P14" s="217"/>
      <c r="Q14" s="159"/>
      <c r="R14" s="159"/>
      <c r="S14" s="159"/>
      <c r="T14" s="93" t="e">
        <f>S14/O14*100</f>
        <v>#DIV/0!</v>
      </c>
      <c r="U14" s="159"/>
      <c r="V14" s="159"/>
      <c r="W14" s="159"/>
      <c r="X14" s="159"/>
      <c r="Y14" s="158"/>
      <c r="Z14" s="217"/>
      <c r="AA14" s="159"/>
    </row>
    <row r="15" ht="25" customHeight="1" spans="1:27">
      <c r="A15" s="134">
        <v>45873</v>
      </c>
      <c r="B15" s="135"/>
      <c r="C15" s="25">
        <v>11108</v>
      </c>
      <c r="D15" s="25"/>
      <c r="E15" s="25">
        <v>11103</v>
      </c>
      <c r="F15" s="25"/>
      <c r="G15" s="25">
        <v>5</v>
      </c>
      <c r="H15" s="26">
        <f>G15/C15*100</f>
        <v>0.0450126035289881</v>
      </c>
      <c r="I15" s="25">
        <v>5</v>
      </c>
      <c r="J15" s="25"/>
      <c r="K15" s="25"/>
      <c r="L15" s="25"/>
      <c r="M15" s="25"/>
      <c r="N15" s="177"/>
      <c r="O15" s="25">
        <v>8103</v>
      </c>
      <c r="P15" s="25"/>
      <c r="Q15" s="25">
        <v>8080</v>
      </c>
      <c r="R15" s="25"/>
      <c r="S15" s="25">
        <v>23</v>
      </c>
      <c r="T15" s="26">
        <f>S15/O15*100</f>
        <v>0.283845489324941</v>
      </c>
      <c r="U15" s="25">
        <v>7</v>
      </c>
      <c r="V15" s="25"/>
      <c r="W15" s="25"/>
      <c r="X15" s="25">
        <v>16</v>
      </c>
      <c r="Y15" s="25"/>
      <c r="Z15" s="25"/>
      <c r="AA15" s="25"/>
    </row>
    <row r="16" ht="25" customHeight="1" spans="1:27">
      <c r="A16" s="134">
        <v>45874</v>
      </c>
      <c r="B16" s="135"/>
      <c r="C16" s="25">
        <v>11104</v>
      </c>
      <c r="D16" s="25"/>
      <c r="E16" s="25">
        <v>1105</v>
      </c>
      <c r="F16" s="25"/>
      <c r="G16" s="25">
        <v>54</v>
      </c>
      <c r="H16" s="26">
        <f t="shared" ref="H16:H23" si="0">G16/C16*100</f>
        <v>0.486311239193084</v>
      </c>
      <c r="I16" s="25">
        <v>12</v>
      </c>
      <c r="J16" s="25">
        <v>7</v>
      </c>
      <c r="K16" s="25">
        <v>35</v>
      </c>
      <c r="L16" s="25"/>
      <c r="M16" s="25"/>
      <c r="N16" s="177"/>
      <c r="O16" s="25">
        <v>9136</v>
      </c>
      <c r="P16" s="25"/>
      <c r="Q16" s="25">
        <v>8717</v>
      </c>
      <c r="R16" s="25"/>
      <c r="S16" s="25">
        <v>419</v>
      </c>
      <c r="T16" s="26">
        <f t="shared" ref="T16:T23" si="1">S16/O16*100</f>
        <v>4.58625218914186</v>
      </c>
      <c r="U16" s="25">
        <v>80</v>
      </c>
      <c r="V16" s="25"/>
      <c r="W16" s="25"/>
      <c r="X16" s="25">
        <v>235</v>
      </c>
      <c r="Y16" s="25">
        <v>104</v>
      </c>
      <c r="Z16" s="25"/>
      <c r="AA16" s="25"/>
    </row>
    <row r="17" ht="25" customHeight="1" spans="1:27">
      <c r="A17" s="140">
        <v>45875</v>
      </c>
      <c r="B17" s="141"/>
      <c r="C17" s="142">
        <v>9696</v>
      </c>
      <c r="D17" s="239"/>
      <c r="E17" s="95">
        <v>9682</v>
      </c>
      <c r="F17" s="95"/>
      <c r="G17" s="95">
        <v>14</v>
      </c>
      <c r="H17" s="26">
        <f t="shared" si="0"/>
        <v>0.144389438943894</v>
      </c>
      <c r="I17" s="27">
        <v>14</v>
      </c>
      <c r="J17" s="27"/>
      <c r="K17" s="27"/>
      <c r="L17" s="27"/>
      <c r="M17" s="27"/>
      <c r="N17" s="179"/>
      <c r="O17" s="65">
        <v>13059</v>
      </c>
      <c r="P17" s="66"/>
      <c r="Q17" s="27">
        <v>13036</v>
      </c>
      <c r="R17" s="27"/>
      <c r="S17" s="27">
        <v>23</v>
      </c>
      <c r="T17" s="120">
        <f t="shared" si="1"/>
        <v>0.176123746075503</v>
      </c>
      <c r="U17" s="27">
        <v>10</v>
      </c>
      <c r="V17" s="27">
        <v>1</v>
      </c>
      <c r="W17" s="27">
        <v>2</v>
      </c>
      <c r="X17" s="27">
        <v>2</v>
      </c>
      <c r="Y17" s="65">
        <v>8</v>
      </c>
      <c r="Z17" s="66"/>
      <c r="AA17" s="27"/>
    </row>
    <row r="18" ht="25" customHeight="1" spans="1:27">
      <c r="A18" s="134">
        <v>45876</v>
      </c>
      <c r="B18" s="135"/>
      <c r="C18" s="27">
        <v>10891</v>
      </c>
      <c r="D18" s="27"/>
      <c r="E18" s="27">
        <v>10881</v>
      </c>
      <c r="F18" s="27"/>
      <c r="G18" s="27">
        <v>10</v>
      </c>
      <c r="H18" s="26">
        <f t="shared" si="0"/>
        <v>0.0918189330639978</v>
      </c>
      <c r="I18" s="27">
        <v>10</v>
      </c>
      <c r="J18" s="27"/>
      <c r="K18" s="27"/>
      <c r="L18" s="27"/>
      <c r="M18" s="27"/>
      <c r="N18" s="177"/>
      <c r="O18" s="65">
        <v>12418</v>
      </c>
      <c r="P18" s="66"/>
      <c r="Q18" s="27">
        <v>12396</v>
      </c>
      <c r="R18" s="27"/>
      <c r="S18" s="27">
        <v>22</v>
      </c>
      <c r="T18" s="26">
        <f t="shared" si="1"/>
        <v>0.177162183926558</v>
      </c>
      <c r="U18" s="27">
        <v>20</v>
      </c>
      <c r="V18" s="27"/>
      <c r="W18" s="27"/>
      <c r="X18" s="27">
        <v>2</v>
      </c>
      <c r="Y18" s="65"/>
      <c r="Z18" s="66"/>
      <c r="AA18" s="27"/>
    </row>
    <row r="19" ht="25" customHeight="1" spans="1:27">
      <c r="A19" s="134">
        <v>45877</v>
      </c>
      <c r="B19" s="135"/>
      <c r="C19" s="27">
        <v>8078</v>
      </c>
      <c r="D19" s="27"/>
      <c r="E19" s="27">
        <v>8049</v>
      </c>
      <c r="F19" s="27"/>
      <c r="G19" s="27">
        <v>9</v>
      </c>
      <c r="H19" s="26">
        <f t="shared" si="0"/>
        <v>0.111413716266403</v>
      </c>
      <c r="I19" s="27">
        <v>9</v>
      </c>
      <c r="J19" s="27"/>
      <c r="K19" s="27"/>
      <c r="L19" s="27"/>
      <c r="M19" s="27"/>
      <c r="N19" s="177"/>
      <c r="O19" s="65">
        <v>8049</v>
      </c>
      <c r="P19" s="66"/>
      <c r="Q19" s="27">
        <v>8028</v>
      </c>
      <c r="R19" s="27"/>
      <c r="S19" s="27">
        <v>21</v>
      </c>
      <c r="T19" s="26">
        <f t="shared" si="1"/>
        <v>0.260901975400671</v>
      </c>
      <c r="U19" s="27">
        <v>14</v>
      </c>
      <c r="V19" s="27"/>
      <c r="W19" s="27"/>
      <c r="X19" s="27">
        <v>7</v>
      </c>
      <c r="Y19" s="65"/>
      <c r="Z19" s="66"/>
      <c r="AA19" s="27"/>
    </row>
    <row r="20" customHeight="1" spans="1:27">
      <c r="A20" s="240">
        <v>45878</v>
      </c>
      <c r="B20" s="241"/>
      <c r="C20" s="242" t="s">
        <v>43</v>
      </c>
      <c r="D20" s="243"/>
      <c r="E20" s="243"/>
      <c r="F20" s="243"/>
      <c r="G20" s="243"/>
      <c r="H20" s="243" t="e">
        <f t="shared" si="0"/>
        <v>#VALUE!</v>
      </c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 t="e">
        <f t="shared" si="1"/>
        <v>#DIV/0!</v>
      </c>
      <c r="U20" s="243"/>
      <c r="V20" s="243"/>
      <c r="W20" s="243"/>
      <c r="X20" s="243"/>
      <c r="Y20" s="243"/>
      <c r="Z20" s="243"/>
      <c r="AA20" s="257"/>
    </row>
    <row r="21" customFormat="1" ht="25" customHeight="1" spans="1:27">
      <c r="A21" s="136" t="s">
        <v>39</v>
      </c>
      <c r="B21" s="137"/>
      <c r="C21" s="237">
        <f>SUM(C14:D20)</f>
        <v>50877</v>
      </c>
      <c r="D21" s="238"/>
      <c r="E21" s="237">
        <f>SUM(E14:E20)</f>
        <v>40820</v>
      </c>
      <c r="F21" s="237">
        <f t="shared" ref="E21:M21" si="2">SUM(F14:F20)</f>
        <v>0</v>
      </c>
      <c r="G21" s="237">
        <f t="shared" si="2"/>
        <v>92</v>
      </c>
      <c r="H21" s="108">
        <f t="shared" si="0"/>
        <v>0.180828272107239</v>
      </c>
      <c r="I21" s="237">
        <f t="shared" si="2"/>
        <v>50</v>
      </c>
      <c r="J21" s="237">
        <f t="shared" si="2"/>
        <v>7</v>
      </c>
      <c r="K21" s="237">
        <f t="shared" si="2"/>
        <v>35</v>
      </c>
      <c r="L21" s="237">
        <f t="shared" si="2"/>
        <v>0</v>
      </c>
      <c r="M21" s="237">
        <f t="shared" si="2"/>
        <v>0</v>
      </c>
      <c r="N21" s="238"/>
      <c r="O21" s="237">
        <f>SUM(O14:P20)</f>
        <v>50765</v>
      </c>
      <c r="P21" s="238"/>
      <c r="Q21" s="237">
        <f>SUM(Q15:Q20)</f>
        <v>50257</v>
      </c>
      <c r="R21" s="237">
        <f>SUM(R15:R20)</f>
        <v>0</v>
      </c>
      <c r="S21" s="237">
        <f>SUM(S15:S20)</f>
        <v>508</v>
      </c>
      <c r="T21" s="108">
        <f t="shared" si="1"/>
        <v>1.00068945139368</v>
      </c>
      <c r="U21" s="237">
        <f>SUM(U15:U20)</f>
        <v>131</v>
      </c>
      <c r="V21" s="237">
        <f>SUM(V15:V20)</f>
        <v>1</v>
      </c>
      <c r="W21" s="237">
        <f>SUM(W15:W20)</f>
        <v>2</v>
      </c>
      <c r="X21" s="237">
        <f>SUM(X15:X20)</f>
        <v>262</v>
      </c>
      <c r="Y21" s="255">
        <f>SUM(Y15:Y20)</f>
        <v>112</v>
      </c>
      <c r="Z21" s="256"/>
      <c r="AA21" s="237">
        <f>SUM(AA15:AA20)</f>
        <v>0</v>
      </c>
    </row>
    <row r="22" ht="25" customHeight="1" spans="1:27">
      <c r="A22" s="138">
        <v>45879</v>
      </c>
      <c r="B22" s="139"/>
      <c r="C22" s="92"/>
      <c r="D22" s="92"/>
      <c r="E22" s="92"/>
      <c r="F22" s="92"/>
      <c r="G22" s="92"/>
      <c r="H22" s="93" t="e">
        <f t="shared" si="0"/>
        <v>#DIV/0!</v>
      </c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3" t="e">
        <f t="shared" si="1"/>
        <v>#DIV/0!</v>
      </c>
      <c r="U22" s="92"/>
      <c r="V22" s="92"/>
      <c r="W22" s="92"/>
      <c r="X22" s="92"/>
      <c r="Y22" s="92"/>
      <c r="Z22" s="92"/>
      <c r="AA22" s="92"/>
    </row>
    <row r="23" ht="25" customHeight="1" spans="1:27">
      <c r="A23" s="134">
        <v>45880</v>
      </c>
      <c r="B23" s="135"/>
      <c r="C23" s="25">
        <v>9570</v>
      </c>
      <c r="D23" s="25"/>
      <c r="E23" s="25">
        <v>9558</v>
      </c>
      <c r="F23" s="25"/>
      <c r="G23" s="25">
        <v>12</v>
      </c>
      <c r="H23" s="26">
        <f t="shared" si="0"/>
        <v>0.125391849529781</v>
      </c>
      <c r="I23" s="25">
        <v>12</v>
      </c>
      <c r="J23" s="25"/>
      <c r="K23" s="25"/>
      <c r="L23" s="25"/>
      <c r="M23" s="25"/>
      <c r="N23" s="177"/>
      <c r="O23" s="25">
        <v>7217</v>
      </c>
      <c r="P23" s="25"/>
      <c r="Q23" s="25">
        <v>7181</v>
      </c>
      <c r="R23" s="25"/>
      <c r="S23" s="25">
        <v>36</v>
      </c>
      <c r="T23" s="26">
        <f t="shared" si="1"/>
        <v>0.498822225301372</v>
      </c>
      <c r="U23" s="25">
        <v>29</v>
      </c>
      <c r="V23" s="25"/>
      <c r="W23" s="25">
        <v>6</v>
      </c>
      <c r="X23" s="25">
        <v>1</v>
      </c>
      <c r="Y23" s="25"/>
      <c r="Z23" s="25"/>
      <c r="AA23" s="25"/>
    </row>
    <row r="24" ht="25" customHeight="1" spans="1:27">
      <c r="A24" s="134">
        <v>45881</v>
      </c>
      <c r="B24" s="135"/>
      <c r="C24" s="206">
        <v>7334</v>
      </c>
      <c r="D24" s="215"/>
      <c r="E24" s="207">
        <v>7255</v>
      </c>
      <c r="F24" s="207"/>
      <c r="G24" s="207">
        <v>79</v>
      </c>
      <c r="H24" s="26">
        <f t="shared" ref="H24:H31" si="3">G24/C24*100</f>
        <v>1.0771748022907</v>
      </c>
      <c r="I24" s="207">
        <v>50</v>
      </c>
      <c r="J24" s="207"/>
      <c r="K24" s="207">
        <v>29</v>
      </c>
      <c r="L24" s="207"/>
      <c r="M24" s="207"/>
      <c r="N24" s="185"/>
      <c r="O24" s="206">
        <v>9069</v>
      </c>
      <c r="P24" s="215"/>
      <c r="Q24" s="207">
        <v>9032</v>
      </c>
      <c r="R24" s="207"/>
      <c r="S24" s="207">
        <v>37</v>
      </c>
      <c r="T24" s="208">
        <f t="shared" ref="T24:T31" si="4">S24/O24*100</f>
        <v>0.407983239607454</v>
      </c>
      <c r="U24" s="207">
        <v>34</v>
      </c>
      <c r="V24" s="207"/>
      <c r="W24" s="207">
        <v>1</v>
      </c>
      <c r="X24" s="207"/>
      <c r="Y24" s="206">
        <v>2</v>
      </c>
      <c r="Z24" s="215"/>
      <c r="AA24" s="207"/>
    </row>
    <row r="25" ht="25" customHeight="1" spans="1:27">
      <c r="A25" s="140">
        <v>45882</v>
      </c>
      <c r="B25" s="141"/>
      <c r="C25" s="244">
        <v>8183</v>
      </c>
      <c r="D25" s="245"/>
      <c r="E25" s="177">
        <v>8080</v>
      </c>
      <c r="F25" s="177"/>
      <c r="G25" s="177">
        <v>49</v>
      </c>
      <c r="H25" s="26">
        <f t="shared" si="3"/>
        <v>0.598802395209581</v>
      </c>
      <c r="I25" s="177"/>
      <c r="J25" s="177"/>
      <c r="K25" s="177"/>
      <c r="L25" s="177"/>
      <c r="M25" s="177"/>
      <c r="N25" s="177"/>
      <c r="O25" s="244">
        <v>8048</v>
      </c>
      <c r="P25" s="245"/>
      <c r="Q25" s="177">
        <v>8032</v>
      </c>
      <c r="R25" s="177"/>
      <c r="S25" s="177">
        <v>16</v>
      </c>
      <c r="T25" s="26">
        <f t="shared" si="4"/>
        <v>0.198807157057654</v>
      </c>
      <c r="U25" s="177">
        <v>15</v>
      </c>
      <c r="V25" s="177"/>
      <c r="W25" s="177"/>
      <c r="X25" s="177"/>
      <c r="Y25" s="244">
        <v>1</v>
      </c>
      <c r="Z25" s="245"/>
      <c r="AA25" s="177"/>
    </row>
    <row r="26" ht="25" customHeight="1" spans="1:27">
      <c r="A26" s="134">
        <v>45883</v>
      </c>
      <c r="B26" s="135"/>
      <c r="C26" s="206">
        <v>8455</v>
      </c>
      <c r="D26" s="215"/>
      <c r="E26" s="207">
        <v>8408</v>
      </c>
      <c r="F26" s="207"/>
      <c r="G26" s="207">
        <v>47</v>
      </c>
      <c r="H26" s="26">
        <f t="shared" si="3"/>
        <v>0.555884092253105</v>
      </c>
      <c r="I26" s="207">
        <v>46</v>
      </c>
      <c r="J26" s="207">
        <v>1</v>
      </c>
      <c r="K26" s="207"/>
      <c r="L26" s="207"/>
      <c r="M26" s="207"/>
      <c r="N26" s="185"/>
      <c r="O26" s="206">
        <v>8887</v>
      </c>
      <c r="P26" s="215"/>
      <c r="Q26" s="207">
        <v>8869</v>
      </c>
      <c r="R26" s="207"/>
      <c r="S26" s="207">
        <v>18</v>
      </c>
      <c r="T26" s="208">
        <f t="shared" si="4"/>
        <v>0.202543040396084</v>
      </c>
      <c r="U26" s="207">
        <v>17</v>
      </c>
      <c r="V26" s="207"/>
      <c r="W26" s="207"/>
      <c r="X26" s="207">
        <v>1</v>
      </c>
      <c r="Y26" s="206"/>
      <c r="Z26" s="215"/>
      <c r="AA26" s="207"/>
    </row>
    <row r="27" customHeight="1" spans="1:27">
      <c r="A27" s="240">
        <v>45884</v>
      </c>
      <c r="B27" s="241"/>
      <c r="C27" s="242" t="s">
        <v>43</v>
      </c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58"/>
    </row>
    <row r="28" customHeight="1" spans="1:27">
      <c r="A28" s="240">
        <v>45885</v>
      </c>
      <c r="B28" s="241"/>
      <c r="C28" s="242" t="s">
        <v>43</v>
      </c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58"/>
    </row>
    <row r="29" customFormat="1" ht="25" customHeight="1" spans="1:27">
      <c r="A29" s="136" t="s">
        <v>40</v>
      </c>
      <c r="B29" s="137"/>
      <c r="C29" s="237">
        <f>SUM(C22:D28)</f>
        <v>33542</v>
      </c>
      <c r="D29" s="238"/>
      <c r="E29" s="237">
        <f>SUM(E22:E28)</f>
        <v>33301</v>
      </c>
      <c r="F29" s="237">
        <f>SUM(F22:F28)</f>
        <v>0</v>
      </c>
      <c r="G29" s="237">
        <f>SUM(G22:G28)</f>
        <v>187</v>
      </c>
      <c r="H29" s="108">
        <f t="shared" si="3"/>
        <v>0.557509987478385</v>
      </c>
      <c r="I29" s="237">
        <f>SUM(I22:I28)</f>
        <v>108</v>
      </c>
      <c r="J29" s="237">
        <f>SUM(J22:J28)</f>
        <v>1</v>
      </c>
      <c r="K29" s="237">
        <f>SUM(K22:K28)</f>
        <v>29</v>
      </c>
      <c r="L29" s="237">
        <f>SUM(L22:L28)</f>
        <v>0</v>
      </c>
      <c r="M29" s="237">
        <f>SUM(M22:M28)</f>
        <v>0</v>
      </c>
      <c r="N29" s="238"/>
      <c r="O29" s="237">
        <f>SUM(O22:P28)</f>
        <v>33221</v>
      </c>
      <c r="P29" s="238"/>
      <c r="Q29" s="237">
        <f>SUM(Q23:Q28)</f>
        <v>33114</v>
      </c>
      <c r="R29" s="237">
        <f>SUM(R23:R28)</f>
        <v>0</v>
      </c>
      <c r="S29" s="237">
        <f>SUM(S23:S28)</f>
        <v>107</v>
      </c>
      <c r="T29" s="108">
        <f t="shared" si="4"/>
        <v>0.322085427891996</v>
      </c>
      <c r="U29" s="237">
        <f>SUM(U23:U28)</f>
        <v>95</v>
      </c>
      <c r="V29" s="237">
        <f>SUM(V23:V28)</f>
        <v>0</v>
      </c>
      <c r="W29" s="237">
        <f>SUM(W23:W28)</f>
        <v>7</v>
      </c>
      <c r="X29" s="237">
        <f>SUM(X23:X28)</f>
        <v>2</v>
      </c>
      <c r="Y29" s="255">
        <f>SUM(Y23:Y28)</f>
        <v>3</v>
      </c>
      <c r="Z29" s="256"/>
      <c r="AA29" s="237">
        <f>SUM(AA23:AA28)</f>
        <v>0</v>
      </c>
    </row>
    <row r="30" ht="25" customHeight="1" spans="1:27">
      <c r="A30" s="138">
        <v>45886</v>
      </c>
      <c r="B30" s="139"/>
      <c r="C30" s="92">
        <v>8240</v>
      </c>
      <c r="D30" s="92"/>
      <c r="E30" s="92">
        <v>8209</v>
      </c>
      <c r="F30" s="92"/>
      <c r="G30" s="92">
        <v>33</v>
      </c>
      <c r="H30" s="160">
        <f t="shared" si="3"/>
        <v>0.400485436893204</v>
      </c>
      <c r="I30" s="92">
        <v>33</v>
      </c>
      <c r="J30" s="92"/>
      <c r="K30" s="92"/>
      <c r="L30" s="92"/>
      <c r="M30" s="92"/>
      <c r="N30" s="92"/>
      <c r="O30" s="92">
        <v>5929</v>
      </c>
      <c r="P30" s="92"/>
      <c r="Q30" s="92">
        <v>5886</v>
      </c>
      <c r="R30" s="92"/>
      <c r="S30" s="92">
        <v>23</v>
      </c>
      <c r="T30" s="93">
        <f t="shared" si="4"/>
        <v>0.387923764547141</v>
      </c>
      <c r="U30" s="92">
        <v>21</v>
      </c>
      <c r="V30" s="92"/>
      <c r="W30" s="92"/>
      <c r="X30" s="92">
        <v>2</v>
      </c>
      <c r="Y30" s="92"/>
      <c r="Z30" s="92"/>
      <c r="AA30" s="92"/>
    </row>
    <row r="31" ht="25" customHeight="1" spans="1:27">
      <c r="A31" s="134">
        <v>45887</v>
      </c>
      <c r="B31" s="135"/>
      <c r="C31" s="212">
        <v>7808</v>
      </c>
      <c r="D31" s="216"/>
      <c r="E31" s="213">
        <v>7776</v>
      </c>
      <c r="F31" s="213"/>
      <c r="G31" s="213">
        <v>32</v>
      </c>
      <c r="H31" s="26">
        <f t="shared" si="3"/>
        <v>0.409836065573771</v>
      </c>
      <c r="I31" s="213">
        <v>32</v>
      </c>
      <c r="J31" s="213"/>
      <c r="K31" s="213"/>
      <c r="L31" s="213"/>
      <c r="M31" s="213"/>
      <c r="N31" s="185"/>
      <c r="O31" s="212">
        <v>100561</v>
      </c>
      <c r="P31" s="216"/>
      <c r="Q31" s="213">
        <v>10037</v>
      </c>
      <c r="R31" s="213"/>
      <c r="S31" s="213">
        <v>19</v>
      </c>
      <c r="T31" s="157">
        <f t="shared" si="4"/>
        <v>0.0188940046340032</v>
      </c>
      <c r="U31" s="213">
        <v>19</v>
      </c>
      <c r="V31" s="213"/>
      <c r="W31" s="213"/>
      <c r="X31" s="213"/>
      <c r="Y31" s="212"/>
      <c r="Z31" s="216"/>
      <c r="AA31" s="213"/>
    </row>
    <row r="32" ht="25" customHeight="1" spans="1:27">
      <c r="A32" s="134">
        <v>45888</v>
      </c>
      <c r="B32" s="135"/>
      <c r="C32" s="161">
        <v>13121</v>
      </c>
      <c r="D32" s="221"/>
      <c r="E32" s="162">
        <v>13098</v>
      </c>
      <c r="F32" s="162"/>
      <c r="G32" s="162">
        <v>23</v>
      </c>
      <c r="H32" s="26">
        <f t="shared" ref="H32:H39" si="5">G32/C32*100</f>
        <v>0.175291517414831</v>
      </c>
      <c r="I32" s="162">
        <v>22</v>
      </c>
      <c r="J32" s="162">
        <v>1</v>
      </c>
      <c r="K32" s="162"/>
      <c r="L32" s="162"/>
      <c r="M32" s="162"/>
      <c r="N32" s="185"/>
      <c r="O32" s="161">
        <v>7690</v>
      </c>
      <c r="P32" s="221"/>
      <c r="Q32" s="162">
        <v>703</v>
      </c>
      <c r="R32" s="162"/>
      <c r="S32" s="162">
        <v>67</v>
      </c>
      <c r="T32" s="144">
        <f t="shared" ref="T32:T39" si="6">S32/O32*100</f>
        <v>0.871261378413524</v>
      </c>
      <c r="U32" s="162">
        <v>14</v>
      </c>
      <c r="V32" s="162"/>
      <c r="W32" s="162"/>
      <c r="X32" s="162">
        <v>53</v>
      </c>
      <c r="Y32" s="161"/>
      <c r="Z32" s="221"/>
      <c r="AA32" s="162"/>
    </row>
    <row r="33" ht="25" customHeight="1" spans="1:27">
      <c r="A33" s="140">
        <v>45889</v>
      </c>
      <c r="B33" s="141"/>
      <c r="C33" s="161">
        <v>12865</v>
      </c>
      <c r="D33" s="221"/>
      <c r="E33" s="162">
        <v>12822</v>
      </c>
      <c r="F33" s="162"/>
      <c r="G33" s="162">
        <v>38</v>
      </c>
      <c r="H33" s="26">
        <f t="shared" si="5"/>
        <v>0.295375048581422</v>
      </c>
      <c r="I33" s="162">
        <v>38</v>
      </c>
      <c r="J33" s="162"/>
      <c r="K33" s="162"/>
      <c r="L33" s="162"/>
      <c r="M33" s="162"/>
      <c r="N33" s="185"/>
      <c r="O33" s="161">
        <v>10848</v>
      </c>
      <c r="P33" s="221"/>
      <c r="Q33" s="162">
        <v>10704</v>
      </c>
      <c r="R33" s="162"/>
      <c r="S33" s="162">
        <v>144</v>
      </c>
      <c r="T33" s="144">
        <f t="shared" si="6"/>
        <v>1.32743362831858</v>
      </c>
      <c r="U33" s="162">
        <v>9</v>
      </c>
      <c r="V33" s="162"/>
      <c r="W33" s="162"/>
      <c r="X33" s="162">
        <v>135</v>
      </c>
      <c r="Y33" s="161"/>
      <c r="Z33" s="221"/>
      <c r="AA33" s="162"/>
    </row>
    <row r="34" ht="25" customHeight="1" spans="1:27">
      <c r="A34" s="134">
        <v>45890</v>
      </c>
      <c r="B34" s="135"/>
      <c r="C34" s="161">
        <v>11422</v>
      </c>
      <c r="D34" s="221"/>
      <c r="E34" s="162">
        <v>11393</v>
      </c>
      <c r="F34" s="162"/>
      <c r="G34" s="162">
        <v>29</v>
      </c>
      <c r="H34" s="26">
        <f t="shared" si="5"/>
        <v>0.253895990194362</v>
      </c>
      <c r="I34" s="162">
        <v>3</v>
      </c>
      <c r="J34" s="162">
        <v>26</v>
      </c>
      <c r="K34" s="162"/>
      <c r="L34" s="162"/>
      <c r="M34" s="162"/>
      <c r="N34" s="185"/>
      <c r="O34" s="161">
        <v>10788</v>
      </c>
      <c r="P34" s="221"/>
      <c r="Q34" s="162">
        <v>10715</v>
      </c>
      <c r="R34" s="162"/>
      <c r="S34" s="162">
        <v>73</v>
      </c>
      <c r="T34" s="144">
        <f t="shared" si="6"/>
        <v>0.676677790137189</v>
      </c>
      <c r="U34" s="162">
        <v>9</v>
      </c>
      <c r="V34" s="162"/>
      <c r="W34" s="162"/>
      <c r="X34" s="162">
        <v>62</v>
      </c>
      <c r="Y34" s="161">
        <v>2</v>
      </c>
      <c r="Z34" s="221"/>
      <c r="AA34" s="162"/>
    </row>
    <row r="35" ht="25" customHeight="1" spans="1:27">
      <c r="A35" s="134">
        <v>45891</v>
      </c>
      <c r="B35" s="135"/>
      <c r="C35" s="161">
        <v>10571</v>
      </c>
      <c r="D35" s="221"/>
      <c r="E35" s="162">
        <v>10544</v>
      </c>
      <c r="F35" s="162"/>
      <c r="G35" s="162">
        <v>27</v>
      </c>
      <c r="H35" s="26">
        <f t="shared" si="5"/>
        <v>0.255415760098382</v>
      </c>
      <c r="I35" s="162">
        <v>27</v>
      </c>
      <c r="J35" s="162"/>
      <c r="K35" s="162"/>
      <c r="L35" s="162"/>
      <c r="M35" s="162"/>
      <c r="N35" s="185"/>
      <c r="O35" s="161">
        <v>11557</v>
      </c>
      <c r="P35" s="221"/>
      <c r="Q35" s="162">
        <v>11140</v>
      </c>
      <c r="R35" s="162"/>
      <c r="S35" s="162">
        <v>417</v>
      </c>
      <c r="T35" s="144">
        <f t="shared" si="6"/>
        <v>3.60820282080125</v>
      </c>
      <c r="U35" s="162">
        <v>59</v>
      </c>
      <c r="V35" s="162"/>
      <c r="W35" s="162"/>
      <c r="X35" s="162">
        <v>339</v>
      </c>
      <c r="Y35" s="161">
        <v>19</v>
      </c>
      <c r="Z35" s="221"/>
      <c r="AA35" s="162"/>
    </row>
    <row r="36" ht="25" customHeight="1" spans="1:27">
      <c r="A36" s="134">
        <v>45892</v>
      </c>
      <c r="B36" s="135"/>
      <c r="C36" s="161">
        <v>13789</v>
      </c>
      <c r="D36" s="221"/>
      <c r="E36" s="162">
        <v>13776</v>
      </c>
      <c r="F36" s="162"/>
      <c r="G36" s="162">
        <v>13</v>
      </c>
      <c r="H36" s="26">
        <f t="shared" si="5"/>
        <v>0.0942780477191965</v>
      </c>
      <c r="I36" s="162">
        <v>10</v>
      </c>
      <c r="J36" s="162">
        <v>3</v>
      </c>
      <c r="K36" s="162"/>
      <c r="L36" s="162"/>
      <c r="M36" s="162"/>
      <c r="N36" s="185"/>
      <c r="O36" s="161">
        <v>13944</v>
      </c>
      <c r="P36" s="221"/>
      <c r="Q36" s="162">
        <v>13830</v>
      </c>
      <c r="R36" s="162"/>
      <c r="S36" s="162">
        <v>114</v>
      </c>
      <c r="T36" s="144">
        <f t="shared" si="6"/>
        <v>0.817555938037866</v>
      </c>
      <c r="U36" s="162">
        <v>50</v>
      </c>
      <c r="V36" s="162"/>
      <c r="W36" s="162"/>
      <c r="X36" s="162">
        <v>46</v>
      </c>
      <c r="Y36" s="161">
        <v>18</v>
      </c>
      <c r="Z36" s="221"/>
      <c r="AA36" s="162"/>
    </row>
    <row r="37" customFormat="1" ht="25" customHeight="1" spans="1:27">
      <c r="A37" s="136" t="s">
        <v>41</v>
      </c>
      <c r="B37" s="137"/>
      <c r="C37" s="237">
        <f>SUM(C30:D36)</f>
        <v>77816</v>
      </c>
      <c r="D37" s="238"/>
      <c r="E37" s="237">
        <f t="shared" ref="E37:G37" si="7">SUM(E30:E36)</f>
        <v>77618</v>
      </c>
      <c r="F37" s="237">
        <f t="shared" si="7"/>
        <v>0</v>
      </c>
      <c r="G37" s="237">
        <f t="shared" si="7"/>
        <v>195</v>
      </c>
      <c r="H37" s="108">
        <f t="shared" si="5"/>
        <v>0.250591138069292</v>
      </c>
      <c r="I37" s="237">
        <f t="shared" ref="I37:M37" si="8">SUM(I30:I36)</f>
        <v>165</v>
      </c>
      <c r="J37" s="237">
        <f t="shared" si="8"/>
        <v>30</v>
      </c>
      <c r="K37" s="237">
        <f t="shared" si="8"/>
        <v>0</v>
      </c>
      <c r="L37" s="237">
        <f t="shared" si="8"/>
        <v>0</v>
      </c>
      <c r="M37" s="237">
        <f t="shared" si="8"/>
        <v>0</v>
      </c>
      <c r="N37" s="238"/>
      <c r="O37" s="237">
        <f>SUM(O30:P36)</f>
        <v>161317</v>
      </c>
      <c r="P37" s="238"/>
      <c r="Q37" s="237">
        <f>SUM(Q30:Q36)</f>
        <v>63015</v>
      </c>
      <c r="R37" s="237">
        <f>SUM(R30:R36)</f>
        <v>0</v>
      </c>
      <c r="S37" s="237">
        <f>SUM(S30:S36)</f>
        <v>857</v>
      </c>
      <c r="T37" s="108">
        <f t="shared" si="6"/>
        <v>0.53125213089755</v>
      </c>
      <c r="U37" s="237">
        <f>SUM(U30:U36)</f>
        <v>181</v>
      </c>
      <c r="V37" s="237">
        <f>SUM(V30:V36)</f>
        <v>0</v>
      </c>
      <c r="W37" s="237">
        <f>SUM(W30:W36)</f>
        <v>0</v>
      </c>
      <c r="X37" s="237">
        <f>SUM(X30:X36)</f>
        <v>637</v>
      </c>
      <c r="Y37" s="255">
        <f>SUM(Y30:Z36)</f>
        <v>39</v>
      </c>
      <c r="Z37" s="256"/>
      <c r="AA37" s="237">
        <f>SUM(AA30:AA36)</f>
        <v>0</v>
      </c>
    </row>
    <row r="38" ht="25" customHeight="1" spans="1:27">
      <c r="A38" s="138">
        <v>45893</v>
      </c>
      <c r="B38" s="139"/>
      <c r="C38" s="158"/>
      <c r="D38" s="217"/>
      <c r="E38" s="159"/>
      <c r="F38" s="159"/>
      <c r="G38" s="159"/>
      <c r="H38" s="160" t="e">
        <f t="shared" si="5"/>
        <v>#DIV/0!</v>
      </c>
      <c r="I38" s="159"/>
      <c r="J38" s="159"/>
      <c r="K38" s="159"/>
      <c r="L38" s="159"/>
      <c r="M38" s="159"/>
      <c r="N38" s="186"/>
      <c r="O38" s="158"/>
      <c r="P38" s="217"/>
      <c r="Q38" s="159"/>
      <c r="R38" s="159"/>
      <c r="S38" s="159"/>
      <c r="T38" s="205" t="e">
        <f t="shared" si="6"/>
        <v>#DIV/0!</v>
      </c>
      <c r="U38" s="159"/>
      <c r="V38" s="159"/>
      <c r="W38" s="159"/>
      <c r="X38" s="159"/>
      <c r="Y38" s="158"/>
      <c r="Z38" s="217"/>
      <c r="AA38" s="159"/>
    </row>
    <row r="39" ht="25" customHeight="1" spans="1:27">
      <c r="A39" s="134">
        <v>45894</v>
      </c>
      <c r="B39" s="135"/>
      <c r="C39" s="161">
        <v>10091</v>
      </c>
      <c r="D39" s="221"/>
      <c r="E39" s="162">
        <v>10078</v>
      </c>
      <c r="F39" s="162"/>
      <c r="G39" s="162">
        <v>13</v>
      </c>
      <c r="H39" s="26">
        <f t="shared" si="5"/>
        <v>0.128827668219205</v>
      </c>
      <c r="I39" s="162">
        <v>13</v>
      </c>
      <c r="J39" s="162"/>
      <c r="K39" s="162"/>
      <c r="L39" s="162"/>
      <c r="M39" s="162"/>
      <c r="N39" s="185"/>
      <c r="O39" s="161">
        <v>11115</v>
      </c>
      <c r="P39" s="221"/>
      <c r="Q39" s="162">
        <v>10524</v>
      </c>
      <c r="R39" s="162"/>
      <c r="S39" s="162">
        <v>861</v>
      </c>
      <c r="T39" s="144">
        <f t="shared" si="6"/>
        <v>7.74628879892038</v>
      </c>
      <c r="U39" s="162">
        <v>12</v>
      </c>
      <c r="V39" s="162"/>
      <c r="W39" s="162"/>
      <c r="X39" s="162">
        <v>833</v>
      </c>
      <c r="Y39" s="161">
        <v>16</v>
      </c>
      <c r="Z39" s="221"/>
      <c r="AA39" s="162"/>
    </row>
    <row r="40" ht="25" customHeight="1" spans="1:27">
      <c r="A40" s="134">
        <v>45895</v>
      </c>
      <c r="B40" s="135"/>
      <c r="C40" s="161">
        <v>11695</v>
      </c>
      <c r="D40" s="221"/>
      <c r="E40" s="162">
        <v>11666</v>
      </c>
      <c r="F40" s="162"/>
      <c r="G40" s="162">
        <v>29</v>
      </c>
      <c r="H40" s="26">
        <f t="shared" ref="H40:H47" si="9">G40/C40*100</f>
        <v>0.247969217614365</v>
      </c>
      <c r="I40" s="162">
        <v>21</v>
      </c>
      <c r="J40" s="162">
        <v>6</v>
      </c>
      <c r="K40" s="162">
        <v>2</v>
      </c>
      <c r="L40" s="162"/>
      <c r="M40" s="162"/>
      <c r="N40" s="185"/>
      <c r="O40" s="161">
        <v>13991</v>
      </c>
      <c r="P40" s="221"/>
      <c r="Q40" s="162">
        <v>13724</v>
      </c>
      <c r="R40" s="162"/>
      <c r="S40" s="162">
        <v>267</v>
      </c>
      <c r="T40" s="144">
        <f t="shared" ref="T40:T47" si="10">S40/O40*100</f>
        <v>1.90836966621399</v>
      </c>
      <c r="U40" s="162">
        <v>25</v>
      </c>
      <c r="V40" s="162"/>
      <c r="W40" s="162">
        <v>1</v>
      </c>
      <c r="X40" s="162">
        <v>175</v>
      </c>
      <c r="Y40" s="161">
        <v>66</v>
      </c>
      <c r="Z40" s="221"/>
      <c r="AA40" s="162"/>
    </row>
    <row r="41" ht="25" customHeight="1" spans="1:27">
      <c r="A41" s="140">
        <v>45896</v>
      </c>
      <c r="B41" s="141"/>
      <c r="C41" s="161">
        <v>9025</v>
      </c>
      <c r="D41" s="221"/>
      <c r="E41" s="162">
        <v>8972</v>
      </c>
      <c r="F41" s="162"/>
      <c r="G41" s="162">
        <v>53</v>
      </c>
      <c r="H41" s="26">
        <f t="shared" si="9"/>
        <v>0.587257617728532</v>
      </c>
      <c r="I41" s="162">
        <v>43</v>
      </c>
      <c r="J41" s="162">
        <v>10</v>
      </c>
      <c r="K41" s="162"/>
      <c r="L41" s="162"/>
      <c r="M41" s="162"/>
      <c r="N41" s="185"/>
      <c r="O41" s="161">
        <v>12422</v>
      </c>
      <c r="P41" s="221"/>
      <c r="Q41" s="162">
        <v>12162</v>
      </c>
      <c r="R41" s="162"/>
      <c r="S41" s="162">
        <v>260</v>
      </c>
      <c r="T41" s="144">
        <f t="shared" si="10"/>
        <v>2.09306069876026</v>
      </c>
      <c r="U41" s="162">
        <v>28</v>
      </c>
      <c r="V41" s="162"/>
      <c r="W41" s="162"/>
      <c r="X41" s="162">
        <v>202</v>
      </c>
      <c r="Y41" s="161">
        <v>30</v>
      </c>
      <c r="Z41" s="221"/>
      <c r="AA41" s="162"/>
    </row>
    <row r="42" ht="25" customHeight="1" spans="1:27">
      <c r="A42" s="134">
        <v>45897</v>
      </c>
      <c r="B42" s="135"/>
      <c r="C42" s="161">
        <v>11884</v>
      </c>
      <c r="D42" s="221"/>
      <c r="E42" s="162">
        <v>11864</v>
      </c>
      <c r="F42" s="162"/>
      <c r="G42" s="162">
        <v>20</v>
      </c>
      <c r="H42" s="26">
        <f t="shared" si="9"/>
        <v>0.168293503870751</v>
      </c>
      <c r="I42" s="162"/>
      <c r="J42" s="162">
        <v>20</v>
      </c>
      <c r="K42" s="162"/>
      <c r="L42" s="162"/>
      <c r="M42" s="162"/>
      <c r="N42" s="185"/>
      <c r="O42" s="161">
        <v>11864</v>
      </c>
      <c r="P42" s="221"/>
      <c r="Q42" s="162">
        <v>11833</v>
      </c>
      <c r="R42" s="162"/>
      <c r="S42" s="162">
        <v>31</v>
      </c>
      <c r="T42" s="144">
        <f t="shared" si="10"/>
        <v>0.261294672960216</v>
      </c>
      <c r="U42" s="162">
        <v>5</v>
      </c>
      <c r="V42" s="162"/>
      <c r="W42" s="162"/>
      <c r="X42" s="162">
        <v>25</v>
      </c>
      <c r="Y42" s="161">
        <v>1</v>
      </c>
      <c r="Z42" s="221"/>
      <c r="AA42" s="162"/>
    </row>
    <row r="43" ht="25" customHeight="1" spans="1:27">
      <c r="A43" s="134">
        <v>45898</v>
      </c>
      <c r="B43" s="135"/>
      <c r="C43" s="161">
        <v>12461</v>
      </c>
      <c r="D43" s="221"/>
      <c r="E43" s="162">
        <v>12426</v>
      </c>
      <c r="F43" s="162"/>
      <c r="G43" s="162">
        <v>35</v>
      </c>
      <c r="H43" s="144">
        <f t="shared" si="9"/>
        <v>0.280876334162587</v>
      </c>
      <c r="I43" s="162">
        <v>31</v>
      </c>
      <c r="J43" s="162">
        <v>4</v>
      </c>
      <c r="K43" s="162"/>
      <c r="L43" s="162"/>
      <c r="M43" s="162"/>
      <c r="N43" s="253"/>
      <c r="O43" s="161">
        <v>12426</v>
      </c>
      <c r="P43" s="221"/>
      <c r="Q43" s="162">
        <v>12108</v>
      </c>
      <c r="R43" s="162"/>
      <c r="S43" s="162">
        <v>318</v>
      </c>
      <c r="T43" s="144">
        <f t="shared" si="10"/>
        <v>2.55915016900048</v>
      </c>
      <c r="U43" s="162">
        <v>21</v>
      </c>
      <c r="V43" s="162"/>
      <c r="W43" s="162"/>
      <c r="X43" s="162">
        <v>291</v>
      </c>
      <c r="Y43" s="161">
        <v>6</v>
      </c>
      <c r="Z43" s="221"/>
      <c r="AA43" s="162"/>
    </row>
    <row r="44" ht="25" customHeight="1" spans="1:27">
      <c r="A44" s="134">
        <v>45899</v>
      </c>
      <c r="B44" s="135"/>
      <c r="C44" s="161">
        <v>12947</v>
      </c>
      <c r="D44" s="221"/>
      <c r="E44" s="162">
        <v>12922</v>
      </c>
      <c r="F44" s="162"/>
      <c r="G44" s="162">
        <v>25</v>
      </c>
      <c r="H44" s="144">
        <f t="shared" si="9"/>
        <v>0.193094925465359</v>
      </c>
      <c r="I44" s="162">
        <v>9</v>
      </c>
      <c r="J44" s="162">
        <v>16</v>
      </c>
      <c r="K44" s="162"/>
      <c r="L44" s="162"/>
      <c r="M44" s="162"/>
      <c r="N44" s="253"/>
      <c r="O44" s="161">
        <v>11439</v>
      </c>
      <c r="P44" s="221"/>
      <c r="Q44" s="162">
        <v>11387</v>
      </c>
      <c r="R44" s="162"/>
      <c r="S44" s="162">
        <v>52</v>
      </c>
      <c r="T44" s="144">
        <f t="shared" si="10"/>
        <v>0.4545851910132</v>
      </c>
      <c r="U44" s="162">
        <v>3</v>
      </c>
      <c r="V44" s="162"/>
      <c r="W44" s="162"/>
      <c r="X44" s="162">
        <v>45</v>
      </c>
      <c r="Y44" s="161">
        <v>4</v>
      </c>
      <c r="Z44" s="221"/>
      <c r="AA44" s="162"/>
    </row>
    <row r="45" customFormat="1" ht="25" customHeight="1" spans="1:27">
      <c r="A45" s="136" t="s">
        <v>44</v>
      </c>
      <c r="B45" s="137"/>
      <c r="C45" s="237">
        <f>SUM(C38:D44)</f>
        <v>68103</v>
      </c>
      <c r="D45" s="238"/>
      <c r="E45" s="237">
        <f t="shared" ref="E45:G45" si="11">SUM(E38:E44)</f>
        <v>67928</v>
      </c>
      <c r="F45" s="237">
        <f t="shared" si="11"/>
        <v>0</v>
      </c>
      <c r="G45" s="237">
        <f t="shared" si="11"/>
        <v>175</v>
      </c>
      <c r="H45" s="108">
        <f t="shared" si="9"/>
        <v>0.256963716723199</v>
      </c>
      <c r="I45" s="237">
        <f t="shared" ref="I45:M45" si="12">SUM(I38:I44)</f>
        <v>117</v>
      </c>
      <c r="J45" s="237">
        <f t="shared" si="12"/>
        <v>56</v>
      </c>
      <c r="K45" s="237">
        <f t="shared" si="12"/>
        <v>2</v>
      </c>
      <c r="L45" s="237">
        <f t="shared" si="12"/>
        <v>0</v>
      </c>
      <c r="M45" s="237">
        <f t="shared" si="12"/>
        <v>0</v>
      </c>
      <c r="N45" s="238"/>
      <c r="O45" s="237">
        <f>SUM(O38:P44)</f>
        <v>73257</v>
      </c>
      <c r="P45" s="238"/>
      <c r="Q45" s="237">
        <f>SUM(Q38:Q44)</f>
        <v>71738</v>
      </c>
      <c r="R45" s="237">
        <f>SUM(R38:R44)</f>
        <v>0</v>
      </c>
      <c r="S45" s="237">
        <f>SUM(S38:S44)</f>
        <v>1789</v>
      </c>
      <c r="T45" s="108">
        <f t="shared" si="10"/>
        <v>2.44208744556834</v>
      </c>
      <c r="U45" s="237">
        <f>SUM(U38:U44)</f>
        <v>94</v>
      </c>
      <c r="V45" s="237">
        <f>SUM(V38:V44)</f>
        <v>0</v>
      </c>
      <c r="W45" s="237">
        <f>SUM(W38:W44)</f>
        <v>1</v>
      </c>
      <c r="X45" s="237">
        <f>SUM(X38:X44)</f>
        <v>1571</v>
      </c>
      <c r="Y45" s="255">
        <f>SUM(Y38:Z44)</f>
        <v>123</v>
      </c>
      <c r="Z45" s="256"/>
      <c r="AA45" s="237">
        <f>SUM(AA38:AA44)</f>
        <v>0</v>
      </c>
    </row>
    <row r="46" ht="25" customHeight="1" spans="1:27">
      <c r="A46" s="138">
        <v>45900</v>
      </c>
      <c r="B46" s="139"/>
      <c r="C46" s="158"/>
      <c r="D46" s="217"/>
      <c r="E46" s="159"/>
      <c r="F46" s="159"/>
      <c r="G46" s="159"/>
      <c r="H46" s="205" t="e">
        <f t="shared" si="9"/>
        <v>#DIV/0!</v>
      </c>
      <c r="I46" s="159"/>
      <c r="J46" s="159"/>
      <c r="K46" s="159"/>
      <c r="L46" s="159"/>
      <c r="M46" s="159"/>
      <c r="N46" s="254"/>
      <c r="O46" s="158"/>
      <c r="P46" s="217"/>
      <c r="Q46" s="159"/>
      <c r="R46" s="159"/>
      <c r="S46" s="159"/>
      <c r="T46" s="205" t="e">
        <f t="shared" si="10"/>
        <v>#DIV/0!</v>
      </c>
      <c r="U46" s="159"/>
      <c r="V46" s="159"/>
      <c r="W46" s="159"/>
      <c r="X46" s="159"/>
      <c r="Y46" s="158"/>
      <c r="Z46" s="217"/>
      <c r="AA46" s="159"/>
    </row>
    <row r="47" ht="28" customHeight="1" spans="1:27">
      <c r="A47" s="247" t="s">
        <v>24</v>
      </c>
      <c r="B47" s="248"/>
      <c r="C47" s="249">
        <f>C45+C37+C29+C21+C13</f>
        <v>253579</v>
      </c>
      <c r="D47" s="250"/>
      <c r="E47" s="251">
        <f t="shared" ref="E47:M47" si="13">E45+E37+E29+E21+E13</f>
        <v>242707</v>
      </c>
      <c r="F47" s="251">
        <f t="shared" si="13"/>
        <v>0</v>
      </c>
      <c r="G47" s="251">
        <f t="shared" si="13"/>
        <v>684</v>
      </c>
      <c r="H47" s="108">
        <f t="shared" si="9"/>
        <v>0.269738424711826</v>
      </c>
      <c r="I47" s="251">
        <f>I45+I37+I29+I21+I13</f>
        <v>468</v>
      </c>
      <c r="J47" s="251">
        <f t="shared" si="13"/>
        <v>101</v>
      </c>
      <c r="K47" s="251">
        <f t="shared" si="13"/>
        <v>66</v>
      </c>
      <c r="L47" s="251">
        <f t="shared" si="13"/>
        <v>0</v>
      </c>
      <c r="M47" s="251">
        <f t="shared" si="13"/>
        <v>0</v>
      </c>
      <c r="N47" s="115"/>
      <c r="O47" s="249">
        <f t="shared" ref="O47:S47" si="14">O45+O37+O29+O21+O13</f>
        <v>341595</v>
      </c>
      <c r="P47" s="250"/>
      <c r="Q47" s="251">
        <f t="shared" si="14"/>
        <v>241078</v>
      </c>
      <c r="R47" s="251">
        <f t="shared" ref="R47:AA47" si="15">R45+R37+R29+R21+R13</f>
        <v>0</v>
      </c>
      <c r="S47" s="251">
        <f t="shared" si="14"/>
        <v>3342</v>
      </c>
      <c r="T47" s="108">
        <f t="shared" si="10"/>
        <v>0.978351556667984</v>
      </c>
      <c r="U47" s="251">
        <f t="shared" si="15"/>
        <v>567</v>
      </c>
      <c r="V47" s="251">
        <f t="shared" si="15"/>
        <v>1</v>
      </c>
      <c r="W47" s="251">
        <f t="shared" si="15"/>
        <v>10</v>
      </c>
      <c r="X47" s="251">
        <f t="shared" si="15"/>
        <v>2482</v>
      </c>
      <c r="Y47" s="249">
        <f t="shared" si="15"/>
        <v>282</v>
      </c>
      <c r="Z47" s="250"/>
      <c r="AA47" s="251">
        <f t="shared" si="15"/>
        <v>0</v>
      </c>
    </row>
    <row r="48" ht="35" customHeight="1" spans="1:27">
      <c r="A48" s="166" t="s">
        <v>25</v>
      </c>
      <c r="B48" s="167"/>
      <c r="C48" s="167"/>
      <c r="D48" s="252"/>
      <c r="E48" s="168">
        <f>E47/C47*100</f>
        <v>95.7125787230015</v>
      </c>
      <c r="F48" s="168" t="e">
        <f>F47/D47*100</f>
        <v>#DIV/0!</v>
      </c>
      <c r="G48" s="168">
        <f>G47/C47*100</f>
        <v>0.269738424711826</v>
      </c>
      <c r="H48" s="168"/>
      <c r="I48" s="168">
        <f>I47/C47*100</f>
        <v>0.18455786953967</v>
      </c>
      <c r="J48" s="168">
        <f>J47/C47*100</f>
        <v>0.0398297966314245</v>
      </c>
      <c r="K48" s="168">
        <f>K47/C47*100</f>
        <v>0.0260273918581586</v>
      </c>
      <c r="L48" s="168"/>
      <c r="M48" s="187"/>
      <c r="N48" s="115"/>
      <c r="O48" s="188" t="s">
        <v>25</v>
      </c>
      <c r="P48" s="223"/>
      <c r="Q48" s="168">
        <f>Q47/O47*100</f>
        <v>70.5742180067038</v>
      </c>
      <c r="R48" s="168">
        <f>R47/O47*100</f>
        <v>0</v>
      </c>
      <c r="S48" s="168">
        <f>S47/O47*100</f>
        <v>0.978351556667984</v>
      </c>
      <c r="T48" s="168"/>
      <c r="U48" s="168">
        <f>U47/O47*100</f>
        <v>0.165986036095376</v>
      </c>
      <c r="V48" s="168">
        <f>V47/O47*100</f>
        <v>0.000292744331737877</v>
      </c>
      <c r="W48" s="168">
        <f>W47/O47*100</f>
        <v>0.00292744331737877</v>
      </c>
      <c r="X48" s="168">
        <f>X47/O47*100</f>
        <v>0.72659143137341</v>
      </c>
      <c r="Y48" s="188">
        <f>Y47/O47*100</f>
        <v>0.0825539015500812</v>
      </c>
      <c r="Z48" s="223"/>
      <c r="AA48" s="168"/>
    </row>
    <row r="49" ht="60" customHeight="1" spans="1:27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5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</row>
    <row r="50" ht="74" customHeight="1" spans="2:18">
      <c r="B50" s="34"/>
      <c r="C50" s="34"/>
      <c r="D50" s="34"/>
      <c r="E50" s="34"/>
      <c r="F50" s="34"/>
      <c r="R50" s="111"/>
    </row>
    <row r="51" spans="2:6">
      <c r="B51" s="34"/>
      <c r="C51" s="34"/>
      <c r="D51" s="34"/>
      <c r="E51" s="34"/>
      <c r="F51" s="34"/>
    </row>
    <row r="53" ht="28.5" spans="3:13"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ht="28.5" spans="3:13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7" spans="2:4">
      <c r="B57" s="36" t="s">
        <v>26</v>
      </c>
      <c r="C57" s="36"/>
      <c r="D57" s="36"/>
    </row>
    <row r="58" spans="2:4">
      <c r="B58" s="37" t="s">
        <v>16</v>
      </c>
      <c r="C58" s="37"/>
      <c r="D58" s="38">
        <f>I47</f>
        <v>468</v>
      </c>
    </row>
    <row r="59" spans="2:4">
      <c r="B59" s="37" t="s">
        <v>27</v>
      </c>
      <c r="C59" s="37"/>
      <c r="D59" s="38">
        <f>J47</f>
        <v>101</v>
      </c>
    </row>
    <row r="60" spans="2:4">
      <c r="B60" s="37" t="s">
        <v>18</v>
      </c>
      <c r="C60" s="37"/>
      <c r="D60" s="38">
        <f>K47</f>
        <v>66</v>
      </c>
    </row>
    <row r="61" spans="2:4">
      <c r="B61" s="37" t="s">
        <v>28</v>
      </c>
      <c r="C61" s="37"/>
      <c r="D61" s="39">
        <f>SUM(D58:D60)</f>
        <v>635</v>
      </c>
    </row>
    <row r="62" spans="2:2">
      <c r="B62" s="40"/>
    </row>
    <row r="63" spans="2:4">
      <c r="B63" s="36" t="s">
        <v>29</v>
      </c>
      <c r="C63" s="36"/>
      <c r="D63" s="36"/>
    </row>
    <row r="64" spans="2:4">
      <c r="B64" s="37" t="s">
        <v>18</v>
      </c>
      <c r="C64" s="37"/>
      <c r="D64" s="38">
        <f>U47</f>
        <v>567</v>
      </c>
    </row>
    <row r="65" spans="2:4">
      <c r="B65" s="37" t="s">
        <v>21</v>
      </c>
      <c r="C65" s="37"/>
      <c r="D65" s="38">
        <f>V47</f>
        <v>1</v>
      </c>
    </row>
    <row r="66" spans="2:4">
      <c r="B66" s="37" t="s">
        <v>22</v>
      </c>
      <c r="C66" s="37"/>
      <c r="D66" s="38">
        <f>W47</f>
        <v>10</v>
      </c>
    </row>
    <row r="67" spans="2:4">
      <c r="B67" s="37" t="s">
        <v>23</v>
      </c>
      <c r="C67" s="37"/>
      <c r="D67" s="38">
        <f>X47</f>
        <v>2482</v>
      </c>
    </row>
    <row r="68" spans="2:4">
      <c r="B68" s="37" t="s">
        <v>19</v>
      </c>
      <c r="C68" s="37"/>
      <c r="D68" s="38">
        <f>Y47</f>
        <v>282</v>
      </c>
    </row>
    <row r="69" spans="2:4">
      <c r="B69" s="37" t="s">
        <v>28</v>
      </c>
      <c r="C69" s="37"/>
      <c r="D69" s="39">
        <f>SUM(D64:D68)</f>
        <v>3342</v>
      </c>
    </row>
  </sheetData>
  <mergeCells count="192">
    <mergeCell ref="X3:Y3"/>
    <mergeCell ref="Z3:AA3"/>
    <mergeCell ref="X4:Y4"/>
    <mergeCell ref="Z4:AA4"/>
    <mergeCell ref="C5:W5"/>
    <mergeCell ref="X5:AA5"/>
    <mergeCell ref="A6:AA6"/>
    <mergeCell ref="A7:M7"/>
    <mergeCell ref="O7:AA7"/>
    <mergeCell ref="A11:B11"/>
    <mergeCell ref="C11:D11"/>
    <mergeCell ref="O11:P11"/>
    <mergeCell ref="Y11:Z11"/>
    <mergeCell ref="A12:B12"/>
    <mergeCell ref="C12:D12"/>
    <mergeCell ref="O12:P12"/>
    <mergeCell ref="Y12:Z12"/>
    <mergeCell ref="A13:B13"/>
    <mergeCell ref="C13:D13"/>
    <mergeCell ref="O13:P13"/>
    <mergeCell ref="Y13:Z13"/>
    <mergeCell ref="A14:B14"/>
    <mergeCell ref="C14:D14"/>
    <mergeCell ref="O14:P14"/>
    <mergeCell ref="Y14:Z14"/>
    <mergeCell ref="A15:B15"/>
    <mergeCell ref="C15:D15"/>
    <mergeCell ref="O15:P15"/>
    <mergeCell ref="Y15:Z15"/>
    <mergeCell ref="A16:B16"/>
    <mergeCell ref="C16:D16"/>
    <mergeCell ref="O16:P16"/>
    <mergeCell ref="Y16:Z16"/>
    <mergeCell ref="A17:B17"/>
    <mergeCell ref="C17:D17"/>
    <mergeCell ref="O17:P17"/>
    <mergeCell ref="Y17:Z17"/>
    <mergeCell ref="A18:B18"/>
    <mergeCell ref="C18:D18"/>
    <mergeCell ref="O18:P18"/>
    <mergeCell ref="Y18:Z18"/>
    <mergeCell ref="A19:B19"/>
    <mergeCell ref="C19:D19"/>
    <mergeCell ref="O19:P19"/>
    <mergeCell ref="Y19:Z19"/>
    <mergeCell ref="A20:B20"/>
    <mergeCell ref="C20:AA20"/>
    <mergeCell ref="A21:B21"/>
    <mergeCell ref="C21:D21"/>
    <mergeCell ref="O21:P21"/>
    <mergeCell ref="Y21:Z21"/>
    <mergeCell ref="A22:B22"/>
    <mergeCell ref="C22:D22"/>
    <mergeCell ref="O22:P22"/>
    <mergeCell ref="Y22:Z22"/>
    <mergeCell ref="A23:B23"/>
    <mergeCell ref="C23:D23"/>
    <mergeCell ref="O23:P23"/>
    <mergeCell ref="Y23:Z23"/>
    <mergeCell ref="A24:B24"/>
    <mergeCell ref="C24:D24"/>
    <mergeCell ref="O24:P24"/>
    <mergeCell ref="Y24:Z24"/>
    <mergeCell ref="A25:B25"/>
    <mergeCell ref="C25:D25"/>
    <mergeCell ref="O25:P25"/>
    <mergeCell ref="Y25:Z25"/>
    <mergeCell ref="A26:B26"/>
    <mergeCell ref="C26:D26"/>
    <mergeCell ref="O26:P26"/>
    <mergeCell ref="Y26:Z26"/>
    <mergeCell ref="A27:B27"/>
    <mergeCell ref="C27:AA27"/>
    <mergeCell ref="A28:B28"/>
    <mergeCell ref="C28:AA28"/>
    <mergeCell ref="A29:B29"/>
    <mergeCell ref="C29:D29"/>
    <mergeCell ref="O29:P29"/>
    <mergeCell ref="Y29:Z29"/>
    <mergeCell ref="A30:B30"/>
    <mergeCell ref="C30:D30"/>
    <mergeCell ref="O30:P30"/>
    <mergeCell ref="Y30:Z30"/>
    <mergeCell ref="A31:B31"/>
    <mergeCell ref="C31:D31"/>
    <mergeCell ref="O31:P31"/>
    <mergeCell ref="Y31:Z31"/>
    <mergeCell ref="A32:B32"/>
    <mergeCell ref="C32:D32"/>
    <mergeCell ref="O32:P32"/>
    <mergeCell ref="Y32:Z32"/>
    <mergeCell ref="A33:B33"/>
    <mergeCell ref="C33:D33"/>
    <mergeCell ref="O33:P33"/>
    <mergeCell ref="Y33:Z33"/>
    <mergeCell ref="A34:B34"/>
    <mergeCell ref="C34:D34"/>
    <mergeCell ref="O34:P34"/>
    <mergeCell ref="Y34:Z34"/>
    <mergeCell ref="A35:B35"/>
    <mergeCell ref="C35:D35"/>
    <mergeCell ref="O35:P35"/>
    <mergeCell ref="Y35:Z35"/>
    <mergeCell ref="A36:B36"/>
    <mergeCell ref="C36:D36"/>
    <mergeCell ref="O36:P36"/>
    <mergeCell ref="Y36:Z36"/>
    <mergeCell ref="A37:B37"/>
    <mergeCell ref="C37:D37"/>
    <mergeCell ref="O37:P37"/>
    <mergeCell ref="Y37:Z37"/>
    <mergeCell ref="A38:B38"/>
    <mergeCell ref="C38:D38"/>
    <mergeCell ref="O38:P38"/>
    <mergeCell ref="Y38:Z38"/>
    <mergeCell ref="A39:B39"/>
    <mergeCell ref="C39:D39"/>
    <mergeCell ref="O39:P39"/>
    <mergeCell ref="Y39:Z39"/>
    <mergeCell ref="A40:B40"/>
    <mergeCell ref="C40:D40"/>
    <mergeCell ref="O40:P40"/>
    <mergeCell ref="Y40:Z40"/>
    <mergeCell ref="A41:B41"/>
    <mergeCell ref="C41:D41"/>
    <mergeCell ref="O41:P41"/>
    <mergeCell ref="Y41:Z41"/>
    <mergeCell ref="A42:B42"/>
    <mergeCell ref="C42:D42"/>
    <mergeCell ref="O42:P42"/>
    <mergeCell ref="Y42:Z42"/>
    <mergeCell ref="A43:B43"/>
    <mergeCell ref="C43:D43"/>
    <mergeCell ref="O43:P43"/>
    <mergeCell ref="Y43:Z43"/>
    <mergeCell ref="A44:B44"/>
    <mergeCell ref="C44:D44"/>
    <mergeCell ref="O44:P44"/>
    <mergeCell ref="Y44:Z44"/>
    <mergeCell ref="A45:B45"/>
    <mergeCell ref="C45:D45"/>
    <mergeCell ref="O45:P45"/>
    <mergeCell ref="Y45:Z45"/>
    <mergeCell ref="A46:B46"/>
    <mergeCell ref="C46:D46"/>
    <mergeCell ref="O46:P46"/>
    <mergeCell ref="Y46:Z46"/>
    <mergeCell ref="A47:B47"/>
    <mergeCell ref="C47:D47"/>
    <mergeCell ref="O47:P47"/>
    <mergeCell ref="Y47:Z47"/>
    <mergeCell ref="A48:D48"/>
    <mergeCell ref="O48:P48"/>
    <mergeCell ref="Y48:Z48"/>
    <mergeCell ref="B57:D57"/>
    <mergeCell ref="B58:C58"/>
    <mergeCell ref="B59:C59"/>
    <mergeCell ref="B60:C60"/>
    <mergeCell ref="B61:C61"/>
    <mergeCell ref="B63:D63"/>
    <mergeCell ref="B64:C64"/>
    <mergeCell ref="B65:C65"/>
    <mergeCell ref="B66:C66"/>
    <mergeCell ref="B67:C67"/>
    <mergeCell ref="B68:C68"/>
    <mergeCell ref="B69:C69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Q8:Q10"/>
    <mergeCell ref="R8:R10"/>
    <mergeCell ref="S8:S10"/>
    <mergeCell ref="T8:T10"/>
    <mergeCell ref="U8:U10"/>
    <mergeCell ref="V8:V10"/>
    <mergeCell ref="W8:W10"/>
    <mergeCell ref="X8:X10"/>
    <mergeCell ref="AA8:AA10"/>
    <mergeCell ref="A1:B5"/>
    <mergeCell ref="C1:W4"/>
    <mergeCell ref="X1:Y2"/>
    <mergeCell ref="Z1:AA2"/>
    <mergeCell ref="A8:B10"/>
    <mergeCell ref="C8:D10"/>
    <mergeCell ref="O8:P10"/>
    <mergeCell ref="Y8:Z10"/>
  </mergeCells>
  <pageMargins left="0.251388888888889" right="0.251388888888889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68"/>
  <sheetViews>
    <sheetView zoomScale="70" zoomScaleNormal="70" zoomScalePageLayoutView="80" zoomScaleSheetLayoutView="70" topLeftCell="A6" workbookViewId="0">
      <pane ySplit="5" topLeftCell="A23" activePane="bottomLeft" state="frozen"/>
      <selection/>
      <selection pane="bottomLeft" activeCell="Z44" sqref="Z44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13.8571428571429" customWidth="1"/>
    <col min="4" max="4" width="14.9619047619048" customWidth="1"/>
    <col min="5" max="5" width="12.9333333333333" customWidth="1"/>
    <col min="6" max="6" width="8.85714285714286" customWidth="1"/>
    <col min="7" max="7" width="10.5714285714286" customWidth="1"/>
    <col min="8" max="8" width="10.247619047619" customWidth="1"/>
    <col min="9" max="9" width="11.4190476190476" customWidth="1"/>
    <col min="10" max="10" width="10.4285714285714" customWidth="1"/>
    <col min="11" max="11" width="9.74285714285714" customWidth="1"/>
    <col min="12" max="12" width="9.85714285714286" customWidth="1"/>
    <col min="13" max="13" width="3.25714285714286" style="75" customWidth="1"/>
    <col min="14" max="14" width="9.14285714285714" customWidth="1"/>
    <col min="15" max="15" width="8.57142857142857" customWidth="1"/>
    <col min="16" max="16" width="12.4285714285714" customWidth="1"/>
    <col min="17" max="17" width="11.4285714285714" customWidth="1"/>
    <col min="18" max="18" width="8.85714285714286" customWidth="1"/>
    <col min="19" max="19" width="10.5714285714286" customWidth="1"/>
    <col min="20" max="20" width="11.2571428571429" customWidth="1"/>
    <col min="21" max="21" width="11.4190476190476" customWidth="1"/>
    <col min="22" max="22" width="10.247619047619" customWidth="1"/>
    <col min="23" max="23" width="13.4380952380952" customWidth="1"/>
    <col min="24" max="24" width="7.05714285714286" customWidth="1"/>
    <col min="25" max="25" width="7.14285714285714" customWidth="1"/>
    <col min="26" max="26" width="14.2857142857143" customWidth="1"/>
    <col min="27" max="32" width="6.71428571428571" customWidth="1"/>
  </cols>
  <sheetData>
    <row r="1" spans="1:26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169"/>
      <c r="N1" s="3"/>
      <c r="O1" s="3"/>
      <c r="P1" s="3"/>
      <c r="Q1" s="3"/>
      <c r="R1" s="3"/>
      <c r="S1" s="3"/>
      <c r="T1" s="3"/>
      <c r="U1" s="3"/>
      <c r="V1" s="50"/>
      <c r="W1" s="189" t="s">
        <v>1</v>
      </c>
      <c r="X1" s="190"/>
      <c r="Y1" s="191" t="s">
        <v>2</v>
      </c>
      <c r="Z1" s="191"/>
    </row>
    <row r="2" ht="23" customHeight="1" spans="1:26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170"/>
      <c r="N2" s="6"/>
      <c r="O2" s="6"/>
      <c r="P2" s="6"/>
      <c r="Q2" s="6"/>
      <c r="R2" s="6"/>
      <c r="S2" s="6"/>
      <c r="T2" s="6"/>
      <c r="U2" s="6"/>
      <c r="V2" s="54"/>
      <c r="W2" s="192"/>
      <c r="X2" s="193"/>
      <c r="Y2" s="191"/>
      <c r="Z2" s="191"/>
    </row>
    <row r="3" ht="26" customHeight="1" spans="1:26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170"/>
      <c r="N3" s="6"/>
      <c r="O3" s="6"/>
      <c r="P3" s="6"/>
      <c r="Q3" s="6"/>
      <c r="R3" s="6"/>
      <c r="S3" s="6"/>
      <c r="T3" s="6"/>
      <c r="U3" s="6"/>
      <c r="V3" s="54"/>
      <c r="W3" s="194" t="s">
        <v>31</v>
      </c>
      <c r="X3" s="195"/>
      <c r="Y3" s="311" t="s">
        <v>36</v>
      </c>
      <c r="Z3" s="191"/>
    </row>
    <row r="4" ht="24" customHeight="1" spans="1:26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171"/>
      <c r="N4" s="7"/>
      <c r="O4" s="7"/>
      <c r="P4" s="7"/>
      <c r="Q4" s="7"/>
      <c r="R4" s="7"/>
      <c r="S4" s="7"/>
      <c r="T4" s="7"/>
      <c r="U4" s="7"/>
      <c r="V4" s="59"/>
      <c r="W4" s="194" t="s">
        <v>32</v>
      </c>
      <c r="X4" s="195"/>
      <c r="Y4" s="196">
        <v>45607</v>
      </c>
      <c r="Z4" s="196"/>
    </row>
    <row r="5" ht="19" customHeight="1" spans="1:26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172"/>
      <c r="N5" s="82"/>
      <c r="O5" s="82"/>
      <c r="P5" s="82"/>
      <c r="Q5" s="82"/>
      <c r="R5" s="82"/>
      <c r="S5" s="82"/>
      <c r="T5" s="82"/>
      <c r="U5" s="82"/>
      <c r="V5" s="119"/>
      <c r="W5" s="197" t="s">
        <v>7</v>
      </c>
      <c r="X5" s="197"/>
      <c r="Y5" s="197"/>
      <c r="Z5" s="198"/>
    </row>
    <row r="6" ht="20" customHeight="1" spans="1:32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12"/>
      <c r="AB6" s="12"/>
      <c r="AC6" s="12"/>
      <c r="AD6" s="12"/>
      <c r="AE6" s="12"/>
      <c r="AF6" s="12"/>
    </row>
    <row r="7" ht="21" customHeight="1" spans="1:32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73"/>
      <c r="M7" s="174"/>
      <c r="N7" s="175" t="s">
        <v>9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72"/>
      <c r="AB7" s="72"/>
      <c r="AC7" s="72"/>
      <c r="AD7" s="72"/>
      <c r="AE7" s="72"/>
      <c r="AF7" s="73"/>
    </row>
    <row r="8" ht="15.75" spans="1:26">
      <c r="A8" s="128" t="s">
        <v>10</v>
      </c>
      <c r="B8" s="129"/>
      <c r="C8" s="86" t="s">
        <v>11</v>
      </c>
      <c r="D8" s="85" t="s">
        <v>12</v>
      </c>
      <c r="E8" s="85" t="s">
        <v>13</v>
      </c>
      <c r="F8" s="86" t="s">
        <v>14</v>
      </c>
      <c r="G8" s="86" t="s">
        <v>15</v>
      </c>
      <c r="H8" s="86" t="s">
        <v>16</v>
      </c>
      <c r="I8" s="86" t="s">
        <v>17</v>
      </c>
      <c r="J8" s="85" t="s">
        <v>18</v>
      </c>
      <c r="K8" s="85" t="s">
        <v>19</v>
      </c>
      <c r="L8" s="85" t="s">
        <v>20</v>
      </c>
      <c r="M8" s="176"/>
      <c r="N8" s="86" t="s">
        <v>11</v>
      </c>
      <c r="O8" s="86"/>
      <c r="P8" s="86" t="s">
        <v>12</v>
      </c>
      <c r="Q8" s="86" t="s">
        <v>13</v>
      </c>
      <c r="R8" s="86" t="s">
        <v>14</v>
      </c>
      <c r="S8" s="86" t="s">
        <v>15</v>
      </c>
      <c r="T8" s="86" t="s">
        <v>18</v>
      </c>
      <c r="U8" s="86" t="s">
        <v>21</v>
      </c>
      <c r="V8" s="86" t="s">
        <v>22</v>
      </c>
      <c r="W8" s="86" t="s">
        <v>23</v>
      </c>
      <c r="X8" s="85" t="s">
        <v>19</v>
      </c>
      <c r="Y8" s="85"/>
      <c r="Z8" s="85" t="s">
        <v>20</v>
      </c>
    </row>
    <row r="9" ht="15.75" spans="1:26">
      <c r="A9" s="130"/>
      <c r="B9" s="131"/>
      <c r="C9" s="86"/>
      <c r="D9" s="85"/>
      <c r="E9" s="85"/>
      <c r="F9" s="86"/>
      <c r="G9" s="86"/>
      <c r="H9" s="86"/>
      <c r="I9" s="86"/>
      <c r="J9" s="85"/>
      <c r="K9" s="85"/>
      <c r="L9" s="85"/>
      <c r="M9" s="176"/>
      <c r="N9" s="86"/>
      <c r="O9" s="86"/>
      <c r="P9" s="86"/>
      <c r="Q9" s="86"/>
      <c r="R9" s="86"/>
      <c r="S9" s="86"/>
      <c r="T9" s="86"/>
      <c r="U9" s="86"/>
      <c r="V9" s="86"/>
      <c r="W9" s="86"/>
      <c r="X9" s="85"/>
      <c r="Y9" s="85"/>
      <c r="Z9" s="85"/>
    </row>
    <row r="10" ht="15.75" spans="1:26">
      <c r="A10" s="132"/>
      <c r="B10" s="133"/>
      <c r="C10" s="86"/>
      <c r="D10" s="85"/>
      <c r="E10" s="85"/>
      <c r="F10" s="86"/>
      <c r="G10" s="86"/>
      <c r="H10" s="86"/>
      <c r="I10" s="86"/>
      <c r="J10" s="85"/>
      <c r="K10" s="85"/>
      <c r="L10" s="85"/>
      <c r="M10" s="17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/>
      <c r="Y10" s="85"/>
      <c r="Z10" s="85"/>
    </row>
    <row r="11" ht="18.75" spans="1:26">
      <c r="A11" s="134">
        <v>45901</v>
      </c>
      <c r="B11" s="135"/>
      <c r="C11" s="212">
        <v>10967</v>
      </c>
      <c r="D11" s="213">
        <v>10930</v>
      </c>
      <c r="E11" s="213"/>
      <c r="F11" s="213">
        <v>37</v>
      </c>
      <c r="G11" s="157">
        <f t="shared" ref="G11:G16" si="0">F11/C11*100</f>
        <v>0.3373757636546</v>
      </c>
      <c r="H11" s="213">
        <v>17</v>
      </c>
      <c r="I11" s="213">
        <v>9</v>
      </c>
      <c r="J11" s="213">
        <v>11</v>
      </c>
      <c r="K11" s="213"/>
      <c r="L11" s="213"/>
      <c r="M11" s="185"/>
      <c r="N11" s="212">
        <v>11477</v>
      </c>
      <c r="O11" s="216"/>
      <c r="P11" s="213">
        <v>11397</v>
      </c>
      <c r="Q11" s="213"/>
      <c r="R11" s="213">
        <v>80</v>
      </c>
      <c r="S11" s="157">
        <f t="shared" ref="S11:S16" si="1">R11/N11*100</f>
        <v>0.697046266445935</v>
      </c>
      <c r="T11" s="213">
        <v>9</v>
      </c>
      <c r="U11" s="213"/>
      <c r="V11" s="213"/>
      <c r="W11" s="213">
        <v>67</v>
      </c>
      <c r="X11" s="212">
        <v>4</v>
      </c>
      <c r="Y11" s="216"/>
      <c r="Z11" s="213"/>
    </row>
    <row r="12" ht="18.75" spans="1:26">
      <c r="A12" s="134">
        <v>45902</v>
      </c>
      <c r="B12" s="135"/>
      <c r="C12" s="212">
        <v>11858</v>
      </c>
      <c r="D12" s="213">
        <v>11817</v>
      </c>
      <c r="E12" s="213"/>
      <c r="F12" s="213">
        <v>46</v>
      </c>
      <c r="G12" s="157">
        <f t="shared" si="0"/>
        <v>0.387923764547141</v>
      </c>
      <c r="H12" s="213">
        <v>38</v>
      </c>
      <c r="I12" s="213">
        <v>5</v>
      </c>
      <c r="J12" s="213">
        <v>3</v>
      </c>
      <c r="K12" s="213"/>
      <c r="L12" s="213"/>
      <c r="M12" s="185"/>
      <c r="N12" s="212">
        <v>12748</v>
      </c>
      <c r="O12" s="216"/>
      <c r="P12" s="213">
        <v>12495</v>
      </c>
      <c r="Q12" s="213"/>
      <c r="R12" s="213">
        <v>253</v>
      </c>
      <c r="S12" s="157">
        <f t="shared" si="1"/>
        <v>1.98462503922184</v>
      </c>
      <c r="T12" s="213">
        <v>132</v>
      </c>
      <c r="U12" s="213"/>
      <c r="V12" s="213"/>
      <c r="W12" s="213">
        <v>83</v>
      </c>
      <c r="X12" s="212">
        <v>38</v>
      </c>
      <c r="Y12" s="216"/>
      <c r="Z12" s="213"/>
    </row>
    <row r="13" ht="18.75" spans="1:26">
      <c r="A13" s="134">
        <v>45903</v>
      </c>
      <c r="B13" s="135"/>
      <c r="C13" s="212">
        <v>11554</v>
      </c>
      <c r="D13" s="213">
        <v>11529</v>
      </c>
      <c r="E13" s="213"/>
      <c r="F13" s="213">
        <v>25</v>
      </c>
      <c r="G13" s="157">
        <f t="shared" si="0"/>
        <v>0.216375281287866</v>
      </c>
      <c r="H13" s="213">
        <v>17</v>
      </c>
      <c r="I13" s="213">
        <v>8</v>
      </c>
      <c r="J13" s="213"/>
      <c r="K13" s="213"/>
      <c r="L13" s="213"/>
      <c r="M13" s="185"/>
      <c r="N13" s="212">
        <v>11529</v>
      </c>
      <c r="O13" s="216"/>
      <c r="P13" s="213">
        <v>11363</v>
      </c>
      <c r="Q13" s="213"/>
      <c r="R13" s="213">
        <v>166</v>
      </c>
      <c r="S13" s="157">
        <f t="shared" si="1"/>
        <v>1.43984734148669</v>
      </c>
      <c r="T13" s="213">
        <v>25</v>
      </c>
      <c r="U13" s="213"/>
      <c r="V13" s="213"/>
      <c r="W13" s="213">
        <v>95</v>
      </c>
      <c r="X13" s="212">
        <v>46</v>
      </c>
      <c r="Y13" s="216"/>
      <c r="Z13" s="213"/>
    </row>
    <row r="14" ht="18.75" spans="1:26">
      <c r="A14" s="134">
        <v>45904</v>
      </c>
      <c r="B14" s="135"/>
      <c r="C14" s="212">
        <v>14519</v>
      </c>
      <c r="D14" s="213">
        <v>14508</v>
      </c>
      <c r="E14" s="213"/>
      <c r="F14" s="213">
        <v>11</v>
      </c>
      <c r="G14" s="157">
        <f t="shared" si="0"/>
        <v>0.0757627935808251</v>
      </c>
      <c r="H14" s="213">
        <v>10</v>
      </c>
      <c r="I14" s="213">
        <v>1</v>
      </c>
      <c r="J14" s="213"/>
      <c r="K14" s="213"/>
      <c r="L14" s="213"/>
      <c r="M14" s="185"/>
      <c r="N14" s="212">
        <v>8798</v>
      </c>
      <c r="O14" s="216"/>
      <c r="P14" s="213">
        <v>8791</v>
      </c>
      <c r="Q14" s="213"/>
      <c r="R14" s="213">
        <v>7</v>
      </c>
      <c r="S14" s="157">
        <f t="shared" si="1"/>
        <v>0.0795635371675381</v>
      </c>
      <c r="T14" s="213"/>
      <c r="U14" s="213"/>
      <c r="V14" s="213"/>
      <c r="W14" s="213">
        <v>3</v>
      </c>
      <c r="X14" s="212">
        <v>4</v>
      </c>
      <c r="Y14" s="216"/>
      <c r="Z14" s="213"/>
    </row>
    <row r="15" ht="18.75" spans="1:26">
      <c r="A15" s="134">
        <v>45905</v>
      </c>
      <c r="B15" s="135"/>
      <c r="C15" s="212">
        <v>12736</v>
      </c>
      <c r="D15" s="213">
        <v>12730</v>
      </c>
      <c r="E15" s="213"/>
      <c r="F15" s="213">
        <v>6</v>
      </c>
      <c r="G15" s="157">
        <f t="shared" si="0"/>
        <v>0.0471105527638191</v>
      </c>
      <c r="H15" s="213">
        <v>6</v>
      </c>
      <c r="I15" s="213"/>
      <c r="J15" s="213"/>
      <c r="K15" s="213"/>
      <c r="L15" s="213"/>
      <c r="M15" s="185"/>
      <c r="N15" s="212">
        <v>13192</v>
      </c>
      <c r="O15" s="216"/>
      <c r="P15" s="213">
        <v>13180</v>
      </c>
      <c r="Q15" s="213"/>
      <c r="R15" s="213">
        <v>12</v>
      </c>
      <c r="S15" s="157">
        <f t="shared" si="1"/>
        <v>0.0909642207398423</v>
      </c>
      <c r="T15" s="213">
        <v>2</v>
      </c>
      <c r="U15" s="213"/>
      <c r="V15" s="213"/>
      <c r="W15" s="213">
        <v>5</v>
      </c>
      <c r="X15" s="212">
        <v>5</v>
      </c>
      <c r="Y15" s="216"/>
      <c r="Z15" s="213"/>
    </row>
    <row r="16" ht="18.75" spans="1:26">
      <c r="A16" s="134">
        <v>45906</v>
      </c>
      <c r="B16" s="135"/>
      <c r="C16" s="212">
        <v>11786</v>
      </c>
      <c r="D16" s="213">
        <v>11782</v>
      </c>
      <c r="E16" s="213"/>
      <c r="F16" s="213">
        <v>4</v>
      </c>
      <c r="G16" s="157">
        <f t="shared" si="0"/>
        <v>0.0339385711861531</v>
      </c>
      <c r="H16" s="213">
        <v>4</v>
      </c>
      <c r="I16" s="213"/>
      <c r="J16" s="213"/>
      <c r="K16" s="213"/>
      <c r="L16" s="213"/>
      <c r="M16" s="185"/>
      <c r="N16" s="212">
        <v>13029</v>
      </c>
      <c r="O16" s="216"/>
      <c r="P16" s="213">
        <v>12997</v>
      </c>
      <c r="Q16" s="213"/>
      <c r="R16" s="213">
        <v>32</v>
      </c>
      <c r="S16" s="157">
        <f t="shared" si="1"/>
        <v>0.245605955944432</v>
      </c>
      <c r="T16" s="213">
        <v>3</v>
      </c>
      <c r="U16" s="213"/>
      <c r="V16" s="213"/>
      <c r="W16" s="213">
        <v>21</v>
      </c>
      <c r="X16" s="212">
        <v>8</v>
      </c>
      <c r="Y16" s="216"/>
      <c r="Z16" s="213"/>
    </row>
    <row r="17" ht="25" customHeight="1" spans="1:26">
      <c r="A17" s="136" t="s">
        <v>38</v>
      </c>
      <c r="B17" s="137"/>
      <c r="C17" s="89">
        <f>SUM(C11:C16)</f>
        <v>73420</v>
      </c>
      <c r="D17" s="89">
        <f>SUM(D11:D16)</f>
        <v>73296</v>
      </c>
      <c r="E17" s="89">
        <f>SUM(E11:E16)</f>
        <v>0</v>
      </c>
      <c r="F17" s="89">
        <f>SUM(F11:F16)</f>
        <v>129</v>
      </c>
      <c r="G17" s="90">
        <f t="shared" ref="G17:G32" si="2">F17/C17*100</f>
        <v>0.175701443748297</v>
      </c>
      <c r="H17" s="89">
        <f>SUM(H11:H16)</f>
        <v>92</v>
      </c>
      <c r="I17" s="89">
        <f>SUM(I11:I16)</f>
        <v>23</v>
      </c>
      <c r="J17" s="89">
        <f>SUM(J11:J16)</f>
        <v>14</v>
      </c>
      <c r="K17" s="89">
        <f>SUM(K11:K16)</f>
        <v>0</v>
      </c>
      <c r="L17" s="89">
        <f>SUM(L11:L16)</f>
        <v>0</v>
      </c>
      <c r="M17" s="178"/>
      <c r="N17" s="89">
        <f>SUM(N11:O16)</f>
        <v>70773</v>
      </c>
      <c r="O17" s="178"/>
      <c r="P17" s="89">
        <f>SUM(P11:P16)</f>
        <v>70223</v>
      </c>
      <c r="Q17" s="89">
        <f>SUM(Q11:Q16)</f>
        <v>0</v>
      </c>
      <c r="R17" s="89">
        <f>SUM(R11:R16)</f>
        <v>550</v>
      </c>
      <c r="S17" s="90">
        <f t="shared" ref="S17:S32" si="3">R17/N17*100</f>
        <v>0.777132522289574</v>
      </c>
      <c r="T17" s="89">
        <f>SUM(T11:T16)</f>
        <v>171</v>
      </c>
      <c r="U17" s="89">
        <f>SUM(U11:U16)</f>
        <v>0</v>
      </c>
      <c r="V17" s="89">
        <f>SUM(V11:V16)</f>
        <v>0</v>
      </c>
      <c r="W17" s="89">
        <f>SUM(W11:W16)</f>
        <v>274</v>
      </c>
      <c r="X17" s="204">
        <f>SUM(X11:Y16)</f>
        <v>105</v>
      </c>
      <c r="Y17" s="224"/>
      <c r="Z17" s="89">
        <f>SUM(Z11:Z16)</f>
        <v>0</v>
      </c>
    </row>
    <row r="18" ht="25" customHeight="1" spans="1:26">
      <c r="A18" s="138">
        <v>45907</v>
      </c>
      <c r="B18" s="139"/>
      <c r="C18" s="158"/>
      <c r="D18" s="159"/>
      <c r="E18" s="159"/>
      <c r="F18" s="159"/>
      <c r="G18" s="93" t="e">
        <f t="shared" si="2"/>
        <v>#DIV/0!</v>
      </c>
      <c r="H18" s="159"/>
      <c r="I18" s="159"/>
      <c r="J18" s="159"/>
      <c r="K18" s="159"/>
      <c r="L18" s="159"/>
      <c r="M18" s="186"/>
      <c r="N18" s="158"/>
      <c r="O18" s="217"/>
      <c r="P18" s="159"/>
      <c r="Q18" s="159"/>
      <c r="R18" s="159"/>
      <c r="S18" s="93" t="e">
        <f t="shared" si="3"/>
        <v>#DIV/0!</v>
      </c>
      <c r="T18" s="159"/>
      <c r="U18" s="159"/>
      <c r="V18" s="159"/>
      <c r="W18" s="159"/>
      <c r="X18" s="158"/>
      <c r="Y18" s="217"/>
      <c r="Z18" s="159"/>
    </row>
    <row r="19" ht="25" customHeight="1" spans="1:26">
      <c r="A19" s="140">
        <v>45908</v>
      </c>
      <c r="B19" s="141"/>
      <c r="C19" s="25">
        <v>13650</v>
      </c>
      <c r="D19" s="25">
        <v>13642</v>
      </c>
      <c r="E19" s="25"/>
      <c r="F19" s="25">
        <v>8</v>
      </c>
      <c r="G19" s="26">
        <f t="shared" si="2"/>
        <v>0.0586080586080586</v>
      </c>
      <c r="H19" s="25">
        <v>7</v>
      </c>
      <c r="I19" s="25">
        <v>1</v>
      </c>
      <c r="J19" s="25"/>
      <c r="K19" s="25"/>
      <c r="L19" s="25"/>
      <c r="M19" s="177"/>
      <c r="N19" s="25">
        <v>14640</v>
      </c>
      <c r="O19" s="25"/>
      <c r="P19" s="25">
        <v>14625</v>
      </c>
      <c r="Q19" s="25"/>
      <c r="R19" s="25">
        <v>15</v>
      </c>
      <c r="S19" s="26">
        <f t="shared" si="3"/>
        <v>0.102459016393443</v>
      </c>
      <c r="T19" s="25">
        <v>1</v>
      </c>
      <c r="U19" s="25"/>
      <c r="V19" s="25"/>
      <c r="W19" s="25">
        <v>12</v>
      </c>
      <c r="X19" s="25">
        <v>2</v>
      </c>
      <c r="Y19" s="25"/>
      <c r="Z19" s="25"/>
    </row>
    <row r="20" ht="25" customHeight="1" spans="1:26">
      <c r="A20" s="140">
        <v>45909</v>
      </c>
      <c r="B20" s="141"/>
      <c r="C20" s="25">
        <v>12705</v>
      </c>
      <c r="D20" s="25">
        <v>12675</v>
      </c>
      <c r="E20" s="25"/>
      <c r="F20" s="25">
        <v>30</v>
      </c>
      <c r="G20" s="26">
        <f t="shared" si="2"/>
        <v>0.236127508854782</v>
      </c>
      <c r="H20" s="25">
        <v>28</v>
      </c>
      <c r="I20" s="25">
        <v>2</v>
      </c>
      <c r="J20" s="25"/>
      <c r="K20" s="25"/>
      <c r="L20" s="25"/>
      <c r="M20" s="177"/>
      <c r="N20" s="25">
        <v>11915</v>
      </c>
      <c r="O20" s="25"/>
      <c r="P20" s="25">
        <v>11905</v>
      </c>
      <c r="Q20" s="25"/>
      <c r="R20" s="25">
        <v>10</v>
      </c>
      <c r="S20" s="26">
        <f t="shared" si="3"/>
        <v>0.0839278220730172</v>
      </c>
      <c r="T20" s="25">
        <v>6</v>
      </c>
      <c r="U20" s="25" t="s">
        <v>35</v>
      </c>
      <c r="V20" s="25"/>
      <c r="W20" s="25">
        <v>4</v>
      </c>
      <c r="X20" s="25"/>
      <c r="Y20" s="25"/>
      <c r="Z20" s="25"/>
    </row>
    <row r="21" ht="25" customHeight="1" spans="1:26">
      <c r="A21" s="140">
        <v>45910</v>
      </c>
      <c r="B21" s="141"/>
      <c r="C21" s="142">
        <v>13817</v>
      </c>
      <c r="D21" s="95">
        <v>13779</v>
      </c>
      <c r="E21" s="95"/>
      <c r="F21" s="95">
        <v>38</v>
      </c>
      <c r="G21" s="26">
        <f t="shared" si="2"/>
        <v>0.275023521748571</v>
      </c>
      <c r="H21" s="27">
        <v>37</v>
      </c>
      <c r="I21" s="27">
        <v>1</v>
      </c>
      <c r="J21" s="27"/>
      <c r="K21" s="27"/>
      <c r="L21" s="27"/>
      <c r="M21" s="179"/>
      <c r="N21" s="65">
        <v>13545</v>
      </c>
      <c r="O21" s="66"/>
      <c r="P21" s="27">
        <v>13494</v>
      </c>
      <c r="Q21" s="27"/>
      <c r="R21" s="27">
        <v>51</v>
      </c>
      <c r="S21" s="120">
        <f t="shared" si="3"/>
        <v>0.376522702104097</v>
      </c>
      <c r="T21" s="27">
        <v>3</v>
      </c>
      <c r="U21" s="27"/>
      <c r="V21" s="27"/>
      <c r="W21" s="27">
        <v>41</v>
      </c>
      <c r="X21" s="65">
        <v>7</v>
      </c>
      <c r="Y21" s="66"/>
      <c r="Z21" s="27"/>
    </row>
    <row r="22" ht="25" customHeight="1" spans="1:26">
      <c r="A22" s="140">
        <v>45911</v>
      </c>
      <c r="B22" s="141"/>
      <c r="C22" s="27">
        <v>10444</v>
      </c>
      <c r="D22" s="27">
        <v>10426</v>
      </c>
      <c r="E22" s="27"/>
      <c r="F22" s="27">
        <v>18</v>
      </c>
      <c r="G22" s="26">
        <f t="shared" si="2"/>
        <v>0.172347759479127</v>
      </c>
      <c r="H22" s="27">
        <v>14</v>
      </c>
      <c r="I22" s="27">
        <v>4</v>
      </c>
      <c r="J22" s="27"/>
      <c r="K22" s="27"/>
      <c r="L22" s="27"/>
      <c r="M22" s="177"/>
      <c r="N22" s="65">
        <v>12423</v>
      </c>
      <c r="O22" s="66"/>
      <c r="P22" s="27">
        <v>12364</v>
      </c>
      <c r="Q22" s="27"/>
      <c r="R22" s="27">
        <v>59</v>
      </c>
      <c r="S22" s="26">
        <f t="shared" si="3"/>
        <v>0.474925541334621</v>
      </c>
      <c r="T22" s="27">
        <v>6</v>
      </c>
      <c r="U22" s="27"/>
      <c r="V22" s="27">
        <v>1</v>
      </c>
      <c r="W22" s="27">
        <v>41</v>
      </c>
      <c r="X22" s="65">
        <v>11</v>
      </c>
      <c r="Y22" s="66"/>
      <c r="Z22" s="27"/>
    </row>
    <row r="23" ht="25" customHeight="1" spans="1:26">
      <c r="A23" s="140">
        <v>45912</v>
      </c>
      <c r="B23" s="141"/>
      <c r="C23" s="143">
        <v>11328</v>
      </c>
      <c r="D23" s="143">
        <v>11296</v>
      </c>
      <c r="E23" s="143"/>
      <c r="F23" s="143">
        <v>32</v>
      </c>
      <c r="G23" s="144">
        <f t="shared" si="2"/>
        <v>0.282485875706215</v>
      </c>
      <c r="H23" s="143">
        <v>20</v>
      </c>
      <c r="I23" s="143">
        <v>12</v>
      </c>
      <c r="J23" s="143"/>
      <c r="K23" s="143"/>
      <c r="L23" s="143"/>
      <c r="M23" s="180"/>
      <c r="N23" s="181">
        <v>11012</v>
      </c>
      <c r="O23" s="218"/>
      <c r="P23" s="143">
        <v>10651</v>
      </c>
      <c r="Q23" s="143"/>
      <c r="R23" s="143">
        <v>361</v>
      </c>
      <c r="S23" s="144">
        <f t="shared" si="3"/>
        <v>3.27824191790774</v>
      </c>
      <c r="T23" s="143">
        <v>8</v>
      </c>
      <c r="U23" s="143"/>
      <c r="V23" s="143"/>
      <c r="W23" s="143">
        <v>312</v>
      </c>
      <c r="X23" s="181">
        <v>41</v>
      </c>
      <c r="Y23" s="218"/>
      <c r="Z23" s="143"/>
    </row>
    <row r="24" ht="25" customHeight="1" spans="1:26">
      <c r="A24" s="140">
        <v>45913</v>
      </c>
      <c r="B24" s="141"/>
      <c r="C24" s="145">
        <v>9586</v>
      </c>
      <c r="D24" s="96">
        <v>9529</v>
      </c>
      <c r="E24" s="96"/>
      <c r="F24" s="96">
        <v>57</v>
      </c>
      <c r="G24" s="146">
        <f t="shared" si="2"/>
        <v>0.594617150010432</v>
      </c>
      <c r="H24" s="96">
        <v>57</v>
      </c>
      <c r="I24" s="96"/>
      <c r="J24" s="96"/>
      <c r="K24" s="96"/>
      <c r="L24" s="96"/>
      <c r="M24" s="96"/>
      <c r="N24" s="145">
        <v>11816</v>
      </c>
      <c r="O24" s="219"/>
      <c r="P24" s="96">
        <v>11634</v>
      </c>
      <c r="Q24" s="96"/>
      <c r="R24" s="96">
        <v>182</v>
      </c>
      <c r="S24" s="146">
        <f t="shared" si="3"/>
        <v>1.54028436018957</v>
      </c>
      <c r="T24" s="96">
        <v>42</v>
      </c>
      <c r="U24" s="96"/>
      <c r="V24" s="96"/>
      <c r="W24" s="96">
        <v>55</v>
      </c>
      <c r="X24" s="200">
        <v>85</v>
      </c>
      <c r="Y24" s="225"/>
      <c r="Z24" s="96"/>
    </row>
    <row r="25" customFormat="1" ht="25" customHeight="1" spans="1:26">
      <c r="A25" s="147" t="s">
        <v>39</v>
      </c>
      <c r="B25" s="148"/>
      <c r="C25" s="149">
        <f>SUM(C18:C24)</f>
        <v>71530</v>
      </c>
      <c r="D25" s="149">
        <f>SUM(D18:D24)</f>
        <v>71347</v>
      </c>
      <c r="E25" s="149">
        <f>SUM(E18:E24)</f>
        <v>0</v>
      </c>
      <c r="F25" s="149">
        <f>SUM(F18:F24)</f>
        <v>183</v>
      </c>
      <c r="G25" s="150">
        <f t="shared" si="2"/>
        <v>0.255836711869146</v>
      </c>
      <c r="H25" s="149">
        <f>SUM(H18:H24)</f>
        <v>163</v>
      </c>
      <c r="I25" s="149">
        <f>SUM(I18:I24)</f>
        <v>20</v>
      </c>
      <c r="J25" s="149">
        <f>SUM(J18:J24)</f>
        <v>0</v>
      </c>
      <c r="K25" s="149">
        <f>SUM(K18:K24)</f>
        <v>0</v>
      </c>
      <c r="L25" s="149">
        <f>SUM(L18:L24)</f>
        <v>0</v>
      </c>
      <c r="M25" s="182"/>
      <c r="N25" s="149">
        <f>SUM(N18:O24)</f>
        <v>75351</v>
      </c>
      <c r="O25" s="182"/>
      <c r="P25" s="149">
        <f>SUM(P18:P24)</f>
        <v>74673</v>
      </c>
      <c r="Q25" s="149">
        <f>SUM(Q18:Q24)</f>
        <v>0</v>
      </c>
      <c r="R25" s="149">
        <f>SUM(R18:R24)</f>
        <v>678</v>
      </c>
      <c r="S25" s="150">
        <f t="shared" si="3"/>
        <v>0.899788987538321</v>
      </c>
      <c r="T25" s="149">
        <f>SUM(T18:T24)</f>
        <v>66</v>
      </c>
      <c r="U25" s="149">
        <f>SUM(U18:U24)</f>
        <v>0</v>
      </c>
      <c r="V25" s="149">
        <f>SUM(V18:V24)</f>
        <v>1</v>
      </c>
      <c r="W25" s="149">
        <f>SUM(W18:W24)</f>
        <v>465</v>
      </c>
      <c r="X25" s="234">
        <f>SUM(X18:Y24)</f>
        <v>146</v>
      </c>
      <c r="Y25" s="236"/>
      <c r="Z25" s="149">
        <f>SUM(Z18:Z24)</f>
        <v>0</v>
      </c>
    </row>
    <row r="26" ht="25" customHeight="1" spans="1:26">
      <c r="A26" s="138">
        <v>45914</v>
      </c>
      <c r="B26" s="139"/>
      <c r="C26" s="100"/>
      <c r="D26" s="100"/>
      <c r="E26" s="100"/>
      <c r="F26" s="100"/>
      <c r="G26" s="101" t="e">
        <f t="shared" si="2"/>
        <v>#DIV/0!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1" t="e">
        <f t="shared" si="3"/>
        <v>#DIV/0!</v>
      </c>
      <c r="T26" s="100"/>
      <c r="U26" s="100"/>
      <c r="V26" s="100"/>
      <c r="W26" s="100"/>
      <c r="X26" s="100"/>
      <c r="Y26" s="100"/>
      <c r="Z26" s="100"/>
    </row>
    <row r="27" ht="25" customHeight="1" spans="1:26">
      <c r="A27" s="140">
        <v>45915</v>
      </c>
      <c r="B27" s="141"/>
      <c r="C27" s="102">
        <v>11571</v>
      </c>
      <c r="D27" s="102">
        <v>11502</v>
      </c>
      <c r="E27" s="102"/>
      <c r="F27" s="102">
        <v>64</v>
      </c>
      <c r="G27" s="97">
        <f t="shared" si="2"/>
        <v>0.55310690519402</v>
      </c>
      <c r="H27" s="102">
        <v>62</v>
      </c>
      <c r="I27" s="102">
        <v>2</v>
      </c>
      <c r="J27" s="102"/>
      <c r="K27" s="102"/>
      <c r="L27" s="102"/>
      <c r="M27" s="96"/>
      <c r="N27" s="102">
        <v>10753</v>
      </c>
      <c r="O27" s="102"/>
      <c r="P27" s="102">
        <v>10604</v>
      </c>
      <c r="Q27" s="102"/>
      <c r="R27" s="102">
        <v>149</v>
      </c>
      <c r="S27" s="97">
        <f t="shared" si="3"/>
        <v>1.38565981586534</v>
      </c>
      <c r="T27" s="102">
        <v>15</v>
      </c>
      <c r="U27" s="102"/>
      <c r="V27" s="102"/>
      <c r="W27" s="102">
        <v>113</v>
      </c>
      <c r="X27" s="102">
        <v>21</v>
      </c>
      <c r="Y27" s="102"/>
      <c r="Z27" s="102"/>
    </row>
    <row r="28" ht="25" customHeight="1" spans="1:26">
      <c r="A28" s="140">
        <v>45916</v>
      </c>
      <c r="B28" s="141"/>
      <c r="C28" s="151">
        <v>10972</v>
      </c>
      <c r="D28" s="152">
        <v>10941</v>
      </c>
      <c r="E28" s="152"/>
      <c r="F28" s="152">
        <v>31</v>
      </c>
      <c r="G28" s="97">
        <f t="shared" si="2"/>
        <v>0.282537367845425</v>
      </c>
      <c r="H28" s="152">
        <v>29</v>
      </c>
      <c r="I28" s="152">
        <v>2</v>
      </c>
      <c r="J28" s="152"/>
      <c r="K28" s="152"/>
      <c r="L28" s="152"/>
      <c r="M28" s="183"/>
      <c r="N28" s="151">
        <v>11715</v>
      </c>
      <c r="O28" s="220"/>
      <c r="P28" s="152">
        <v>11684</v>
      </c>
      <c r="Q28" s="152"/>
      <c r="R28" s="152">
        <v>31</v>
      </c>
      <c r="S28" s="201">
        <f t="shared" si="3"/>
        <v>0.264618011096884</v>
      </c>
      <c r="T28" s="152">
        <v>6</v>
      </c>
      <c r="U28" s="152"/>
      <c r="V28" s="152"/>
      <c r="W28" s="152">
        <v>25</v>
      </c>
      <c r="X28" s="151"/>
      <c r="Y28" s="220"/>
      <c r="Z28" s="152"/>
    </row>
    <row r="29" ht="25" customHeight="1" spans="1:26">
      <c r="A29" s="140">
        <v>45917</v>
      </c>
      <c r="B29" s="141"/>
      <c r="C29" s="145">
        <v>10508</v>
      </c>
      <c r="D29" s="96">
        <v>10459</v>
      </c>
      <c r="E29" s="96"/>
      <c r="F29" s="96">
        <v>49</v>
      </c>
      <c r="G29" s="97">
        <f t="shared" si="2"/>
        <v>0.46631138180434</v>
      </c>
      <c r="H29" s="96">
        <v>44</v>
      </c>
      <c r="I29" s="96">
        <v>5</v>
      </c>
      <c r="J29" s="96"/>
      <c r="K29" s="96"/>
      <c r="L29" s="96"/>
      <c r="M29" s="96"/>
      <c r="N29" s="145">
        <v>10459</v>
      </c>
      <c r="O29" s="219"/>
      <c r="P29" s="96">
        <v>10399</v>
      </c>
      <c r="Q29" s="96"/>
      <c r="R29" s="96">
        <v>60</v>
      </c>
      <c r="S29" s="97">
        <f t="shared" si="3"/>
        <v>0.573668610765848</v>
      </c>
      <c r="T29" s="96">
        <v>15</v>
      </c>
      <c r="U29" s="96"/>
      <c r="V29" s="96"/>
      <c r="W29" s="96">
        <v>37</v>
      </c>
      <c r="X29" s="145">
        <v>8</v>
      </c>
      <c r="Y29" s="219"/>
      <c r="Z29" s="96"/>
    </row>
    <row r="30" ht="25" customHeight="1" spans="1:26">
      <c r="A30" s="140">
        <v>45918</v>
      </c>
      <c r="B30" s="141"/>
      <c r="C30" s="151">
        <v>16601</v>
      </c>
      <c r="D30" s="152">
        <v>16554</v>
      </c>
      <c r="E30" s="152"/>
      <c r="F30" s="152">
        <v>47</v>
      </c>
      <c r="G30" s="97">
        <f t="shared" si="2"/>
        <v>0.283115474971387</v>
      </c>
      <c r="H30" s="152">
        <v>47</v>
      </c>
      <c r="I30" s="152"/>
      <c r="J30" s="152"/>
      <c r="K30" s="152"/>
      <c r="L30" s="152"/>
      <c r="M30" s="183"/>
      <c r="N30" s="151">
        <v>16554</v>
      </c>
      <c r="O30" s="220"/>
      <c r="P30" s="152">
        <v>16481</v>
      </c>
      <c r="Q30" s="152"/>
      <c r="R30" s="152">
        <v>73</v>
      </c>
      <c r="S30" s="201">
        <f t="shared" si="3"/>
        <v>0.440981031774798</v>
      </c>
      <c r="T30" s="152">
        <v>28</v>
      </c>
      <c r="U30" s="152"/>
      <c r="V30" s="152"/>
      <c r="W30" s="152">
        <v>43</v>
      </c>
      <c r="X30" s="151">
        <v>2</v>
      </c>
      <c r="Y30" s="220"/>
      <c r="Z30" s="152"/>
    </row>
    <row r="31" ht="25" customHeight="1" spans="1:26">
      <c r="A31" s="140">
        <v>45919</v>
      </c>
      <c r="B31" s="141"/>
      <c r="C31" s="96">
        <v>9729</v>
      </c>
      <c r="D31" s="96">
        <v>9640</v>
      </c>
      <c r="E31" s="96"/>
      <c r="F31" s="96">
        <v>89</v>
      </c>
      <c r="G31" s="97">
        <f t="shared" si="2"/>
        <v>0.914790831534587</v>
      </c>
      <c r="H31" s="96">
        <v>66</v>
      </c>
      <c r="I31" s="96">
        <v>23</v>
      </c>
      <c r="J31" s="96"/>
      <c r="K31" s="96"/>
      <c r="L31" s="96"/>
      <c r="M31" s="96"/>
      <c r="N31" s="96">
        <v>9640</v>
      </c>
      <c r="O31" s="96"/>
      <c r="P31" s="96">
        <v>9332</v>
      </c>
      <c r="Q31" s="96"/>
      <c r="R31" s="96">
        <v>308</v>
      </c>
      <c r="S31" s="201">
        <f t="shared" si="3"/>
        <v>3.19502074688797</v>
      </c>
      <c r="T31" s="96">
        <v>44</v>
      </c>
      <c r="U31" s="96"/>
      <c r="V31" s="96"/>
      <c r="W31" s="96">
        <v>186</v>
      </c>
      <c r="X31" s="145">
        <v>78</v>
      </c>
      <c r="Y31" s="219"/>
      <c r="Z31" s="96"/>
    </row>
    <row r="32" ht="25" customHeight="1" spans="1:26">
      <c r="A32" s="140">
        <v>45920</v>
      </c>
      <c r="B32" s="141"/>
      <c r="C32" s="96">
        <v>14316</v>
      </c>
      <c r="D32" s="96">
        <v>14292</v>
      </c>
      <c r="E32" s="96"/>
      <c r="F32" s="96">
        <v>24</v>
      </c>
      <c r="G32" s="97">
        <f t="shared" si="2"/>
        <v>0.167644593461861</v>
      </c>
      <c r="H32" s="96">
        <v>22</v>
      </c>
      <c r="I32" s="96">
        <v>2</v>
      </c>
      <c r="J32" s="96"/>
      <c r="K32" s="96"/>
      <c r="L32" s="96"/>
      <c r="M32" s="96"/>
      <c r="N32" s="96">
        <v>13443</v>
      </c>
      <c r="O32" s="96"/>
      <c r="P32" s="96">
        <v>13371</v>
      </c>
      <c r="Q32" s="96"/>
      <c r="R32" s="96">
        <v>72</v>
      </c>
      <c r="S32" s="201">
        <f t="shared" si="3"/>
        <v>0.535594733318456</v>
      </c>
      <c r="T32" s="96">
        <v>4</v>
      </c>
      <c r="U32" s="96"/>
      <c r="V32" s="96"/>
      <c r="W32" s="96">
        <v>66</v>
      </c>
      <c r="X32" s="145">
        <v>2</v>
      </c>
      <c r="Y32" s="219"/>
      <c r="Z32" s="96"/>
    </row>
    <row r="33" customFormat="1" ht="25" customHeight="1" spans="1:26">
      <c r="A33" s="136" t="s">
        <v>40</v>
      </c>
      <c r="B33" s="137"/>
      <c r="C33" s="98">
        <f>SUM(C26:C32)</f>
        <v>73697</v>
      </c>
      <c r="D33" s="98">
        <f t="shared" ref="D33:F33" si="4">SUM(D26:D32)</f>
        <v>73388</v>
      </c>
      <c r="E33" s="98">
        <f t="shared" si="4"/>
        <v>0</v>
      </c>
      <c r="F33" s="98">
        <f t="shared" si="4"/>
        <v>304</v>
      </c>
      <c r="G33" s="99">
        <f t="shared" ref="G33:G51" si="5">F33/C33*100</f>
        <v>0.412499830386583</v>
      </c>
      <c r="H33" s="98">
        <f t="shared" ref="H33:L33" si="6">SUM(H26:H32)</f>
        <v>270</v>
      </c>
      <c r="I33" s="98">
        <f t="shared" si="6"/>
        <v>34</v>
      </c>
      <c r="J33" s="98">
        <f t="shared" si="6"/>
        <v>0</v>
      </c>
      <c r="K33" s="98">
        <f t="shared" si="6"/>
        <v>0</v>
      </c>
      <c r="L33" s="98">
        <f t="shared" si="6"/>
        <v>0</v>
      </c>
      <c r="M33" s="184"/>
      <c r="N33" s="98">
        <f>SUM(N26:O32)</f>
        <v>72564</v>
      </c>
      <c r="O33" s="184"/>
      <c r="P33" s="98">
        <f t="shared" ref="P33:R33" si="7">SUM(P27:P32)</f>
        <v>71871</v>
      </c>
      <c r="Q33" s="98">
        <f t="shared" si="7"/>
        <v>0</v>
      </c>
      <c r="R33" s="98">
        <f t="shared" si="7"/>
        <v>693</v>
      </c>
      <c r="S33" s="99">
        <f t="shared" ref="S33:S51" si="8">R33/N33*100</f>
        <v>0.955019017694725</v>
      </c>
      <c r="T33" s="98">
        <f t="shared" ref="T33:X33" si="9">SUM(T27:T32)</f>
        <v>112</v>
      </c>
      <c r="U33" s="98">
        <f t="shared" si="9"/>
        <v>0</v>
      </c>
      <c r="V33" s="98">
        <f t="shared" si="9"/>
        <v>0</v>
      </c>
      <c r="W33" s="98">
        <f t="shared" si="9"/>
        <v>470</v>
      </c>
      <c r="X33" s="202">
        <f t="shared" si="9"/>
        <v>111</v>
      </c>
      <c r="Y33" s="226"/>
      <c r="Z33" s="98">
        <f>SUM(Z27:Z32)</f>
        <v>0</v>
      </c>
    </row>
    <row r="34" ht="25" customHeight="1" spans="1:26">
      <c r="A34" s="138">
        <v>45921</v>
      </c>
      <c r="B34" s="139"/>
      <c r="C34" s="100"/>
      <c r="D34" s="100"/>
      <c r="E34" s="100"/>
      <c r="F34" s="100"/>
      <c r="G34" s="227" t="e">
        <f t="shared" si="5"/>
        <v>#DIV/0!</v>
      </c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1" t="e">
        <f t="shared" si="8"/>
        <v>#DIV/0!</v>
      </c>
      <c r="T34" s="100"/>
      <c r="U34" s="100"/>
      <c r="V34" s="100"/>
      <c r="W34" s="100"/>
      <c r="X34" s="100"/>
      <c r="Y34" s="100"/>
      <c r="Z34" s="100"/>
    </row>
    <row r="35" ht="25" customHeight="1" spans="1:26">
      <c r="A35" s="140">
        <v>45922</v>
      </c>
      <c r="B35" s="141"/>
      <c r="C35" s="228">
        <v>10523</v>
      </c>
      <c r="D35" s="229">
        <v>10486</v>
      </c>
      <c r="E35" s="229"/>
      <c r="F35" s="229">
        <v>37</v>
      </c>
      <c r="G35" s="97">
        <f t="shared" si="5"/>
        <v>0.351610757388577</v>
      </c>
      <c r="H35" s="229">
        <v>28</v>
      </c>
      <c r="I35" s="229">
        <v>9</v>
      </c>
      <c r="J35" s="229"/>
      <c r="K35" s="229"/>
      <c r="L35" s="229"/>
      <c r="M35" s="183"/>
      <c r="N35" s="228">
        <v>1335</v>
      </c>
      <c r="O35" s="232"/>
      <c r="P35" s="229">
        <v>11168</v>
      </c>
      <c r="Q35" s="229"/>
      <c r="R35" s="229">
        <v>167</v>
      </c>
      <c r="S35" s="235">
        <f t="shared" si="8"/>
        <v>12.5093632958801</v>
      </c>
      <c r="T35" s="229">
        <v>10</v>
      </c>
      <c r="U35" s="229"/>
      <c r="V35" s="229"/>
      <c r="W35" s="229">
        <v>144</v>
      </c>
      <c r="X35" s="228">
        <v>13</v>
      </c>
      <c r="Y35" s="232"/>
      <c r="Z35" s="229"/>
    </row>
    <row r="36" ht="25" customHeight="1" spans="1:26">
      <c r="A36" s="140">
        <v>45923</v>
      </c>
      <c r="B36" s="141"/>
      <c r="C36" s="230">
        <v>14259</v>
      </c>
      <c r="D36" s="231">
        <v>14228</v>
      </c>
      <c r="E36" s="231"/>
      <c r="F36" s="231">
        <v>31</v>
      </c>
      <c r="G36" s="97">
        <f t="shared" si="5"/>
        <v>0.217406550248966</v>
      </c>
      <c r="H36" s="231">
        <v>27</v>
      </c>
      <c r="I36" s="231">
        <v>4</v>
      </c>
      <c r="J36" s="231"/>
      <c r="K36" s="231"/>
      <c r="L36" s="231"/>
      <c r="M36" s="183"/>
      <c r="N36" s="230">
        <v>14225</v>
      </c>
      <c r="O36" s="233"/>
      <c r="P36" s="231">
        <v>14127</v>
      </c>
      <c r="Q36" s="231"/>
      <c r="R36" s="231">
        <v>101</v>
      </c>
      <c r="S36" s="146">
        <f t="shared" si="8"/>
        <v>0.710017574692443</v>
      </c>
      <c r="T36" s="231">
        <v>7</v>
      </c>
      <c r="U36" s="231">
        <v>3</v>
      </c>
      <c r="V36" s="231">
        <v>1</v>
      </c>
      <c r="W36" s="231">
        <v>90</v>
      </c>
      <c r="X36" s="230"/>
      <c r="Y36" s="233"/>
      <c r="Z36" s="231"/>
    </row>
    <row r="37" ht="25" customHeight="1" spans="1:26">
      <c r="A37" s="140">
        <v>45924</v>
      </c>
      <c r="B37" s="141"/>
      <c r="C37" s="230">
        <v>12251</v>
      </c>
      <c r="D37" s="231">
        <v>12238</v>
      </c>
      <c r="E37" s="231"/>
      <c r="F37" s="231">
        <v>31</v>
      </c>
      <c r="G37" s="97">
        <f t="shared" si="5"/>
        <v>0.253040568116888</v>
      </c>
      <c r="H37" s="231">
        <v>11</v>
      </c>
      <c r="I37" s="231">
        <v>1</v>
      </c>
      <c r="J37" s="231">
        <v>1</v>
      </c>
      <c r="K37" s="231"/>
      <c r="L37" s="231"/>
      <c r="M37" s="183"/>
      <c r="N37" s="230">
        <v>11453</v>
      </c>
      <c r="O37" s="233"/>
      <c r="P37" s="231">
        <v>11290</v>
      </c>
      <c r="Q37" s="231"/>
      <c r="R37" s="231">
        <v>163</v>
      </c>
      <c r="S37" s="146">
        <f t="shared" si="8"/>
        <v>1.42320789312844</v>
      </c>
      <c r="T37" s="231">
        <v>12</v>
      </c>
      <c r="U37" s="231"/>
      <c r="V37" s="231"/>
      <c r="W37" s="231">
        <v>151</v>
      </c>
      <c r="X37" s="230"/>
      <c r="Y37" s="233"/>
      <c r="Z37" s="231"/>
    </row>
    <row r="38" ht="25" customHeight="1" spans="1:26">
      <c r="A38" s="140">
        <v>45925</v>
      </c>
      <c r="B38" s="141"/>
      <c r="C38" s="230">
        <v>12536</v>
      </c>
      <c r="D38" s="231">
        <v>12500</v>
      </c>
      <c r="E38" s="231"/>
      <c r="F38" s="231">
        <v>36</v>
      </c>
      <c r="G38" s="97">
        <f t="shared" si="5"/>
        <v>0.28717294192725</v>
      </c>
      <c r="H38" s="231">
        <v>22</v>
      </c>
      <c r="I38" s="231">
        <v>14</v>
      </c>
      <c r="J38" s="231"/>
      <c r="K38" s="231"/>
      <c r="L38" s="231"/>
      <c r="M38" s="183"/>
      <c r="N38" s="230">
        <v>13285</v>
      </c>
      <c r="O38" s="233"/>
      <c r="P38" s="231">
        <v>13202</v>
      </c>
      <c r="Q38" s="231"/>
      <c r="R38" s="231">
        <v>83</v>
      </c>
      <c r="S38" s="146">
        <f t="shared" si="8"/>
        <v>0.624764772299586</v>
      </c>
      <c r="T38" s="231">
        <v>2</v>
      </c>
      <c r="U38" s="231"/>
      <c r="V38" s="231"/>
      <c r="W38" s="231">
        <v>74</v>
      </c>
      <c r="X38" s="230">
        <v>7</v>
      </c>
      <c r="Y38" s="233"/>
      <c r="Z38" s="231"/>
    </row>
    <row r="39" ht="25" customHeight="1" spans="1:26">
      <c r="A39" s="140">
        <v>45926</v>
      </c>
      <c r="B39" s="141"/>
      <c r="C39" s="161">
        <v>11079</v>
      </c>
      <c r="D39" s="162">
        <v>11030</v>
      </c>
      <c r="E39" s="162"/>
      <c r="F39" s="162">
        <v>49</v>
      </c>
      <c r="G39" s="26">
        <f t="shared" si="5"/>
        <v>0.44227818395162</v>
      </c>
      <c r="H39" s="162">
        <v>29</v>
      </c>
      <c r="I39" s="162">
        <v>8</v>
      </c>
      <c r="J39" s="162">
        <v>12</v>
      </c>
      <c r="K39" s="162"/>
      <c r="L39" s="162"/>
      <c r="M39" s="185"/>
      <c r="N39" s="161">
        <v>9564</v>
      </c>
      <c r="O39" s="221"/>
      <c r="P39" s="162">
        <v>8271</v>
      </c>
      <c r="Q39" s="162"/>
      <c r="R39" s="162">
        <v>1293</v>
      </c>
      <c r="S39" s="144">
        <f t="shared" si="8"/>
        <v>13.5194479297365</v>
      </c>
      <c r="T39" s="162">
        <v>12</v>
      </c>
      <c r="U39" s="162">
        <v>899</v>
      </c>
      <c r="V39" s="162"/>
      <c r="W39" s="162">
        <v>370</v>
      </c>
      <c r="X39" s="161">
        <v>12</v>
      </c>
      <c r="Y39" s="221"/>
      <c r="Z39" s="162"/>
    </row>
    <row r="40" ht="25" customHeight="1" spans="1:26">
      <c r="A40" s="140">
        <v>45927</v>
      </c>
      <c r="B40" s="141"/>
      <c r="C40" s="161">
        <v>11094</v>
      </c>
      <c r="D40" s="162">
        <v>10971</v>
      </c>
      <c r="E40" s="162"/>
      <c r="F40" s="162">
        <v>123</v>
      </c>
      <c r="G40" s="26">
        <f t="shared" si="5"/>
        <v>1.10870740941049</v>
      </c>
      <c r="H40" s="162">
        <v>87</v>
      </c>
      <c r="I40" s="162">
        <v>21</v>
      </c>
      <c r="J40" s="162">
        <v>15</v>
      </c>
      <c r="K40" s="162"/>
      <c r="L40" s="162"/>
      <c r="M40" s="185"/>
      <c r="N40" s="161">
        <v>12434</v>
      </c>
      <c r="O40" s="221"/>
      <c r="P40" s="162">
        <v>11232</v>
      </c>
      <c r="Q40" s="162"/>
      <c r="R40" s="162">
        <v>1202</v>
      </c>
      <c r="S40" s="144">
        <f t="shared" si="8"/>
        <v>9.66704198166318</v>
      </c>
      <c r="T40" s="162">
        <v>109</v>
      </c>
      <c r="U40" s="162">
        <v>658</v>
      </c>
      <c r="V40" s="162">
        <v>1</v>
      </c>
      <c r="W40" s="162">
        <v>412</v>
      </c>
      <c r="X40" s="161">
        <v>22</v>
      </c>
      <c r="Y40" s="221"/>
      <c r="Z40" s="162"/>
    </row>
    <row r="41" customFormat="1" ht="25" customHeight="1" spans="1:26">
      <c r="A41" s="136" t="s">
        <v>41</v>
      </c>
      <c r="B41" s="137"/>
      <c r="C41" s="89">
        <f>SUM(C34:C40)</f>
        <v>71742</v>
      </c>
      <c r="D41" s="89">
        <f t="shared" ref="D41:F41" si="10">SUM(D34:D40)</f>
        <v>71453</v>
      </c>
      <c r="E41" s="89">
        <f t="shared" si="10"/>
        <v>0</v>
      </c>
      <c r="F41" s="89">
        <f t="shared" si="10"/>
        <v>307</v>
      </c>
      <c r="G41" s="90">
        <f t="shared" si="5"/>
        <v>0.427922277048312</v>
      </c>
      <c r="H41" s="89">
        <f t="shared" ref="H41:L41" si="11">SUM(H34:H40)</f>
        <v>204</v>
      </c>
      <c r="I41" s="89">
        <f t="shared" si="11"/>
        <v>57</v>
      </c>
      <c r="J41" s="89">
        <f t="shared" si="11"/>
        <v>28</v>
      </c>
      <c r="K41" s="89">
        <f t="shared" si="11"/>
        <v>0</v>
      </c>
      <c r="L41" s="89">
        <f t="shared" si="11"/>
        <v>0</v>
      </c>
      <c r="M41" s="178"/>
      <c r="N41" s="89">
        <f>SUM(N34:O40)</f>
        <v>62296</v>
      </c>
      <c r="O41" s="178"/>
      <c r="P41" s="89">
        <f t="shared" ref="P41:R41" si="12">SUM(P34:P40)</f>
        <v>69290</v>
      </c>
      <c r="Q41" s="89">
        <f t="shared" si="12"/>
        <v>0</v>
      </c>
      <c r="R41" s="89">
        <f t="shared" si="12"/>
        <v>3009</v>
      </c>
      <c r="S41" s="90">
        <f t="shared" si="8"/>
        <v>4.83016566071658</v>
      </c>
      <c r="T41" s="89">
        <f t="shared" ref="T41:W41" si="13">SUM(T34:T40)</f>
        <v>152</v>
      </c>
      <c r="U41" s="89">
        <f t="shared" si="13"/>
        <v>1560</v>
      </c>
      <c r="V41" s="89">
        <f t="shared" si="13"/>
        <v>2</v>
      </c>
      <c r="W41" s="89">
        <f t="shared" si="13"/>
        <v>1241</v>
      </c>
      <c r="X41" s="204">
        <f>SUM(X34:Y40)</f>
        <v>54</v>
      </c>
      <c r="Y41" s="224"/>
      <c r="Z41" s="89">
        <f>SUM(Z34:Z40)</f>
        <v>0</v>
      </c>
    </row>
    <row r="42" ht="25" customHeight="1" spans="1:26">
      <c r="A42" s="138">
        <v>45928</v>
      </c>
      <c r="B42" s="139"/>
      <c r="C42" s="158"/>
      <c r="D42" s="159"/>
      <c r="E42" s="159"/>
      <c r="F42" s="159"/>
      <c r="G42" s="160" t="e">
        <f t="shared" si="5"/>
        <v>#DIV/0!</v>
      </c>
      <c r="H42" s="159"/>
      <c r="I42" s="159"/>
      <c r="J42" s="159"/>
      <c r="K42" s="159"/>
      <c r="L42" s="159"/>
      <c r="M42" s="186"/>
      <c r="N42" s="158"/>
      <c r="O42" s="217"/>
      <c r="P42" s="159"/>
      <c r="Q42" s="159"/>
      <c r="R42" s="159"/>
      <c r="S42" s="205" t="e">
        <f t="shared" si="8"/>
        <v>#DIV/0!</v>
      </c>
      <c r="T42" s="159"/>
      <c r="U42" s="159"/>
      <c r="V42" s="159"/>
      <c r="W42" s="159"/>
      <c r="X42" s="158"/>
      <c r="Y42" s="217"/>
      <c r="Z42" s="159"/>
    </row>
    <row r="43" ht="25" customHeight="1" spans="1:26">
      <c r="A43" s="140">
        <v>45929</v>
      </c>
      <c r="B43" s="141"/>
      <c r="C43" s="161">
        <v>12630</v>
      </c>
      <c r="D43" s="162">
        <v>12591</v>
      </c>
      <c r="E43" s="162"/>
      <c r="F43" s="162">
        <v>38</v>
      </c>
      <c r="G43" s="26">
        <f t="shared" si="5"/>
        <v>0.300870942201108</v>
      </c>
      <c r="H43" s="162">
        <v>36</v>
      </c>
      <c r="I43" s="162">
        <v>3</v>
      </c>
      <c r="J43" s="162"/>
      <c r="K43" s="162"/>
      <c r="L43" s="162"/>
      <c r="M43" s="185"/>
      <c r="N43" s="161">
        <v>10021</v>
      </c>
      <c r="O43" s="221"/>
      <c r="P43" s="162">
        <v>9883</v>
      </c>
      <c r="Q43" s="162"/>
      <c r="R43" s="162">
        <v>138</v>
      </c>
      <c r="S43" s="144">
        <f t="shared" si="8"/>
        <v>1.3771080730466</v>
      </c>
      <c r="T43" s="162">
        <v>9</v>
      </c>
      <c r="U43" s="162"/>
      <c r="V43" s="162"/>
      <c r="W43" s="162">
        <v>129</v>
      </c>
      <c r="X43" s="161"/>
      <c r="Y43" s="221"/>
      <c r="Z43" s="162"/>
    </row>
    <row r="44" ht="25" customHeight="1" spans="1:26">
      <c r="A44" s="140">
        <v>45930</v>
      </c>
      <c r="B44" s="141"/>
      <c r="C44" s="161">
        <v>8894</v>
      </c>
      <c r="D44" s="162">
        <v>8876</v>
      </c>
      <c r="E44" s="162"/>
      <c r="F44" s="162">
        <v>18</v>
      </c>
      <c r="G44" s="26">
        <f t="shared" si="5"/>
        <v>0.202383629413087</v>
      </c>
      <c r="H44" s="162">
        <v>18</v>
      </c>
      <c r="I44" s="162"/>
      <c r="J44" s="162"/>
      <c r="K44" s="162"/>
      <c r="L44" s="162"/>
      <c r="M44" s="185"/>
      <c r="N44" s="161">
        <v>8914</v>
      </c>
      <c r="O44" s="221"/>
      <c r="P44" s="162">
        <v>8592</v>
      </c>
      <c r="Q44" s="162"/>
      <c r="R44" s="162">
        <v>322</v>
      </c>
      <c r="S44" s="144">
        <f t="shared" si="8"/>
        <v>3.61229526587391</v>
      </c>
      <c r="T44" s="162">
        <v>5</v>
      </c>
      <c r="U44" s="162"/>
      <c r="V44" s="162"/>
      <c r="W44" s="162">
        <v>254</v>
      </c>
      <c r="X44" s="161">
        <v>63</v>
      </c>
      <c r="Y44" s="221"/>
      <c r="Z44" s="162"/>
    </row>
    <row r="45" customFormat="1" ht="25" customHeight="1" spans="1:26">
      <c r="A45" s="136" t="s">
        <v>44</v>
      </c>
      <c r="B45" s="137"/>
      <c r="C45" s="89">
        <f>SUM(C42:C44)</f>
        <v>21524</v>
      </c>
      <c r="D45" s="89">
        <f>SUM(D42:D44)</f>
        <v>21467</v>
      </c>
      <c r="E45" s="89">
        <f>SUM(E42:E44)</f>
        <v>0</v>
      </c>
      <c r="F45" s="89">
        <f>SUM(F42:F44)</f>
        <v>56</v>
      </c>
      <c r="G45" s="90">
        <f t="shared" si="5"/>
        <v>0.260174688719569</v>
      </c>
      <c r="H45" s="89">
        <f>SUM(H42:H44)</f>
        <v>54</v>
      </c>
      <c r="I45" s="89">
        <f>SUM(I42:I44)</f>
        <v>3</v>
      </c>
      <c r="J45" s="89">
        <f>SUM(J42:J44)</f>
        <v>0</v>
      </c>
      <c r="K45" s="89">
        <f>SUM(K42:K44)</f>
        <v>0</v>
      </c>
      <c r="L45" s="89">
        <f>SUM(L42:L44)</f>
        <v>0</v>
      </c>
      <c r="M45" s="178"/>
      <c r="N45" s="89">
        <f>SUM(N42:O44)</f>
        <v>18935</v>
      </c>
      <c r="O45" s="178"/>
      <c r="P45" s="89">
        <f>SUM(P42:P44)</f>
        <v>18475</v>
      </c>
      <c r="Q45" s="89">
        <f>SUM(Q42:Q44)</f>
        <v>0</v>
      </c>
      <c r="R45" s="89">
        <f>SUM(R42:R44)</f>
        <v>460</v>
      </c>
      <c r="S45" s="90">
        <f t="shared" si="8"/>
        <v>2.42936361235807</v>
      </c>
      <c r="T45" s="89">
        <f>SUM(T42:T44)</f>
        <v>14</v>
      </c>
      <c r="U45" s="89">
        <f>SUM(U42:U44)</f>
        <v>0</v>
      </c>
      <c r="V45" s="89">
        <f>SUM(V42:V44)</f>
        <v>0</v>
      </c>
      <c r="W45" s="89">
        <f>SUM(W42:W44)</f>
        <v>383</v>
      </c>
      <c r="X45" s="204">
        <f>SUM(X42:Y44)</f>
        <v>63</v>
      </c>
      <c r="Y45" s="224"/>
      <c r="Z45" s="89">
        <f>SUM(Z42:Z44)</f>
        <v>0</v>
      </c>
    </row>
    <row r="46" ht="28" customHeight="1" spans="1:26">
      <c r="A46" s="163" t="s">
        <v>24</v>
      </c>
      <c r="B46" s="164"/>
      <c r="C46" s="165">
        <f>C45+C41+C33+C25+C17</f>
        <v>311913</v>
      </c>
      <c r="D46" s="107">
        <f>D45+D41+D33+D25+D17</f>
        <v>310951</v>
      </c>
      <c r="E46" s="107">
        <f>E45+E41+E33+E25+E17</f>
        <v>0</v>
      </c>
      <c r="F46" s="107">
        <f>F45+F41+F33+F25+F17</f>
        <v>979</v>
      </c>
      <c r="G46" s="108">
        <f t="shared" si="5"/>
        <v>0.313869572605182</v>
      </c>
      <c r="H46" s="107">
        <f>H45+H41+H33+H25+H17</f>
        <v>783</v>
      </c>
      <c r="I46" s="107">
        <f t="shared" ref="H46:L46" si="14">I45+I41+I33+I25+I17</f>
        <v>137</v>
      </c>
      <c r="J46" s="107">
        <f t="shared" si="14"/>
        <v>42</v>
      </c>
      <c r="K46" s="107">
        <f t="shared" si="14"/>
        <v>0</v>
      </c>
      <c r="L46" s="107">
        <f t="shared" si="14"/>
        <v>0</v>
      </c>
      <c r="M46" s="115"/>
      <c r="N46" s="165">
        <f t="shared" ref="N46:R46" si="15">N45+N41+N33+N25+N17</f>
        <v>299919</v>
      </c>
      <c r="O46" s="222"/>
      <c r="P46" s="107">
        <f t="shared" si="15"/>
        <v>304532</v>
      </c>
      <c r="Q46" s="107">
        <f t="shared" si="15"/>
        <v>0</v>
      </c>
      <c r="R46" s="107">
        <f t="shared" si="15"/>
        <v>5390</v>
      </c>
      <c r="S46" s="108">
        <f t="shared" si="8"/>
        <v>1.79715189767904</v>
      </c>
      <c r="T46" s="107">
        <f t="shared" ref="T46:X46" si="16">T45+T41+T33+T25+T17</f>
        <v>515</v>
      </c>
      <c r="U46" s="107">
        <f t="shared" si="16"/>
        <v>1560</v>
      </c>
      <c r="V46" s="107">
        <f t="shared" si="16"/>
        <v>3</v>
      </c>
      <c r="W46" s="107">
        <f t="shared" si="16"/>
        <v>2833</v>
      </c>
      <c r="X46" s="165">
        <f t="shared" si="16"/>
        <v>479</v>
      </c>
      <c r="Y46" s="222"/>
      <c r="Z46" s="107">
        <f>Z45+Z41+Z33+Z25+Z17</f>
        <v>0</v>
      </c>
    </row>
    <row r="47" ht="35" customHeight="1" spans="1:26">
      <c r="A47" s="166" t="s">
        <v>25</v>
      </c>
      <c r="B47" s="167"/>
      <c r="C47" s="167"/>
      <c r="D47" s="168">
        <f>D46/C46*100</f>
        <v>99.6915806651214</v>
      </c>
      <c r="E47" s="168" t="e">
        <f>E46/#REF!*100</f>
        <v>#REF!</v>
      </c>
      <c r="F47" s="168">
        <f>F46/C46*100</f>
        <v>0.313869572605182</v>
      </c>
      <c r="G47" s="168"/>
      <c r="H47" s="168">
        <f>H46/C46*100</f>
        <v>0.251031537640304</v>
      </c>
      <c r="I47" s="168">
        <f>I46/C46*100</f>
        <v>0.0439225040315729</v>
      </c>
      <c r="J47" s="168">
        <f>J46/C46*100</f>
        <v>0.0134652932067596</v>
      </c>
      <c r="K47" s="168"/>
      <c r="L47" s="187"/>
      <c r="M47" s="115"/>
      <c r="N47" s="188" t="s">
        <v>25</v>
      </c>
      <c r="O47" s="223"/>
      <c r="P47" s="168">
        <f>P46/N46*100</f>
        <v>101.538081948793</v>
      </c>
      <c r="Q47" s="168">
        <f>Q46/N46*100</f>
        <v>0</v>
      </c>
      <c r="R47" s="168">
        <f>R46/N46*100</f>
        <v>1.79715189767904</v>
      </c>
      <c r="S47" s="168"/>
      <c r="T47" s="168">
        <f>T46/N46*100</f>
        <v>0.171713029184547</v>
      </c>
      <c r="U47" s="168">
        <f>U46/N46*100</f>
        <v>0.520140437918238</v>
      </c>
      <c r="V47" s="168">
        <f>V46/N46*100</f>
        <v>0.00100027007291969</v>
      </c>
      <c r="W47" s="168">
        <f>W46/N46*100</f>
        <v>0.944588372193826</v>
      </c>
      <c r="X47" s="188">
        <f>X46/N46*100</f>
        <v>0.15970978830951</v>
      </c>
      <c r="Y47" s="223"/>
      <c r="Z47" s="168"/>
    </row>
    <row r="48" ht="60" customHeight="1" spans="1:26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5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74" customHeight="1" spans="2:17">
      <c r="B49" s="34"/>
      <c r="C49" s="34"/>
      <c r="D49" s="34"/>
      <c r="E49" s="34"/>
      <c r="Q49" s="111"/>
    </row>
    <row r="50" spans="2:5">
      <c r="B50" s="34"/>
      <c r="C50" s="34"/>
      <c r="D50" s="34"/>
      <c r="E50" s="34"/>
    </row>
    <row r="52" ht="28.5" spans="3:12"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ht="28.5" spans="3:12"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6" spans="2:3">
      <c r="B56" s="36" t="s">
        <v>26</v>
      </c>
      <c r="C56" s="36"/>
    </row>
    <row r="57" spans="2:3">
      <c r="B57" s="37" t="s">
        <v>16</v>
      </c>
      <c r="C57" s="37"/>
    </row>
    <row r="58" spans="2:3">
      <c r="B58" s="37" t="s">
        <v>27</v>
      </c>
      <c r="C58" s="37"/>
    </row>
    <row r="59" spans="2:3">
      <c r="B59" s="37" t="s">
        <v>18</v>
      </c>
      <c r="C59" s="37"/>
    </row>
    <row r="60" spans="2:3">
      <c r="B60" s="37" t="s">
        <v>28</v>
      </c>
      <c r="C60" s="37"/>
    </row>
    <row r="61" spans="2:2">
      <c r="B61" s="40"/>
    </row>
    <row r="62" spans="2:3">
      <c r="B62" s="36" t="s">
        <v>29</v>
      </c>
      <c r="C62" s="36"/>
    </row>
    <row r="63" spans="2:3">
      <c r="B63" s="37" t="s">
        <v>18</v>
      </c>
      <c r="C63" s="37"/>
    </row>
    <row r="64" spans="2:3">
      <c r="B64" s="37" t="s">
        <v>21</v>
      </c>
      <c r="C64" s="37"/>
    </row>
    <row r="65" spans="2:3">
      <c r="B65" s="37" t="s">
        <v>22</v>
      </c>
      <c r="C65" s="37"/>
    </row>
    <row r="66" spans="2:3">
      <c r="B66" s="37" t="s">
        <v>23</v>
      </c>
      <c r="C66" s="37"/>
    </row>
    <row r="67" spans="2:3">
      <c r="B67" s="37" t="s">
        <v>19</v>
      </c>
      <c r="C67" s="37"/>
    </row>
    <row r="68" spans="2:3">
      <c r="B68" s="37" t="s">
        <v>28</v>
      </c>
      <c r="C68" s="37"/>
    </row>
  </sheetData>
  <mergeCells count="158">
    <mergeCell ref="W3:X3"/>
    <mergeCell ref="Y3:Z3"/>
    <mergeCell ref="W4:X4"/>
    <mergeCell ref="Y4:Z4"/>
    <mergeCell ref="C5:V5"/>
    <mergeCell ref="W5:Z5"/>
    <mergeCell ref="A6:Z6"/>
    <mergeCell ref="A7:L7"/>
    <mergeCell ref="N7:Z7"/>
    <mergeCell ref="A11:B11"/>
    <mergeCell ref="N11:O11"/>
    <mergeCell ref="X11:Y11"/>
    <mergeCell ref="A12:B12"/>
    <mergeCell ref="N12:O12"/>
    <mergeCell ref="X12:Y12"/>
    <mergeCell ref="A13:B13"/>
    <mergeCell ref="N13:O13"/>
    <mergeCell ref="X13:Y13"/>
    <mergeCell ref="A14:B14"/>
    <mergeCell ref="N14:O14"/>
    <mergeCell ref="X14:Y14"/>
    <mergeCell ref="A15:B15"/>
    <mergeCell ref="N15:O15"/>
    <mergeCell ref="X15:Y15"/>
    <mergeCell ref="A16:B16"/>
    <mergeCell ref="N16:O16"/>
    <mergeCell ref="X16:Y16"/>
    <mergeCell ref="A17:B17"/>
    <mergeCell ref="N17:O17"/>
    <mergeCell ref="X17:Y17"/>
    <mergeCell ref="A18:B18"/>
    <mergeCell ref="N18:O18"/>
    <mergeCell ref="X18:Y18"/>
    <mergeCell ref="A19:B19"/>
    <mergeCell ref="N19:O19"/>
    <mergeCell ref="X19:Y19"/>
    <mergeCell ref="A20:B20"/>
    <mergeCell ref="N20:O20"/>
    <mergeCell ref="X20:Y20"/>
    <mergeCell ref="A21:B21"/>
    <mergeCell ref="N21:O21"/>
    <mergeCell ref="X21:Y21"/>
    <mergeCell ref="A22:B22"/>
    <mergeCell ref="N22:O22"/>
    <mergeCell ref="X22:Y22"/>
    <mergeCell ref="A23:B23"/>
    <mergeCell ref="N23:O23"/>
    <mergeCell ref="X23:Y23"/>
    <mergeCell ref="A24:B24"/>
    <mergeCell ref="N24:O24"/>
    <mergeCell ref="X24:Y24"/>
    <mergeCell ref="A25:B25"/>
    <mergeCell ref="N25:O25"/>
    <mergeCell ref="X25:Y25"/>
    <mergeCell ref="A26:B26"/>
    <mergeCell ref="N26:O26"/>
    <mergeCell ref="X26:Y26"/>
    <mergeCell ref="A27:B27"/>
    <mergeCell ref="N27:O27"/>
    <mergeCell ref="X27:Y27"/>
    <mergeCell ref="A28:B28"/>
    <mergeCell ref="N28:O28"/>
    <mergeCell ref="X28:Y28"/>
    <mergeCell ref="A29:B29"/>
    <mergeCell ref="N29:O29"/>
    <mergeCell ref="X29:Y29"/>
    <mergeCell ref="A30:B30"/>
    <mergeCell ref="N30:O30"/>
    <mergeCell ref="X30:Y30"/>
    <mergeCell ref="A31:B31"/>
    <mergeCell ref="N31:O31"/>
    <mergeCell ref="X31:Y31"/>
    <mergeCell ref="A32:B32"/>
    <mergeCell ref="N32:O32"/>
    <mergeCell ref="X32:Y32"/>
    <mergeCell ref="A33:B33"/>
    <mergeCell ref="N33:O33"/>
    <mergeCell ref="X33:Y33"/>
    <mergeCell ref="A34:B34"/>
    <mergeCell ref="N34:O34"/>
    <mergeCell ref="X34:Y34"/>
    <mergeCell ref="A35:B35"/>
    <mergeCell ref="N35:O35"/>
    <mergeCell ref="X35:Y35"/>
    <mergeCell ref="A36:B36"/>
    <mergeCell ref="N36:O36"/>
    <mergeCell ref="X36:Y36"/>
    <mergeCell ref="A37:B37"/>
    <mergeCell ref="N37:O37"/>
    <mergeCell ref="X37:Y37"/>
    <mergeCell ref="A38:B38"/>
    <mergeCell ref="N38:O38"/>
    <mergeCell ref="X38:Y38"/>
    <mergeCell ref="A39:B39"/>
    <mergeCell ref="N39:O39"/>
    <mergeCell ref="X39:Y39"/>
    <mergeCell ref="A40:B40"/>
    <mergeCell ref="N40:O40"/>
    <mergeCell ref="X40:Y40"/>
    <mergeCell ref="A41:B41"/>
    <mergeCell ref="N41:O41"/>
    <mergeCell ref="X41:Y41"/>
    <mergeCell ref="A42:B42"/>
    <mergeCell ref="N42:O42"/>
    <mergeCell ref="X42:Y42"/>
    <mergeCell ref="A43:B43"/>
    <mergeCell ref="N43:O43"/>
    <mergeCell ref="X43:Y43"/>
    <mergeCell ref="A44:B44"/>
    <mergeCell ref="N44:O44"/>
    <mergeCell ref="X44:Y44"/>
    <mergeCell ref="A45:B45"/>
    <mergeCell ref="N45:O45"/>
    <mergeCell ref="X45:Y45"/>
    <mergeCell ref="A46:B46"/>
    <mergeCell ref="N46:O46"/>
    <mergeCell ref="X46:Y46"/>
    <mergeCell ref="A47:C47"/>
    <mergeCell ref="N47:O47"/>
    <mergeCell ref="X47:Y47"/>
    <mergeCell ref="B56:C56"/>
    <mergeCell ref="B57:C57"/>
    <mergeCell ref="B58:C58"/>
    <mergeCell ref="B59:C59"/>
    <mergeCell ref="B60:C60"/>
    <mergeCell ref="B62:C62"/>
    <mergeCell ref="B63:C63"/>
    <mergeCell ref="B64:C64"/>
    <mergeCell ref="B65:C65"/>
    <mergeCell ref="B66:C66"/>
    <mergeCell ref="B67:C67"/>
    <mergeCell ref="B68:C68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P8:P10"/>
    <mergeCell ref="Q8:Q10"/>
    <mergeCell ref="R8:R10"/>
    <mergeCell ref="S8:S10"/>
    <mergeCell ref="T8:T10"/>
    <mergeCell ref="U8:U10"/>
    <mergeCell ref="V8:V10"/>
    <mergeCell ref="W8:W10"/>
    <mergeCell ref="Z8:Z10"/>
    <mergeCell ref="A1:B5"/>
    <mergeCell ref="A8:B10"/>
    <mergeCell ref="C1:V4"/>
    <mergeCell ref="W1:X2"/>
    <mergeCell ref="Y1:Z2"/>
    <mergeCell ref="N8:O10"/>
    <mergeCell ref="X8:Y10"/>
  </mergeCells>
  <pageMargins left="0.251388888888889" right="0.251388888888889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69"/>
  <sheetViews>
    <sheetView zoomScale="80" zoomScaleNormal="80" zoomScalePageLayoutView="80" zoomScaleSheetLayoutView="70" topLeftCell="A6" workbookViewId="0">
      <pane ySplit="5" topLeftCell="A11" activePane="bottomLeft" state="frozen"/>
      <selection/>
      <selection pane="bottomLeft" activeCell="C20" sqref="C20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12.0380952380952" customWidth="1"/>
    <col min="4" max="4" width="14.9619047619048" customWidth="1"/>
    <col min="5" max="5" width="12.9333333333333" customWidth="1"/>
    <col min="6" max="6" width="8.85714285714286" customWidth="1"/>
    <col min="7" max="7" width="10.5714285714286" customWidth="1"/>
    <col min="8" max="8" width="10.247619047619" customWidth="1"/>
    <col min="9" max="9" width="11.4190476190476" customWidth="1"/>
    <col min="10" max="10" width="10.4285714285714" customWidth="1"/>
    <col min="11" max="11" width="9.74285714285714" customWidth="1"/>
    <col min="12" max="12" width="9.85714285714286" customWidth="1"/>
    <col min="13" max="13" width="3.25714285714286" style="75" customWidth="1"/>
    <col min="14" max="14" width="9.14285714285714" customWidth="1"/>
    <col min="15" max="15" width="8.57142857142857" customWidth="1"/>
    <col min="16" max="16" width="12.4285714285714" customWidth="1"/>
    <col min="17" max="17" width="11.4285714285714" customWidth="1"/>
    <col min="18" max="18" width="8.85714285714286" customWidth="1"/>
    <col min="19" max="19" width="10.5714285714286" customWidth="1"/>
    <col min="20" max="20" width="11.2571428571429" customWidth="1"/>
    <col min="21" max="21" width="11.4190476190476" customWidth="1"/>
    <col min="22" max="22" width="10.247619047619" customWidth="1"/>
    <col min="23" max="23" width="13.4380952380952" customWidth="1"/>
    <col min="24" max="24" width="7.05714285714286" customWidth="1"/>
    <col min="25" max="25" width="7.14285714285714" customWidth="1"/>
    <col min="26" max="26" width="14.2857142857143" customWidth="1"/>
    <col min="27" max="32" width="6.71428571428571" customWidth="1"/>
  </cols>
  <sheetData>
    <row r="1" spans="1:26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169"/>
      <c r="N1" s="3"/>
      <c r="O1" s="3"/>
      <c r="P1" s="3"/>
      <c r="Q1" s="3"/>
      <c r="R1" s="3"/>
      <c r="S1" s="3"/>
      <c r="T1" s="3"/>
      <c r="U1" s="3"/>
      <c r="V1" s="50"/>
      <c r="W1" s="189" t="s">
        <v>1</v>
      </c>
      <c r="X1" s="190"/>
      <c r="Y1" s="191" t="s">
        <v>2</v>
      </c>
      <c r="Z1" s="191"/>
    </row>
    <row r="2" ht="23" customHeight="1" spans="1:26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170"/>
      <c r="N2" s="6"/>
      <c r="O2" s="6"/>
      <c r="P2" s="6"/>
      <c r="Q2" s="6"/>
      <c r="R2" s="6"/>
      <c r="S2" s="6"/>
      <c r="T2" s="6"/>
      <c r="U2" s="6"/>
      <c r="V2" s="54"/>
      <c r="W2" s="192"/>
      <c r="X2" s="193"/>
      <c r="Y2" s="191"/>
      <c r="Z2" s="191"/>
    </row>
    <row r="3" ht="26" customHeight="1" spans="1:26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170"/>
      <c r="N3" s="6"/>
      <c r="O3" s="6"/>
      <c r="P3" s="6"/>
      <c r="Q3" s="6"/>
      <c r="R3" s="6"/>
      <c r="S3" s="6"/>
      <c r="T3" s="6"/>
      <c r="U3" s="6"/>
      <c r="V3" s="54"/>
      <c r="W3" s="194" t="s">
        <v>31</v>
      </c>
      <c r="X3" s="195"/>
      <c r="Y3" s="311" t="s">
        <v>36</v>
      </c>
      <c r="Z3" s="191"/>
    </row>
    <row r="4" ht="24" customHeight="1" spans="1:26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171"/>
      <c r="N4" s="7"/>
      <c r="O4" s="7"/>
      <c r="P4" s="7"/>
      <c r="Q4" s="7"/>
      <c r="R4" s="7"/>
      <c r="S4" s="7"/>
      <c r="T4" s="7"/>
      <c r="U4" s="7"/>
      <c r="V4" s="59"/>
      <c r="W4" s="194" t="s">
        <v>32</v>
      </c>
      <c r="X4" s="195"/>
      <c r="Y4" s="196">
        <v>45607</v>
      </c>
      <c r="Z4" s="196"/>
    </row>
    <row r="5" ht="19" customHeight="1" spans="1:26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172"/>
      <c r="N5" s="82"/>
      <c r="O5" s="82"/>
      <c r="P5" s="82"/>
      <c r="Q5" s="82"/>
      <c r="R5" s="82"/>
      <c r="S5" s="82"/>
      <c r="T5" s="82"/>
      <c r="U5" s="82"/>
      <c r="V5" s="119"/>
      <c r="W5" s="197" t="s">
        <v>7</v>
      </c>
      <c r="X5" s="197"/>
      <c r="Y5" s="197"/>
      <c r="Z5" s="198"/>
    </row>
    <row r="6" ht="20" customHeight="1" spans="1:32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12"/>
      <c r="AB6" s="12"/>
      <c r="AC6" s="12"/>
      <c r="AD6" s="12"/>
      <c r="AE6" s="12"/>
      <c r="AF6" s="12"/>
    </row>
    <row r="7" ht="21" customHeight="1" spans="1:32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73"/>
      <c r="M7" s="174"/>
      <c r="N7" s="175" t="s">
        <v>9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72"/>
      <c r="AB7" s="72"/>
      <c r="AC7" s="72"/>
      <c r="AD7" s="72"/>
      <c r="AE7" s="72"/>
      <c r="AF7" s="73"/>
    </row>
    <row r="8" ht="15.75" spans="1:26">
      <c r="A8" s="128" t="s">
        <v>10</v>
      </c>
      <c r="B8" s="129"/>
      <c r="C8" s="86" t="s">
        <v>11</v>
      </c>
      <c r="D8" s="85" t="s">
        <v>12</v>
      </c>
      <c r="E8" s="85" t="s">
        <v>13</v>
      </c>
      <c r="F8" s="86" t="s">
        <v>14</v>
      </c>
      <c r="G8" s="86" t="s">
        <v>15</v>
      </c>
      <c r="H8" s="86" t="s">
        <v>16</v>
      </c>
      <c r="I8" s="86" t="s">
        <v>17</v>
      </c>
      <c r="J8" s="85" t="s">
        <v>18</v>
      </c>
      <c r="K8" s="85" t="s">
        <v>19</v>
      </c>
      <c r="L8" s="85" t="s">
        <v>20</v>
      </c>
      <c r="M8" s="176"/>
      <c r="N8" s="86" t="s">
        <v>11</v>
      </c>
      <c r="O8" s="86"/>
      <c r="P8" s="86" t="s">
        <v>12</v>
      </c>
      <c r="Q8" s="86" t="s">
        <v>13</v>
      </c>
      <c r="R8" s="86" t="s">
        <v>14</v>
      </c>
      <c r="S8" s="86" t="s">
        <v>15</v>
      </c>
      <c r="T8" s="86" t="s">
        <v>18</v>
      </c>
      <c r="U8" s="86" t="s">
        <v>21</v>
      </c>
      <c r="V8" s="86" t="s">
        <v>22</v>
      </c>
      <c r="W8" s="86" t="s">
        <v>23</v>
      </c>
      <c r="X8" s="85" t="s">
        <v>19</v>
      </c>
      <c r="Y8" s="85"/>
      <c r="Z8" s="85" t="s">
        <v>20</v>
      </c>
    </row>
    <row r="9" ht="15.75" spans="1:26">
      <c r="A9" s="130"/>
      <c r="B9" s="131"/>
      <c r="C9" s="86"/>
      <c r="D9" s="85"/>
      <c r="E9" s="85"/>
      <c r="F9" s="86"/>
      <c r="G9" s="86"/>
      <c r="H9" s="86"/>
      <c r="I9" s="86"/>
      <c r="J9" s="85"/>
      <c r="K9" s="85"/>
      <c r="L9" s="85"/>
      <c r="M9" s="176"/>
      <c r="N9" s="86"/>
      <c r="O9" s="86"/>
      <c r="P9" s="86"/>
      <c r="Q9" s="86"/>
      <c r="R9" s="86"/>
      <c r="S9" s="86"/>
      <c r="T9" s="86"/>
      <c r="U9" s="86"/>
      <c r="V9" s="86"/>
      <c r="W9" s="86"/>
      <c r="X9" s="85"/>
      <c r="Y9" s="85"/>
      <c r="Z9" s="85"/>
    </row>
    <row r="10" ht="15.75" spans="1:26">
      <c r="A10" s="132"/>
      <c r="B10" s="133"/>
      <c r="C10" s="86"/>
      <c r="D10" s="85"/>
      <c r="E10" s="85"/>
      <c r="F10" s="86"/>
      <c r="G10" s="86"/>
      <c r="H10" s="86"/>
      <c r="I10" s="86"/>
      <c r="J10" s="85"/>
      <c r="K10" s="85"/>
      <c r="L10" s="85"/>
      <c r="M10" s="17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/>
      <c r="Y10" s="85"/>
      <c r="Z10" s="85"/>
    </row>
    <row r="11" ht="18.75" spans="1:26">
      <c r="A11" s="134">
        <v>45931</v>
      </c>
      <c r="B11" s="135"/>
      <c r="C11" s="206">
        <v>9602</v>
      </c>
      <c r="D11" s="207">
        <v>9427</v>
      </c>
      <c r="E11" s="207"/>
      <c r="F11" s="207">
        <v>175</v>
      </c>
      <c r="G11" s="208">
        <f>F11/C11*100</f>
        <v>1.82253697146428</v>
      </c>
      <c r="H11" s="207">
        <v>55</v>
      </c>
      <c r="I11" s="207">
        <v>100</v>
      </c>
      <c r="J11" s="207">
        <v>20</v>
      </c>
      <c r="K11" s="207"/>
      <c r="L11" s="207"/>
      <c r="M11" s="185"/>
      <c r="N11" s="206">
        <v>12019</v>
      </c>
      <c r="O11" s="215"/>
      <c r="P11" s="207">
        <v>11157</v>
      </c>
      <c r="Q11" s="207"/>
      <c r="R11" s="207">
        <v>62</v>
      </c>
      <c r="S11" s="208">
        <f>R11/N11*100</f>
        <v>0.515849904318163</v>
      </c>
      <c r="T11" s="207">
        <v>6</v>
      </c>
      <c r="U11" s="207"/>
      <c r="V11" s="207"/>
      <c r="W11" s="207">
        <v>55</v>
      </c>
      <c r="X11" s="206">
        <v>1</v>
      </c>
      <c r="Y11" s="215"/>
      <c r="Z11" s="207"/>
    </row>
    <row r="12" ht="18.75" spans="1:26">
      <c r="A12" s="209">
        <v>45932</v>
      </c>
      <c r="B12" s="210"/>
      <c r="C12" s="211" t="s">
        <v>45</v>
      </c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</row>
    <row r="13" ht="18.75" spans="1:26">
      <c r="A13" s="134">
        <v>45933</v>
      </c>
      <c r="B13" s="135"/>
      <c r="C13" s="212">
        <v>11083</v>
      </c>
      <c r="D13" s="213">
        <v>11011</v>
      </c>
      <c r="E13" s="213"/>
      <c r="F13" s="213">
        <v>72</v>
      </c>
      <c r="G13" s="157">
        <f>F13/C13*100</f>
        <v>0.649643598303708</v>
      </c>
      <c r="H13" s="213">
        <v>70</v>
      </c>
      <c r="I13" s="213">
        <v>2</v>
      </c>
      <c r="J13" s="213"/>
      <c r="K13" s="213"/>
      <c r="L13" s="213"/>
      <c r="M13" s="185"/>
      <c r="N13" s="212">
        <v>11019</v>
      </c>
      <c r="O13" s="216"/>
      <c r="P13" s="213">
        <v>10857</v>
      </c>
      <c r="Q13" s="213"/>
      <c r="R13" s="213">
        <v>162</v>
      </c>
      <c r="S13" s="157">
        <f>R13/N13*100</f>
        <v>1.47018785733733</v>
      </c>
      <c r="T13" s="213">
        <v>7</v>
      </c>
      <c r="U13" s="213">
        <v>53</v>
      </c>
      <c r="V13" s="213"/>
      <c r="W13" s="213">
        <v>102</v>
      </c>
      <c r="X13" s="212"/>
      <c r="Y13" s="216"/>
      <c r="Z13" s="213"/>
    </row>
    <row r="14" ht="18.75" spans="1:26">
      <c r="A14" s="134">
        <v>45934</v>
      </c>
      <c r="B14" s="135"/>
      <c r="C14" s="212">
        <v>10522</v>
      </c>
      <c r="D14" s="213">
        <v>10377</v>
      </c>
      <c r="E14" s="213"/>
      <c r="F14" s="213">
        <v>145</v>
      </c>
      <c r="G14" s="157">
        <f>F14/C14*100</f>
        <v>1.37806500665273</v>
      </c>
      <c r="H14" s="213">
        <v>142</v>
      </c>
      <c r="I14" s="213">
        <v>1</v>
      </c>
      <c r="J14" s="213"/>
      <c r="K14" s="213"/>
      <c r="L14" s="213"/>
      <c r="M14" s="185"/>
      <c r="N14" s="212">
        <v>10377</v>
      </c>
      <c r="O14" s="216"/>
      <c r="P14" s="213">
        <v>10345</v>
      </c>
      <c r="Q14" s="213"/>
      <c r="R14" s="213">
        <v>32</v>
      </c>
      <c r="S14" s="157">
        <f>R14/N14*100</f>
        <v>0.30837428929363</v>
      </c>
      <c r="T14" s="213"/>
      <c r="U14" s="213">
        <v>2</v>
      </c>
      <c r="V14" s="213"/>
      <c r="W14" s="213">
        <v>30</v>
      </c>
      <c r="X14" s="212"/>
      <c r="Y14" s="216"/>
      <c r="Z14" s="213"/>
    </row>
    <row r="15" ht="25" customHeight="1" spans="1:26">
      <c r="A15" s="136" t="s">
        <v>38</v>
      </c>
      <c r="B15" s="137"/>
      <c r="C15" s="89">
        <f>SUM(C11:C14)</f>
        <v>31207</v>
      </c>
      <c r="D15" s="89">
        <f>SUM(D11:D14)</f>
        <v>30815</v>
      </c>
      <c r="E15" s="89">
        <f>SUM(E11:E14)</f>
        <v>0</v>
      </c>
      <c r="F15" s="89">
        <f>SUM(F11:F14)</f>
        <v>392</v>
      </c>
      <c r="G15" s="90">
        <f t="shared" ref="G15:G47" si="0">F15/C15*100</f>
        <v>1.25612843272343</v>
      </c>
      <c r="H15" s="89">
        <f>SUM(H11:H14)</f>
        <v>267</v>
      </c>
      <c r="I15" s="89">
        <f>SUM(I11:I14)</f>
        <v>103</v>
      </c>
      <c r="J15" s="89">
        <f>SUM(J11:J14)</f>
        <v>20</v>
      </c>
      <c r="K15" s="89">
        <f>SUM(K11:K14)</f>
        <v>0</v>
      </c>
      <c r="L15" s="89">
        <f>SUM(L11:L14)</f>
        <v>0</v>
      </c>
      <c r="M15" s="178"/>
      <c r="N15" s="89">
        <f>SUM(N11:O14)</f>
        <v>33415</v>
      </c>
      <c r="O15" s="178"/>
      <c r="P15" s="89">
        <f>SUM(P11:P14)</f>
        <v>32359</v>
      </c>
      <c r="Q15" s="89">
        <f>SUM(Q11:Q14)</f>
        <v>0</v>
      </c>
      <c r="R15" s="89">
        <f>SUM(R11:R14)</f>
        <v>256</v>
      </c>
      <c r="S15" s="90">
        <f t="shared" ref="S15:S47" si="1">R15/N15*100</f>
        <v>0.766122998653299</v>
      </c>
      <c r="T15" s="89">
        <f>SUM(T11:T14)</f>
        <v>13</v>
      </c>
      <c r="U15" s="89">
        <f>SUM(U11:U14)</f>
        <v>55</v>
      </c>
      <c r="V15" s="89">
        <f>SUM(V11:V14)</f>
        <v>0</v>
      </c>
      <c r="W15" s="89">
        <f>SUM(W11:W14)</f>
        <v>187</v>
      </c>
      <c r="X15" s="204">
        <f>SUM(X11:Y14)</f>
        <v>1</v>
      </c>
      <c r="Y15" s="224"/>
      <c r="Z15" s="89">
        <f>SUM(Z11:Z14)</f>
        <v>0</v>
      </c>
    </row>
    <row r="16" ht="25" customHeight="1" spans="1:26">
      <c r="A16" s="138">
        <v>45935</v>
      </c>
      <c r="B16" s="139"/>
      <c r="C16" s="158"/>
      <c r="D16" s="159"/>
      <c r="E16" s="159"/>
      <c r="F16" s="159"/>
      <c r="G16" s="93" t="e">
        <f t="shared" si="0"/>
        <v>#DIV/0!</v>
      </c>
      <c r="H16" s="159"/>
      <c r="I16" s="159"/>
      <c r="J16" s="159"/>
      <c r="K16" s="159"/>
      <c r="L16" s="159"/>
      <c r="M16" s="186"/>
      <c r="N16" s="158"/>
      <c r="O16" s="217"/>
      <c r="P16" s="159"/>
      <c r="Q16" s="159"/>
      <c r="R16" s="159"/>
      <c r="S16" s="93" t="e">
        <f t="shared" si="1"/>
        <v>#DIV/0!</v>
      </c>
      <c r="T16" s="159"/>
      <c r="U16" s="159"/>
      <c r="V16" s="159"/>
      <c r="W16" s="159"/>
      <c r="X16" s="158"/>
      <c r="Y16" s="217"/>
      <c r="Z16" s="159"/>
    </row>
    <row r="17" ht="25" customHeight="1" spans="1:26">
      <c r="A17" s="140">
        <v>45936</v>
      </c>
      <c r="B17" s="141"/>
      <c r="C17" s="25">
        <v>10913</v>
      </c>
      <c r="D17" s="25">
        <v>10724</v>
      </c>
      <c r="E17" s="25"/>
      <c r="F17" s="25">
        <v>189</v>
      </c>
      <c r="G17" s="26">
        <f t="shared" si="0"/>
        <v>1.73187940987813</v>
      </c>
      <c r="H17" s="25">
        <v>182</v>
      </c>
      <c r="I17" s="25">
        <v>7</v>
      </c>
      <c r="J17" s="25"/>
      <c r="K17" s="25"/>
      <c r="L17" s="25"/>
      <c r="M17" s="177"/>
      <c r="N17" s="25">
        <v>10724</v>
      </c>
      <c r="O17" s="25"/>
      <c r="P17" s="25">
        <v>10677</v>
      </c>
      <c r="Q17" s="25"/>
      <c r="R17" s="25">
        <v>47</v>
      </c>
      <c r="S17" s="26">
        <f t="shared" si="1"/>
        <v>0.438269302499068</v>
      </c>
      <c r="T17" s="25">
        <v>18</v>
      </c>
      <c r="U17" s="25">
        <v>4</v>
      </c>
      <c r="V17" s="25">
        <v>2</v>
      </c>
      <c r="W17" s="25">
        <v>23</v>
      </c>
      <c r="X17" s="25"/>
      <c r="Y17" s="25"/>
      <c r="Z17" s="25"/>
    </row>
    <row r="18" ht="25" customHeight="1" spans="1:26">
      <c r="A18" s="140">
        <v>45937</v>
      </c>
      <c r="B18" s="141"/>
      <c r="C18" s="25">
        <v>9571</v>
      </c>
      <c r="D18" s="25">
        <v>9230</v>
      </c>
      <c r="E18" s="25"/>
      <c r="F18" s="25">
        <v>69</v>
      </c>
      <c r="G18" s="26">
        <f t="shared" si="0"/>
        <v>0.720927802737436</v>
      </c>
      <c r="H18" s="25">
        <v>67</v>
      </c>
      <c r="I18" s="25">
        <v>2</v>
      </c>
      <c r="J18" s="25"/>
      <c r="K18" s="25"/>
      <c r="L18" s="25"/>
      <c r="M18" s="177"/>
      <c r="N18" s="25">
        <v>9230</v>
      </c>
      <c r="O18" s="25"/>
      <c r="P18" s="25">
        <v>9217</v>
      </c>
      <c r="Q18" s="25"/>
      <c r="R18" s="25">
        <v>13</v>
      </c>
      <c r="S18" s="26">
        <f t="shared" si="1"/>
        <v>0.140845070422535</v>
      </c>
      <c r="T18" s="25"/>
      <c r="U18" s="25"/>
      <c r="V18" s="25"/>
      <c r="W18" s="25">
        <v>12</v>
      </c>
      <c r="X18" s="25">
        <v>1</v>
      </c>
      <c r="Y18" s="25"/>
      <c r="Z18" s="25"/>
    </row>
    <row r="19" ht="25" customHeight="1" spans="1:26">
      <c r="A19" s="140">
        <v>45938</v>
      </c>
      <c r="B19" s="141"/>
      <c r="C19" s="142">
        <v>7944</v>
      </c>
      <c r="D19" s="95">
        <v>7841</v>
      </c>
      <c r="E19" s="95"/>
      <c r="F19" s="95">
        <v>103</v>
      </c>
      <c r="G19" s="26">
        <f t="shared" si="0"/>
        <v>1.29657603222558</v>
      </c>
      <c r="H19" s="27">
        <v>78</v>
      </c>
      <c r="I19" s="27">
        <v>23</v>
      </c>
      <c r="J19" s="27">
        <v>2</v>
      </c>
      <c r="K19" s="27"/>
      <c r="L19" s="27"/>
      <c r="M19" s="179"/>
      <c r="N19" s="65">
        <v>7841</v>
      </c>
      <c r="O19" s="66"/>
      <c r="P19" s="27">
        <v>7723</v>
      </c>
      <c r="Q19" s="27"/>
      <c r="R19" s="27">
        <v>118</v>
      </c>
      <c r="S19" s="120">
        <f t="shared" si="1"/>
        <v>1.50491008799898</v>
      </c>
      <c r="T19" s="27">
        <v>56</v>
      </c>
      <c r="U19" s="27"/>
      <c r="V19" s="27">
        <v>1</v>
      </c>
      <c r="W19" s="27">
        <v>59</v>
      </c>
      <c r="X19" s="65">
        <v>2</v>
      </c>
      <c r="Y19" s="66"/>
      <c r="Z19" s="27"/>
    </row>
    <row r="20" ht="25" customHeight="1" spans="1:26">
      <c r="A20" s="140">
        <v>45939</v>
      </c>
      <c r="B20" s="141"/>
      <c r="C20" s="27">
        <v>7894</v>
      </c>
      <c r="D20" s="27">
        <v>7688</v>
      </c>
      <c r="E20" s="27"/>
      <c r="F20" s="27">
        <v>206</v>
      </c>
      <c r="G20" s="26">
        <f t="shared" si="0"/>
        <v>2.60957689384343</v>
      </c>
      <c r="H20" s="27">
        <v>85</v>
      </c>
      <c r="I20" s="27">
        <v>93</v>
      </c>
      <c r="J20" s="27">
        <v>28</v>
      </c>
      <c r="K20" s="27"/>
      <c r="L20" s="27"/>
      <c r="M20" s="177"/>
      <c r="N20" s="65">
        <v>7707</v>
      </c>
      <c r="O20" s="66"/>
      <c r="P20" s="27">
        <v>7394</v>
      </c>
      <c r="Q20" s="27"/>
      <c r="R20" s="27">
        <v>313</v>
      </c>
      <c r="S20" s="26">
        <f t="shared" si="1"/>
        <v>4.06124302582068</v>
      </c>
      <c r="T20" s="27">
        <v>191</v>
      </c>
      <c r="U20" s="27"/>
      <c r="V20" s="27"/>
      <c r="W20" s="27">
        <v>122</v>
      </c>
      <c r="X20" s="65"/>
      <c r="Y20" s="66"/>
      <c r="Z20" s="27"/>
    </row>
    <row r="21" ht="25" customHeight="1" spans="1:26">
      <c r="A21" s="140">
        <v>45940</v>
      </c>
      <c r="B21" s="141"/>
      <c r="C21" s="143">
        <v>7181</v>
      </c>
      <c r="D21" s="143">
        <v>7065</v>
      </c>
      <c r="E21" s="143"/>
      <c r="F21" s="143">
        <v>116</v>
      </c>
      <c r="G21" s="144">
        <f t="shared" si="0"/>
        <v>1.61537390335608</v>
      </c>
      <c r="H21" s="143">
        <v>114</v>
      </c>
      <c r="I21" s="143"/>
      <c r="J21" s="143">
        <v>2</v>
      </c>
      <c r="K21" s="143"/>
      <c r="L21" s="143"/>
      <c r="M21" s="180"/>
      <c r="N21" s="181">
        <v>7046</v>
      </c>
      <c r="O21" s="218"/>
      <c r="P21" s="143">
        <v>6996</v>
      </c>
      <c r="Q21" s="143"/>
      <c r="R21" s="143">
        <v>50</v>
      </c>
      <c r="S21" s="144">
        <f t="shared" si="1"/>
        <v>0.709622480840193</v>
      </c>
      <c r="T21" s="143">
        <v>18</v>
      </c>
      <c r="U21" s="143"/>
      <c r="V21" s="143"/>
      <c r="W21" s="143">
        <v>31</v>
      </c>
      <c r="X21" s="181">
        <v>1</v>
      </c>
      <c r="Y21" s="218"/>
      <c r="Z21" s="143"/>
    </row>
    <row r="22" ht="25" customHeight="1" spans="1:26">
      <c r="A22" s="140">
        <v>45941</v>
      </c>
      <c r="B22" s="141"/>
      <c r="C22" s="145">
        <v>7578</v>
      </c>
      <c r="D22" s="96">
        <v>7479</v>
      </c>
      <c r="E22" s="96"/>
      <c r="F22" s="96">
        <v>99</v>
      </c>
      <c r="G22" s="146">
        <f t="shared" si="0"/>
        <v>1.30641330166271</v>
      </c>
      <c r="H22" s="96">
        <v>86</v>
      </c>
      <c r="I22" s="96">
        <v>8</v>
      </c>
      <c r="J22" s="96">
        <v>5</v>
      </c>
      <c r="K22" s="96"/>
      <c r="L22" s="96"/>
      <c r="M22" s="96"/>
      <c r="N22" s="145">
        <v>7479</v>
      </c>
      <c r="O22" s="219"/>
      <c r="P22" s="96">
        <v>7361</v>
      </c>
      <c r="Q22" s="96"/>
      <c r="R22" s="96">
        <v>118</v>
      </c>
      <c r="S22" s="146">
        <f t="shared" si="1"/>
        <v>1.57775103623479</v>
      </c>
      <c r="T22" s="96"/>
      <c r="U22" s="96"/>
      <c r="V22" s="96"/>
      <c r="W22" s="199">
        <v>74</v>
      </c>
      <c r="X22" s="200">
        <v>44</v>
      </c>
      <c r="Y22" s="225"/>
      <c r="Z22" s="96"/>
    </row>
    <row r="23" customFormat="1" ht="25" customHeight="1" spans="1:26">
      <c r="A23" s="147" t="s">
        <v>39</v>
      </c>
      <c r="B23" s="148"/>
      <c r="C23" s="149">
        <f>SUM(C16:C22)</f>
        <v>51081</v>
      </c>
      <c r="D23" s="149">
        <f t="shared" ref="D23:F23" si="2">SUM(D16:D22)</f>
        <v>50027</v>
      </c>
      <c r="E23" s="149">
        <f t="shared" si="2"/>
        <v>0</v>
      </c>
      <c r="F23" s="149">
        <f t="shared" si="2"/>
        <v>782</v>
      </c>
      <c r="G23" s="150">
        <f t="shared" si="0"/>
        <v>1.53090190090249</v>
      </c>
      <c r="H23" s="149">
        <f t="shared" ref="H23:L23" si="3">SUM(H16:H22)</f>
        <v>612</v>
      </c>
      <c r="I23" s="149">
        <f t="shared" si="3"/>
        <v>133</v>
      </c>
      <c r="J23" s="149">
        <f t="shared" si="3"/>
        <v>37</v>
      </c>
      <c r="K23" s="149">
        <f t="shared" si="3"/>
        <v>0</v>
      </c>
      <c r="L23" s="149">
        <f t="shared" si="3"/>
        <v>0</v>
      </c>
      <c r="M23" s="182"/>
      <c r="N23" s="149">
        <f>SUM(N16:O22)</f>
        <v>50027</v>
      </c>
      <c r="O23" s="182"/>
      <c r="P23" s="149">
        <f t="shared" ref="P23:R23" si="4">SUM(P16:P22)</f>
        <v>49368</v>
      </c>
      <c r="Q23" s="149">
        <f t="shared" si="4"/>
        <v>0</v>
      </c>
      <c r="R23" s="149">
        <f t="shared" si="4"/>
        <v>659</v>
      </c>
      <c r="S23" s="150">
        <f t="shared" si="1"/>
        <v>1.31728866412137</v>
      </c>
      <c r="T23" s="149">
        <f>SUM(T16:T22)</f>
        <v>283</v>
      </c>
      <c r="U23" s="149">
        <f t="shared" ref="T23:W23" si="5">SUM(U16:U22)</f>
        <v>4</v>
      </c>
      <c r="V23" s="149">
        <f t="shared" si="5"/>
        <v>3</v>
      </c>
      <c r="W23" s="98">
        <f t="shared" si="5"/>
        <v>321</v>
      </c>
      <c r="X23" s="98">
        <f>SUM(X16:Y22)</f>
        <v>48</v>
      </c>
      <c r="Y23" s="98"/>
      <c r="Z23" s="149">
        <f>SUM(Z16:Z22)</f>
        <v>0</v>
      </c>
    </row>
    <row r="24" ht="25" customHeight="1" spans="1:26">
      <c r="A24" s="138">
        <v>45942</v>
      </c>
      <c r="B24" s="139"/>
      <c r="C24" s="100"/>
      <c r="D24" s="100"/>
      <c r="E24" s="100"/>
      <c r="F24" s="100"/>
      <c r="G24" s="101" t="e">
        <f t="shared" si="0"/>
        <v>#DIV/0!</v>
      </c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1" t="e">
        <f t="shared" si="1"/>
        <v>#DIV/0!</v>
      </c>
      <c r="T24" s="100"/>
      <c r="U24" s="100"/>
      <c r="V24" s="100"/>
      <c r="W24" s="100"/>
      <c r="X24" s="100"/>
      <c r="Y24" s="100"/>
      <c r="Z24" s="100"/>
    </row>
    <row r="25" ht="25" customHeight="1" spans="1:26">
      <c r="A25" s="140">
        <v>45943</v>
      </c>
      <c r="B25" s="141"/>
      <c r="C25" s="102">
        <v>8993</v>
      </c>
      <c r="D25" s="102">
        <v>8884</v>
      </c>
      <c r="E25" s="102"/>
      <c r="F25" s="102">
        <v>109</v>
      </c>
      <c r="G25" s="97">
        <f t="shared" si="0"/>
        <v>1.2120538196375</v>
      </c>
      <c r="H25" s="102">
        <v>97</v>
      </c>
      <c r="I25" s="102">
        <v>12</v>
      </c>
      <c r="J25" s="102"/>
      <c r="K25" s="102"/>
      <c r="L25" s="102"/>
      <c r="M25" s="96"/>
      <c r="N25" s="102">
        <v>8506</v>
      </c>
      <c r="O25" s="102"/>
      <c r="P25" s="102">
        <v>8402</v>
      </c>
      <c r="Q25" s="102"/>
      <c r="R25" s="102">
        <v>104</v>
      </c>
      <c r="S25" s="97">
        <f t="shared" si="1"/>
        <v>1.22266635316247</v>
      </c>
      <c r="T25" s="102">
        <v>2</v>
      </c>
      <c r="U25" s="102"/>
      <c r="V25" s="102"/>
      <c r="W25" s="102">
        <v>102</v>
      </c>
      <c r="X25" s="102"/>
      <c r="Y25" s="102"/>
      <c r="Z25" s="102"/>
    </row>
    <row r="26" ht="25" customHeight="1" spans="1:26">
      <c r="A26" s="140">
        <v>45944</v>
      </c>
      <c r="B26" s="141"/>
      <c r="C26" s="151">
        <v>7687</v>
      </c>
      <c r="D26" s="152">
        <v>7546</v>
      </c>
      <c r="E26" s="152"/>
      <c r="F26" s="152">
        <v>141</v>
      </c>
      <c r="G26" s="97">
        <f t="shared" si="0"/>
        <v>1.83426564329387</v>
      </c>
      <c r="H26" s="152">
        <v>111</v>
      </c>
      <c r="I26" s="152">
        <v>28</v>
      </c>
      <c r="J26" s="152">
        <v>2</v>
      </c>
      <c r="K26" s="152"/>
      <c r="L26" s="152"/>
      <c r="M26" s="183"/>
      <c r="N26" s="151">
        <v>7924</v>
      </c>
      <c r="O26" s="220"/>
      <c r="P26" s="152">
        <v>7812</v>
      </c>
      <c r="Q26" s="152"/>
      <c r="R26" s="152">
        <v>112</v>
      </c>
      <c r="S26" s="201">
        <f t="shared" si="1"/>
        <v>1.41342756183746</v>
      </c>
      <c r="T26" s="152">
        <v>24</v>
      </c>
      <c r="U26" s="152"/>
      <c r="V26" s="152"/>
      <c r="W26" s="152">
        <v>88</v>
      </c>
      <c r="X26" s="151"/>
      <c r="Y26" s="220"/>
      <c r="Z26" s="152"/>
    </row>
    <row r="27" ht="25" customHeight="1" spans="1:26">
      <c r="A27" s="140">
        <v>45945</v>
      </c>
      <c r="B27" s="141"/>
      <c r="C27" s="145">
        <v>7324</v>
      </c>
      <c r="D27" s="96">
        <v>7272</v>
      </c>
      <c r="E27" s="96"/>
      <c r="F27" s="96">
        <v>52</v>
      </c>
      <c r="G27" s="97">
        <f t="shared" si="0"/>
        <v>0.70999453850355</v>
      </c>
      <c r="H27" s="96">
        <v>46</v>
      </c>
      <c r="I27" s="96">
        <v>6</v>
      </c>
      <c r="J27" s="96"/>
      <c r="K27" s="96"/>
      <c r="L27" s="96"/>
      <c r="M27" s="96"/>
      <c r="N27" s="145">
        <v>7298</v>
      </c>
      <c r="O27" s="219"/>
      <c r="P27" s="96">
        <v>6897</v>
      </c>
      <c r="Q27" s="96"/>
      <c r="R27" s="96">
        <v>401</v>
      </c>
      <c r="S27" s="97">
        <f t="shared" si="1"/>
        <v>5.49465607015621</v>
      </c>
      <c r="T27" s="96">
        <v>45</v>
      </c>
      <c r="U27" s="96"/>
      <c r="V27" s="96"/>
      <c r="W27" s="96">
        <v>356</v>
      </c>
      <c r="X27" s="145"/>
      <c r="Y27" s="219"/>
      <c r="Z27" s="96"/>
    </row>
    <row r="28" ht="25" customHeight="1" spans="1:26">
      <c r="A28" s="140">
        <v>45946</v>
      </c>
      <c r="B28" s="141"/>
      <c r="C28" s="151">
        <v>6783</v>
      </c>
      <c r="D28" s="152">
        <v>6749</v>
      </c>
      <c r="E28" s="152"/>
      <c r="F28" s="152">
        <v>34</v>
      </c>
      <c r="G28" s="97">
        <f t="shared" si="0"/>
        <v>0.50125313283208</v>
      </c>
      <c r="H28" s="152">
        <v>31</v>
      </c>
      <c r="I28" s="152">
        <v>3</v>
      </c>
      <c r="J28" s="152"/>
      <c r="K28" s="152"/>
      <c r="L28" s="152"/>
      <c r="M28" s="183"/>
      <c r="N28" s="151">
        <v>6749</v>
      </c>
      <c r="O28" s="220"/>
      <c r="P28" s="152">
        <v>6709</v>
      </c>
      <c r="Q28" s="152"/>
      <c r="R28" s="152">
        <v>40</v>
      </c>
      <c r="S28" s="97">
        <f t="shared" si="1"/>
        <v>0.592680397095866</v>
      </c>
      <c r="T28" s="152"/>
      <c r="U28" s="152"/>
      <c r="V28" s="152"/>
      <c r="W28" s="152">
        <v>40</v>
      </c>
      <c r="X28" s="151"/>
      <c r="Y28" s="220"/>
      <c r="Z28" s="152"/>
    </row>
    <row r="29" ht="25" customHeight="1" spans="1:26">
      <c r="A29" s="140">
        <v>45947</v>
      </c>
      <c r="B29" s="141"/>
      <c r="C29" s="96">
        <v>6974</v>
      </c>
      <c r="D29" s="96">
        <v>6909</v>
      </c>
      <c r="E29" s="96"/>
      <c r="F29" s="96">
        <v>65</v>
      </c>
      <c r="G29" s="97">
        <f t="shared" si="0"/>
        <v>0.932033266418125</v>
      </c>
      <c r="H29" s="96">
        <v>35</v>
      </c>
      <c r="I29" s="96">
        <v>14</v>
      </c>
      <c r="J29" s="96">
        <v>16</v>
      </c>
      <c r="K29" s="96"/>
      <c r="L29" s="96"/>
      <c r="M29" s="96"/>
      <c r="N29" s="96">
        <v>6909</v>
      </c>
      <c r="O29" s="96"/>
      <c r="P29" s="96">
        <v>6867</v>
      </c>
      <c r="Q29" s="96"/>
      <c r="R29" s="96">
        <v>42</v>
      </c>
      <c r="S29" s="97">
        <f t="shared" si="1"/>
        <v>0.60790273556231</v>
      </c>
      <c r="T29" s="96">
        <v>9</v>
      </c>
      <c r="U29" s="96"/>
      <c r="V29" s="96"/>
      <c r="W29" s="96">
        <v>33</v>
      </c>
      <c r="X29" s="145"/>
      <c r="Y29" s="219"/>
      <c r="Z29" s="96"/>
    </row>
    <row r="30" ht="25" customHeight="1" spans="1:26">
      <c r="A30" s="140">
        <v>45948</v>
      </c>
      <c r="B30" s="141"/>
      <c r="C30" s="96">
        <v>4728</v>
      </c>
      <c r="D30" s="96">
        <v>4679</v>
      </c>
      <c r="E30" s="96"/>
      <c r="F30" s="96">
        <v>49</v>
      </c>
      <c r="G30" s="97">
        <f t="shared" si="0"/>
        <v>1.03637901861252</v>
      </c>
      <c r="H30" s="96">
        <v>14</v>
      </c>
      <c r="I30" s="96">
        <v>35</v>
      </c>
      <c r="J30" s="96"/>
      <c r="K30" s="96"/>
      <c r="L30" s="96"/>
      <c r="M30" s="96"/>
      <c r="N30" s="96">
        <v>4679</v>
      </c>
      <c r="O30" s="96"/>
      <c r="P30" s="96">
        <v>4630</v>
      </c>
      <c r="Q30" s="96"/>
      <c r="R30" s="96">
        <v>40</v>
      </c>
      <c r="S30" s="201">
        <f t="shared" si="1"/>
        <v>0.854883522120111</v>
      </c>
      <c r="T30" s="96"/>
      <c r="U30" s="96"/>
      <c r="V30" s="96"/>
      <c r="W30" s="96">
        <v>40</v>
      </c>
      <c r="X30" s="145"/>
      <c r="Y30" s="219"/>
      <c r="Z30" s="96"/>
    </row>
    <row r="31" customFormat="1" ht="25" customHeight="1" spans="1:26">
      <c r="A31" s="136" t="s">
        <v>40</v>
      </c>
      <c r="B31" s="137"/>
      <c r="C31" s="98">
        <f>SUM(C24:C30)</f>
        <v>42489</v>
      </c>
      <c r="D31" s="98">
        <f t="shared" ref="D31:F31" si="6">SUM(D24:D30)</f>
        <v>42039</v>
      </c>
      <c r="E31" s="98">
        <f t="shared" si="6"/>
        <v>0</v>
      </c>
      <c r="F31" s="98">
        <f t="shared" si="6"/>
        <v>450</v>
      </c>
      <c r="G31" s="99">
        <f t="shared" si="0"/>
        <v>1.05909764880322</v>
      </c>
      <c r="H31" s="98">
        <f t="shared" ref="H31:L31" si="7">SUM(H24:H30)</f>
        <v>334</v>
      </c>
      <c r="I31" s="98">
        <f t="shared" si="7"/>
        <v>98</v>
      </c>
      <c r="J31" s="98">
        <f t="shared" si="7"/>
        <v>18</v>
      </c>
      <c r="K31" s="98">
        <f t="shared" si="7"/>
        <v>0</v>
      </c>
      <c r="L31" s="98">
        <f t="shared" si="7"/>
        <v>0</v>
      </c>
      <c r="M31" s="184"/>
      <c r="N31" s="98">
        <f>SUM(N24:O30)</f>
        <v>42065</v>
      </c>
      <c r="O31" s="184"/>
      <c r="P31" s="98">
        <f t="shared" ref="P31:R31" si="8">SUM(P25:P30)</f>
        <v>41317</v>
      </c>
      <c r="Q31" s="98">
        <f t="shared" si="8"/>
        <v>0</v>
      </c>
      <c r="R31" s="98">
        <f t="shared" si="8"/>
        <v>739</v>
      </c>
      <c r="S31" s="99">
        <f t="shared" si="1"/>
        <v>1.7568049447284</v>
      </c>
      <c r="T31" s="98">
        <f>SUM(T24:T30)</f>
        <v>80</v>
      </c>
      <c r="U31" s="98">
        <f>SUM(U24:U30)</f>
        <v>0</v>
      </c>
      <c r="V31" s="98">
        <f>SUM(V24:V30)</f>
        <v>0</v>
      </c>
      <c r="W31" s="98">
        <f>SUM(W24:W30)</f>
        <v>659</v>
      </c>
      <c r="X31" s="202">
        <f>SUM(X24:Y30)</f>
        <v>0</v>
      </c>
      <c r="Y31" s="226"/>
      <c r="Z31" s="98">
        <f>SUM(Z24:Z30)</f>
        <v>0</v>
      </c>
    </row>
    <row r="32" s="74" customFormat="1" ht="25" customHeight="1" spans="1:26">
      <c r="A32" s="153">
        <v>45949</v>
      </c>
      <c r="B32" s="154"/>
      <c r="C32" s="155">
        <v>3100</v>
      </c>
      <c r="D32" s="155">
        <v>3092</v>
      </c>
      <c r="E32" s="155"/>
      <c r="F32" s="155">
        <v>8</v>
      </c>
      <c r="G32" s="156">
        <f t="shared" si="0"/>
        <v>0.258064516129032</v>
      </c>
      <c r="H32" s="155">
        <v>4</v>
      </c>
      <c r="I32" s="155"/>
      <c r="J32" s="155">
        <v>4</v>
      </c>
      <c r="K32" s="155"/>
      <c r="L32" s="155"/>
      <c r="M32" s="155"/>
      <c r="N32" s="155">
        <v>3092</v>
      </c>
      <c r="O32" s="155"/>
      <c r="P32" s="155">
        <v>3069</v>
      </c>
      <c r="Q32" s="155"/>
      <c r="R32" s="155">
        <v>23</v>
      </c>
      <c r="S32" s="203">
        <f t="shared" si="1"/>
        <v>0.74385510996119</v>
      </c>
      <c r="T32" s="155"/>
      <c r="U32" s="155">
        <v>2</v>
      </c>
      <c r="V32" s="155"/>
      <c r="W32" s="155">
        <v>21</v>
      </c>
      <c r="X32" s="155"/>
      <c r="Y32" s="155"/>
      <c r="Z32" s="155"/>
    </row>
    <row r="33" ht="25" customHeight="1" spans="1:26">
      <c r="A33" s="209">
        <v>45950</v>
      </c>
      <c r="B33" s="210"/>
      <c r="C33" s="214" t="s">
        <v>46</v>
      </c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 ht="25" customHeight="1" spans="1:26">
      <c r="A34" s="209">
        <v>45951</v>
      </c>
      <c r="B34" s="210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 ht="25" customHeight="1" spans="1:26">
      <c r="A35" s="209">
        <v>45952</v>
      </c>
      <c r="B35" s="210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 ht="25" customHeight="1" spans="1:26">
      <c r="A36" s="209">
        <v>45953</v>
      </c>
      <c r="B36" s="210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 ht="25" customHeight="1" spans="1:26">
      <c r="A37" s="140">
        <v>45954</v>
      </c>
      <c r="B37" s="141"/>
      <c r="C37" s="206"/>
      <c r="D37" s="207"/>
      <c r="E37" s="207"/>
      <c r="F37" s="207"/>
      <c r="G37" s="157" t="e">
        <f t="shared" si="0"/>
        <v>#DIV/0!</v>
      </c>
      <c r="H37" s="207"/>
      <c r="I37" s="207"/>
      <c r="J37" s="207"/>
      <c r="K37" s="207"/>
      <c r="L37" s="207"/>
      <c r="M37" s="185"/>
      <c r="N37" s="206"/>
      <c r="O37" s="215"/>
      <c r="P37" s="207"/>
      <c r="Q37" s="207"/>
      <c r="R37" s="207"/>
      <c r="S37" s="208" t="e">
        <f t="shared" si="1"/>
        <v>#DIV/0!</v>
      </c>
      <c r="T37" s="207"/>
      <c r="U37" s="207"/>
      <c r="V37" s="207"/>
      <c r="W37" s="207"/>
      <c r="X37" s="206"/>
      <c r="Y37" s="215"/>
      <c r="Z37" s="207"/>
    </row>
    <row r="38" ht="25" customHeight="1" spans="1:26">
      <c r="A38" s="140">
        <v>45955</v>
      </c>
      <c r="B38" s="141"/>
      <c r="C38" s="161"/>
      <c r="D38" s="162"/>
      <c r="E38" s="162"/>
      <c r="F38" s="162"/>
      <c r="G38" s="26" t="e">
        <f t="shared" si="0"/>
        <v>#DIV/0!</v>
      </c>
      <c r="H38" s="162"/>
      <c r="I38" s="162"/>
      <c r="J38" s="162"/>
      <c r="K38" s="162"/>
      <c r="L38" s="162"/>
      <c r="M38" s="185"/>
      <c r="N38" s="161"/>
      <c r="O38" s="221"/>
      <c r="P38" s="162"/>
      <c r="Q38" s="162"/>
      <c r="R38" s="162"/>
      <c r="S38" s="144" t="e">
        <f t="shared" si="1"/>
        <v>#DIV/0!</v>
      </c>
      <c r="T38" s="162"/>
      <c r="U38" s="162"/>
      <c r="V38" s="162"/>
      <c r="W38" s="162"/>
      <c r="X38" s="161"/>
      <c r="Y38" s="221"/>
      <c r="Z38" s="162"/>
    </row>
    <row r="39" customFormat="1" ht="25" customHeight="1" spans="1:26">
      <c r="A39" s="136" t="s">
        <v>41</v>
      </c>
      <c r="B39" s="137"/>
      <c r="C39" s="89">
        <f>SUM(C32:C38)</f>
        <v>3100</v>
      </c>
      <c r="D39" s="89">
        <f t="shared" ref="D39:F39" si="9">SUM(D32:D38)</f>
        <v>3092</v>
      </c>
      <c r="E39" s="89">
        <f t="shared" si="9"/>
        <v>0</v>
      </c>
      <c r="F39" s="89">
        <f t="shared" si="9"/>
        <v>8</v>
      </c>
      <c r="G39" s="90">
        <f t="shared" si="0"/>
        <v>0.258064516129032</v>
      </c>
      <c r="H39" s="89">
        <f t="shared" ref="H39:L39" si="10">SUM(H32:H38)</f>
        <v>4</v>
      </c>
      <c r="I39" s="89">
        <f t="shared" si="10"/>
        <v>0</v>
      </c>
      <c r="J39" s="89">
        <f t="shared" si="10"/>
        <v>4</v>
      </c>
      <c r="K39" s="89">
        <f t="shared" si="10"/>
        <v>0</v>
      </c>
      <c r="L39" s="89">
        <f t="shared" si="10"/>
        <v>0</v>
      </c>
      <c r="M39" s="178"/>
      <c r="N39" s="89">
        <f>SUM(N32:O38)</f>
        <v>3092</v>
      </c>
      <c r="O39" s="178"/>
      <c r="P39" s="89">
        <f t="shared" ref="P39:R39" si="11">SUM(P32:P38)</f>
        <v>3069</v>
      </c>
      <c r="Q39" s="89">
        <f t="shared" si="11"/>
        <v>0</v>
      </c>
      <c r="R39" s="89">
        <f t="shared" si="11"/>
        <v>23</v>
      </c>
      <c r="S39" s="90">
        <f t="shared" si="1"/>
        <v>0.74385510996119</v>
      </c>
      <c r="T39" s="89">
        <f>SUM(T32:T38)</f>
        <v>0</v>
      </c>
      <c r="U39" s="89">
        <f>SUM(U32:U38)</f>
        <v>2</v>
      </c>
      <c r="V39" s="89">
        <f t="shared" ref="T39:W39" si="12">SUM(V32:V38)</f>
        <v>0</v>
      </c>
      <c r="W39" s="89">
        <f t="shared" si="12"/>
        <v>21</v>
      </c>
      <c r="X39" s="204">
        <f>SUM(X32:Y38)</f>
        <v>0</v>
      </c>
      <c r="Y39" s="224"/>
      <c r="Z39" s="89">
        <f>SUM(Z32:Z38)</f>
        <v>0</v>
      </c>
    </row>
    <row r="40" ht="25" customHeight="1" spans="1:26">
      <c r="A40" s="138">
        <v>45956</v>
      </c>
      <c r="B40" s="139"/>
      <c r="C40" s="158"/>
      <c r="D40" s="159"/>
      <c r="E40" s="159"/>
      <c r="F40" s="159"/>
      <c r="G40" s="160" t="e">
        <f t="shared" si="0"/>
        <v>#DIV/0!</v>
      </c>
      <c r="H40" s="159"/>
      <c r="I40" s="159"/>
      <c r="J40" s="159"/>
      <c r="K40" s="159"/>
      <c r="L40" s="159"/>
      <c r="M40" s="186"/>
      <c r="N40" s="158"/>
      <c r="O40" s="217"/>
      <c r="P40" s="159"/>
      <c r="Q40" s="159"/>
      <c r="R40" s="159"/>
      <c r="S40" s="205" t="e">
        <f t="shared" si="1"/>
        <v>#DIV/0!</v>
      </c>
      <c r="T40" s="159"/>
      <c r="U40" s="159"/>
      <c r="V40" s="159"/>
      <c r="W40" s="159"/>
      <c r="X40" s="158"/>
      <c r="Y40" s="217"/>
      <c r="Z40" s="159"/>
    </row>
    <row r="41" ht="25" customHeight="1" spans="1:26">
      <c r="A41" s="140">
        <v>45957</v>
      </c>
      <c r="B41" s="141"/>
      <c r="C41" s="161"/>
      <c r="D41" s="162"/>
      <c r="E41" s="162"/>
      <c r="F41" s="162"/>
      <c r="G41" s="26" t="e">
        <f t="shared" si="0"/>
        <v>#DIV/0!</v>
      </c>
      <c r="H41" s="162"/>
      <c r="I41" s="162"/>
      <c r="J41" s="162"/>
      <c r="K41" s="162"/>
      <c r="L41" s="162"/>
      <c r="M41" s="185"/>
      <c r="N41" s="161"/>
      <c r="O41" s="221"/>
      <c r="P41" s="162"/>
      <c r="Q41" s="162"/>
      <c r="R41" s="162"/>
      <c r="S41" s="144" t="e">
        <f t="shared" si="1"/>
        <v>#DIV/0!</v>
      </c>
      <c r="T41" s="162"/>
      <c r="U41" s="162"/>
      <c r="V41" s="162"/>
      <c r="W41" s="162"/>
      <c r="X41" s="161"/>
      <c r="Y41" s="221"/>
      <c r="Z41" s="162"/>
    </row>
    <row r="42" ht="25" customHeight="1" spans="1:26">
      <c r="A42" s="140">
        <v>45958</v>
      </c>
      <c r="B42" s="141"/>
      <c r="C42" s="161"/>
      <c r="D42" s="162"/>
      <c r="E42" s="162"/>
      <c r="F42" s="162"/>
      <c r="G42" s="26" t="e">
        <f t="shared" si="0"/>
        <v>#DIV/0!</v>
      </c>
      <c r="H42" s="162"/>
      <c r="I42" s="162"/>
      <c r="J42" s="162"/>
      <c r="K42" s="162"/>
      <c r="L42" s="162"/>
      <c r="M42" s="185"/>
      <c r="N42" s="161"/>
      <c r="O42" s="221"/>
      <c r="P42" s="162"/>
      <c r="Q42" s="162"/>
      <c r="R42" s="162"/>
      <c r="S42" s="144" t="e">
        <f t="shared" si="1"/>
        <v>#DIV/0!</v>
      </c>
      <c r="T42" s="162"/>
      <c r="U42" s="162"/>
      <c r="V42" s="162"/>
      <c r="W42" s="162"/>
      <c r="X42" s="161"/>
      <c r="Y42" s="221"/>
      <c r="Z42" s="162"/>
    </row>
    <row r="43" ht="25" customHeight="1" spans="1:26">
      <c r="A43" s="140">
        <v>45959</v>
      </c>
      <c r="B43" s="141"/>
      <c r="C43" s="161"/>
      <c r="D43" s="162"/>
      <c r="E43" s="162"/>
      <c r="F43" s="162"/>
      <c r="G43" s="26" t="e">
        <f t="shared" si="0"/>
        <v>#DIV/0!</v>
      </c>
      <c r="H43" s="162"/>
      <c r="I43" s="162"/>
      <c r="J43" s="162"/>
      <c r="K43" s="162"/>
      <c r="L43" s="162"/>
      <c r="M43" s="185"/>
      <c r="N43" s="161"/>
      <c r="O43" s="221"/>
      <c r="P43" s="162"/>
      <c r="Q43" s="162"/>
      <c r="R43" s="162"/>
      <c r="S43" s="144" t="e">
        <f t="shared" si="1"/>
        <v>#DIV/0!</v>
      </c>
      <c r="T43" s="162"/>
      <c r="U43" s="162"/>
      <c r="V43" s="162"/>
      <c r="W43" s="162"/>
      <c r="X43" s="161"/>
      <c r="Y43" s="221"/>
      <c r="Z43" s="162"/>
    </row>
    <row r="44" ht="25" customHeight="1" spans="1:26">
      <c r="A44" s="140">
        <v>45960</v>
      </c>
      <c r="B44" s="141"/>
      <c r="C44" s="161"/>
      <c r="D44" s="162"/>
      <c r="E44" s="162"/>
      <c r="F44" s="162"/>
      <c r="G44" s="26" t="e">
        <f t="shared" si="0"/>
        <v>#DIV/0!</v>
      </c>
      <c r="H44" s="162"/>
      <c r="I44" s="162"/>
      <c r="J44" s="162"/>
      <c r="K44" s="162"/>
      <c r="L44" s="162"/>
      <c r="M44" s="185"/>
      <c r="N44" s="161"/>
      <c r="O44" s="221"/>
      <c r="P44" s="162"/>
      <c r="Q44" s="162"/>
      <c r="R44" s="162"/>
      <c r="S44" s="144" t="e">
        <f t="shared" si="1"/>
        <v>#DIV/0!</v>
      </c>
      <c r="T44" s="162"/>
      <c r="U44" s="162"/>
      <c r="V44" s="162"/>
      <c r="W44" s="162"/>
      <c r="X44" s="161"/>
      <c r="Y44" s="221"/>
      <c r="Z44" s="162"/>
    </row>
    <row r="45" ht="25" customHeight="1" spans="1:26">
      <c r="A45" s="140">
        <v>45961</v>
      </c>
      <c r="B45" s="141"/>
      <c r="C45" s="161"/>
      <c r="D45" s="162"/>
      <c r="E45" s="162"/>
      <c r="F45" s="162"/>
      <c r="G45" s="26" t="e">
        <f t="shared" si="0"/>
        <v>#DIV/0!</v>
      </c>
      <c r="H45" s="162"/>
      <c r="I45" s="162"/>
      <c r="J45" s="162"/>
      <c r="K45" s="162"/>
      <c r="L45" s="162"/>
      <c r="M45" s="185"/>
      <c r="N45" s="161"/>
      <c r="O45" s="221"/>
      <c r="P45" s="162"/>
      <c r="Q45" s="162"/>
      <c r="R45" s="162"/>
      <c r="S45" s="144" t="e">
        <f t="shared" si="1"/>
        <v>#DIV/0!</v>
      </c>
      <c r="T45" s="162"/>
      <c r="U45" s="162"/>
      <c r="V45" s="162"/>
      <c r="W45" s="162"/>
      <c r="X45" s="161"/>
      <c r="Y45" s="221"/>
      <c r="Z45" s="162"/>
    </row>
    <row r="46" customFormat="1" ht="25" customHeight="1" spans="1:26">
      <c r="A46" s="136" t="s">
        <v>44</v>
      </c>
      <c r="B46" s="137"/>
      <c r="C46" s="89">
        <f>SUM(C40:C45)</f>
        <v>0</v>
      </c>
      <c r="D46" s="89">
        <f>SUM(D40:D45)</f>
        <v>0</v>
      </c>
      <c r="E46" s="89">
        <f>SUM(E40:E45)</f>
        <v>0</v>
      </c>
      <c r="F46" s="89">
        <f>SUM(F40:F45)</f>
        <v>0</v>
      </c>
      <c r="G46" s="90" t="e">
        <f t="shared" si="0"/>
        <v>#DIV/0!</v>
      </c>
      <c r="H46" s="89">
        <f>SUM(H40:H45)</f>
        <v>0</v>
      </c>
      <c r="I46" s="89">
        <f>SUM(I40:I45)</f>
        <v>0</v>
      </c>
      <c r="J46" s="89">
        <f>SUM(J40:J45)</f>
        <v>0</v>
      </c>
      <c r="K46" s="89">
        <f>SUM(K40:K45)</f>
        <v>0</v>
      </c>
      <c r="L46" s="89">
        <f>SUM(L40:L45)</f>
        <v>0</v>
      </c>
      <c r="M46" s="178"/>
      <c r="N46" s="89">
        <f>SUM(N40:O45)</f>
        <v>0</v>
      </c>
      <c r="O46" s="178"/>
      <c r="P46" s="89">
        <f>SUM(P40:P45)</f>
        <v>0</v>
      </c>
      <c r="Q46" s="89">
        <f>SUM(Q40:Q45)</f>
        <v>0</v>
      </c>
      <c r="R46" s="89">
        <f>SUM(R40:R45)</f>
        <v>0</v>
      </c>
      <c r="S46" s="90" t="e">
        <f t="shared" si="1"/>
        <v>#DIV/0!</v>
      </c>
      <c r="T46" s="89">
        <f>SUM(T40:T45)</f>
        <v>0</v>
      </c>
      <c r="U46" s="89">
        <f>SUM(U40:U45)</f>
        <v>0</v>
      </c>
      <c r="V46" s="89">
        <f>SUM(V40:V45)</f>
        <v>0</v>
      </c>
      <c r="W46" s="89">
        <f>SUM(W40:W45)</f>
        <v>0</v>
      </c>
      <c r="X46" s="204">
        <f>SUM(X40:Y45)</f>
        <v>0</v>
      </c>
      <c r="Y46" s="224"/>
      <c r="Z46" s="89">
        <f>SUM(Z40:Z45)</f>
        <v>0</v>
      </c>
    </row>
    <row r="47" ht="28" customHeight="1" spans="1:26">
      <c r="A47" s="163" t="s">
        <v>24</v>
      </c>
      <c r="B47" s="164"/>
      <c r="C47" s="165">
        <f>C46+C39+C31+C23+C15</f>
        <v>127877</v>
      </c>
      <c r="D47" s="107">
        <f>D46+D39+D31+D23+D15</f>
        <v>125973</v>
      </c>
      <c r="E47" s="107">
        <f>E46+E39+E31+E23+E15</f>
        <v>0</v>
      </c>
      <c r="F47" s="107">
        <f>F46+F39+F31+F23+F15</f>
        <v>1632</v>
      </c>
      <c r="G47" s="108">
        <f t="shared" si="0"/>
        <v>1.27622637378106</v>
      </c>
      <c r="H47" s="107">
        <f t="shared" ref="H47:L47" si="13">H46+H39+H31+H23+H15</f>
        <v>1217</v>
      </c>
      <c r="I47" s="107">
        <f t="shared" si="13"/>
        <v>334</v>
      </c>
      <c r="J47" s="107">
        <f t="shared" si="13"/>
        <v>79</v>
      </c>
      <c r="K47" s="107">
        <f t="shared" si="13"/>
        <v>0</v>
      </c>
      <c r="L47" s="107">
        <f t="shared" si="13"/>
        <v>0</v>
      </c>
      <c r="M47" s="115"/>
      <c r="N47" s="165">
        <f t="shared" ref="N47:R47" si="14">N46+N39+N31+N23+N15</f>
        <v>128599</v>
      </c>
      <c r="O47" s="222"/>
      <c r="P47" s="107">
        <f t="shared" si="14"/>
        <v>126113</v>
      </c>
      <c r="Q47" s="107">
        <f t="shared" si="14"/>
        <v>0</v>
      </c>
      <c r="R47" s="107">
        <f t="shared" si="14"/>
        <v>1677</v>
      </c>
      <c r="S47" s="108">
        <f t="shared" si="1"/>
        <v>1.30405368626506</v>
      </c>
      <c r="T47" s="107">
        <f t="shared" ref="T47:X47" si="15">T46+T39+T31+T23+T15</f>
        <v>376</v>
      </c>
      <c r="U47" s="107">
        <f t="shared" si="15"/>
        <v>61</v>
      </c>
      <c r="V47" s="107">
        <f t="shared" si="15"/>
        <v>3</v>
      </c>
      <c r="W47" s="107">
        <f t="shared" si="15"/>
        <v>1188</v>
      </c>
      <c r="X47" s="165">
        <f t="shared" si="15"/>
        <v>49</v>
      </c>
      <c r="Y47" s="222"/>
      <c r="Z47" s="107">
        <f>Z46+Z39+Z31+Z23+Z15</f>
        <v>0</v>
      </c>
    </row>
    <row r="48" ht="35" customHeight="1" spans="1:26">
      <c r="A48" s="166" t="s">
        <v>25</v>
      </c>
      <c r="B48" s="167"/>
      <c r="C48" s="167"/>
      <c r="D48" s="168">
        <f>D47/C47*100</f>
        <v>98.5110692305888</v>
      </c>
      <c r="E48" s="168" t="e">
        <f>E47/#REF!*100</f>
        <v>#REF!</v>
      </c>
      <c r="F48" s="168">
        <f>F47/C47*100</f>
        <v>1.27622637378106</v>
      </c>
      <c r="G48" s="168"/>
      <c r="H48" s="168">
        <f>H47/C47*100</f>
        <v>0.951695770154132</v>
      </c>
      <c r="I48" s="168">
        <f>I47/C47*100</f>
        <v>0.261188485810584</v>
      </c>
      <c r="J48" s="168">
        <f>J47/C47*100</f>
        <v>0.0617781149072937</v>
      </c>
      <c r="K48" s="168"/>
      <c r="L48" s="187"/>
      <c r="M48" s="115"/>
      <c r="N48" s="188" t="s">
        <v>25</v>
      </c>
      <c r="O48" s="223"/>
      <c r="P48" s="168">
        <f>P47/N47*100</f>
        <v>98.0668589957931</v>
      </c>
      <c r="Q48" s="168">
        <f>Q47/N47*100</f>
        <v>0</v>
      </c>
      <c r="R48" s="168">
        <f>R47/N47*100</f>
        <v>1.30405368626506</v>
      </c>
      <c r="S48" s="168"/>
      <c r="T48" s="168">
        <f>T47/N47*100</f>
        <v>0.292381744803614</v>
      </c>
      <c r="U48" s="168">
        <f>U47/N47*100</f>
        <v>0.0474342724282459</v>
      </c>
      <c r="V48" s="168">
        <f>V47/N47*100</f>
        <v>0.0023328330702416</v>
      </c>
      <c r="W48" s="168">
        <f>W47/N47*100</f>
        <v>0.923801895815675</v>
      </c>
      <c r="X48" s="188">
        <f>X47/N47*100</f>
        <v>0.0381029401472795</v>
      </c>
      <c r="Y48" s="223"/>
      <c r="Z48" s="168"/>
    </row>
    <row r="49" ht="60" customHeight="1" spans="1:26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5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74" customHeight="1" spans="2:17">
      <c r="B50" s="34"/>
      <c r="C50" s="34"/>
      <c r="D50" s="34"/>
      <c r="E50" s="34"/>
      <c r="Q50" s="111"/>
    </row>
    <row r="51" spans="2:5">
      <c r="B51" s="34"/>
      <c r="C51" s="34"/>
      <c r="D51" s="34"/>
      <c r="E51" s="34"/>
    </row>
    <row r="53" ht="28.5" spans="3:12"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4" ht="28.5" spans="3:12"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7" spans="2:3">
      <c r="B57" s="36" t="s">
        <v>26</v>
      </c>
      <c r="C57" s="36"/>
    </row>
    <row r="58" spans="2:3">
      <c r="B58" s="37" t="s">
        <v>16</v>
      </c>
      <c r="C58" s="37"/>
    </row>
    <row r="59" spans="2:3">
      <c r="B59" s="37" t="s">
        <v>27</v>
      </c>
      <c r="C59" s="37"/>
    </row>
    <row r="60" spans="2:3">
      <c r="B60" s="37" t="s">
        <v>18</v>
      </c>
      <c r="C60" s="37"/>
    </row>
    <row r="61" spans="2:3">
      <c r="B61" s="37" t="s">
        <v>28</v>
      </c>
      <c r="C61" s="37"/>
    </row>
    <row r="62" spans="2:2">
      <c r="B62" s="40"/>
    </row>
    <row r="63" spans="2:3">
      <c r="B63" s="36" t="s">
        <v>29</v>
      </c>
      <c r="C63" s="36"/>
    </row>
    <row r="64" spans="2:3">
      <c r="B64" s="37" t="s">
        <v>18</v>
      </c>
      <c r="C64" s="37"/>
    </row>
    <row r="65" spans="2:3">
      <c r="B65" s="37" t="s">
        <v>21</v>
      </c>
      <c r="C65" s="37"/>
    </row>
    <row r="66" spans="2:3">
      <c r="B66" s="37" t="s">
        <v>22</v>
      </c>
      <c r="C66" s="37"/>
    </row>
    <row r="67" spans="2:3">
      <c r="B67" s="37" t="s">
        <v>23</v>
      </c>
      <c r="C67" s="37"/>
    </row>
    <row r="68" spans="2:3">
      <c r="B68" s="37" t="s">
        <v>19</v>
      </c>
      <c r="C68" s="37"/>
    </row>
    <row r="69" spans="2:3">
      <c r="B69" s="37" t="s">
        <v>28</v>
      </c>
      <c r="C69" s="37"/>
    </row>
  </sheetData>
  <mergeCells count="153">
    <mergeCell ref="W3:X3"/>
    <mergeCell ref="Y3:Z3"/>
    <mergeCell ref="W4:X4"/>
    <mergeCell ref="Y4:Z4"/>
    <mergeCell ref="C5:V5"/>
    <mergeCell ref="W5:Z5"/>
    <mergeCell ref="A6:Z6"/>
    <mergeCell ref="A7:L7"/>
    <mergeCell ref="N7:Z7"/>
    <mergeCell ref="A11:B11"/>
    <mergeCell ref="N11:O11"/>
    <mergeCell ref="X11:Y11"/>
    <mergeCell ref="A12:B12"/>
    <mergeCell ref="C12:Z12"/>
    <mergeCell ref="A13:B13"/>
    <mergeCell ref="N13:O13"/>
    <mergeCell ref="X13:Y13"/>
    <mergeCell ref="A14:B14"/>
    <mergeCell ref="N14:O14"/>
    <mergeCell ref="X14:Y14"/>
    <mergeCell ref="A15:B15"/>
    <mergeCell ref="N15:O15"/>
    <mergeCell ref="X15:Y15"/>
    <mergeCell ref="A16:B16"/>
    <mergeCell ref="N16:O16"/>
    <mergeCell ref="X16:Y16"/>
    <mergeCell ref="A17:B17"/>
    <mergeCell ref="N17:O17"/>
    <mergeCell ref="X17:Y17"/>
    <mergeCell ref="A18:B18"/>
    <mergeCell ref="N18:O18"/>
    <mergeCell ref="X18:Y18"/>
    <mergeCell ref="A19:B19"/>
    <mergeCell ref="N19:O19"/>
    <mergeCell ref="X19:Y19"/>
    <mergeCell ref="A20:B20"/>
    <mergeCell ref="N20:O20"/>
    <mergeCell ref="X20:Y20"/>
    <mergeCell ref="A21:B21"/>
    <mergeCell ref="N21:O21"/>
    <mergeCell ref="X21:Y21"/>
    <mergeCell ref="A22:B22"/>
    <mergeCell ref="N22:O22"/>
    <mergeCell ref="X22:Y22"/>
    <mergeCell ref="A23:B23"/>
    <mergeCell ref="N23:O23"/>
    <mergeCell ref="X23:Y23"/>
    <mergeCell ref="A24:B24"/>
    <mergeCell ref="N24:O24"/>
    <mergeCell ref="X24:Y24"/>
    <mergeCell ref="A25:B25"/>
    <mergeCell ref="N25:O25"/>
    <mergeCell ref="X25:Y25"/>
    <mergeCell ref="A26:B26"/>
    <mergeCell ref="N26:O26"/>
    <mergeCell ref="X26:Y26"/>
    <mergeCell ref="A27:B27"/>
    <mergeCell ref="N27:O27"/>
    <mergeCell ref="X27:Y27"/>
    <mergeCell ref="A28:B28"/>
    <mergeCell ref="N28:O28"/>
    <mergeCell ref="X28:Y28"/>
    <mergeCell ref="A29:B29"/>
    <mergeCell ref="N29:O29"/>
    <mergeCell ref="X29:Y29"/>
    <mergeCell ref="A30:B30"/>
    <mergeCell ref="N30:O30"/>
    <mergeCell ref="X30:Y30"/>
    <mergeCell ref="A31:B31"/>
    <mergeCell ref="N31:O31"/>
    <mergeCell ref="X31:Y31"/>
    <mergeCell ref="A32:B32"/>
    <mergeCell ref="N32:O32"/>
    <mergeCell ref="X32:Y32"/>
    <mergeCell ref="A33:B33"/>
    <mergeCell ref="A34:B34"/>
    <mergeCell ref="A35:B35"/>
    <mergeCell ref="A36:B36"/>
    <mergeCell ref="A37:B37"/>
    <mergeCell ref="N37:O37"/>
    <mergeCell ref="X37:Y37"/>
    <mergeCell ref="A38:B38"/>
    <mergeCell ref="N38:O38"/>
    <mergeCell ref="X38:Y38"/>
    <mergeCell ref="A39:B39"/>
    <mergeCell ref="N39:O39"/>
    <mergeCell ref="X39:Y39"/>
    <mergeCell ref="A40:B40"/>
    <mergeCell ref="N40:O40"/>
    <mergeCell ref="X40:Y40"/>
    <mergeCell ref="A41:B41"/>
    <mergeCell ref="N41:O41"/>
    <mergeCell ref="X41:Y41"/>
    <mergeCell ref="A42:B42"/>
    <mergeCell ref="N42:O42"/>
    <mergeCell ref="X42:Y42"/>
    <mergeCell ref="A43:B43"/>
    <mergeCell ref="N43:O43"/>
    <mergeCell ref="X43:Y43"/>
    <mergeCell ref="A44:B44"/>
    <mergeCell ref="N44:O44"/>
    <mergeCell ref="X44:Y44"/>
    <mergeCell ref="A45:B45"/>
    <mergeCell ref="N45:O45"/>
    <mergeCell ref="X45:Y45"/>
    <mergeCell ref="A46:B46"/>
    <mergeCell ref="N46:O46"/>
    <mergeCell ref="X46:Y46"/>
    <mergeCell ref="A47:B47"/>
    <mergeCell ref="N47:O47"/>
    <mergeCell ref="X47:Y47"/>
    <mergeCell ref="A48:C48"/>
    <mergeCell ref="N48:O48"/>
    <mergeCell ref="X48:Y48"/>
    <mergeCell ref="B57:C57"/>
    <mergeCell ref="B58:C58"/>
    <mergeCell ref="B59:C59"/>
    <mergeCell ref="B60:C60"/>
    <mergeCell ref="B61:C61"/>
    <mergeCell ref="B63:C63"/>
    <mergeCell ref="B64:C64"/>
    <mergeCell ref="B65:C65"/>
    <mergeCell ref="B66:C66"/>
    <mergeCell ref="B67:C67"/>
    <mergeCell ref="B68:C68"/>
    <mergeCell ref="B69:C69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P8:P10"/>
    <mergeCell ref="Q8:Q10"/>
    <mergeCell ref="R8:R10"/>
    <mergeCell ref="S8:S10"/>
    <mergeCell ref="T8:T10"/>
    <mergeCell ref="U8:U10"/>
    <mergeCell ref="V8:V10"/>
    <mergeCell ref="W8:W10"/>
    <mergeCell ref="Z8:Z10"/>
    <mergeCell ref="A1:B5"/>
    <mergeCell ref="A8:B10"/>
    <mergeCell ref="C1:V4"/>
    <mergeCell ref="W1:X2"/>
    <mergeCell ref="Y1:Z2"/>
    <mergeCell ref="N8:O10"/>
    <mergeCell ref="X8:Y10"/>
    <mergeCell ref="C33:Z36"/>
  </mergeCells>
  <pageMargins left="0.251388888888889" right="0.251388888888889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68"/>
  <sheetViews>
    <sheetView zoomScale="80" zoomScaleNormal="80" zoomScalePageLayoutView="80" zoomScaleSheetLayoutView="70" topLeftCell="A6" workbookViewId="0">
      <pane ySplit="5" topLeftCell="A17" activePane="bottomLeft" state="frozen"/>
      <selection/>
      <selection pane="bottomLeft" activeCell="V33" sqref="V33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12.0380952380952" customWidth="1"/>
    <col min="4" max="4" width="14.9619047619048" customWidth="1"/>
    <col min="5" max="5" width="12.9333333333333" customWidth="1"/>
    <col min="6" max="6" width="8.85714285714286" customWidth="1"/>
    <col min="7" max="7" width="10.5714285714286" customWidth="1"/>
    <col min="8" max="8" width="10.247619047619" customWidth="1"/>
    <col min="9" max="9" width="11.4190476190476" customWidth="1"/>
    <col min="10" max="10" width="10.4285714285714" customWidth="1"/>
    <col min="11" max="11" width="9.74285714285714" customWidth="1"/>
    <col min="12" max="12" width="9.85714285714286" customWidth="1"/>
    <col min="13" max="13" width="3.25714285714286" style="75" customWidth="1"/>
    <col min="14" max="14" width="16.9619047619048" customWidth="1"/>
    <col min="15" max="15" width="12.4285714285714" customWidth="1"/>
    <col min="16" max="16" width="11.4285714285714" customWidth="1"/>
    <col min="17" max="17" width="8.85714285714286" customWidth="1"/>
    <col min="18" max="18" width="10.5714285714286" customWidth="1"/>
    <col min="19" max="19" width="11.2571428571429" customWidth="1"/>
    <col min="20" max="20" width="11.4190476190476" customWidth="1"/>
    <col min="21" max="21" width="10.247619047619" customWidth="1"/>
    <col min="22" max="22" width="13.4380952380952" customWidth="1"/>
    <col min="23" max="23" width="16.6095238095238" customWidth="1"/>
    <col min="24" max="24" width="14.2857142857143" customWidth="1"/>
    <col min="25" max="30" width="6.71428571428571" customWidth="1"/>
  </cols>
  <sheetData>
    <row r="1" spans="1:24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169"/>
      <c r="N1" s="3"/>
      <c r="O1" s="3"/>
      <c r="P1" s="3"/>
      <c r="Q1" s="3"/>
      <c r="R1" s="3"/>
      <c r="S1" s="3"/>
      <c r="T1" s="3"/>
      <c r="U1" s="50"/>
      <c r="V1" s="189" t="s">
        <v>1</v>
      </c>
      <c r="W1" s="190"/>
      <c r="X1" s="191"/>
    </row>
    <row r="2" ht="23" customHeight="1" spans="1:24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170"/>
      <c r="N2" s="6"/>
      <c r="O2" s="6"/>
      <c r="P2" s="6"/>
      <c r="Q2" s="6"/>
      <c r="R2" s="6"/>
      <c r="S2" s="6"/>
      <c r="T2" s="6"/>
      <c r="U2" s="54"/>
      <c r="V2" s="192"/>
      <c r="W2" s="193"/>
      <c r="X2" s="191"/>
    </row>
    <row r="3" ht="26" customHeight="1" spans="1:24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170"/>
      <c r="N3" s="6"/>
      <c r="O3" s="6"/>
      <c r="P3" s="6"/>
      <c r="Q3" s="6"/>
      <c r="R3" s="6"/>
      <c r="S3" s="6"/>
      <c r="T3" s="6"/>
      <c r="U3" s="54"/>
      <c r="V3" s="194" t="s">
        <v>31</v>
      </c>
      <c r="W3" s="195"/>
      <c r="X3" s="191"/>
    </row>
    <row r="4" ht="24" customHeight="1" spans="1:24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171"/>
      <c r="N4" s="7"/>
      <c r="O4" s="7"/>
      <c r="P4" s="7"/>
      <c r="Q4" s="7"/>
      <c r="R4" s="7"/>
      <c r="S4" s="7"/>
      <c r="T4" s="7"/>
      <c r="U4" s="59"/>
      <c r="V4" s="194" t="s">
        <v>32</v>
      </c>
      <c r="W4" s="195"/>
      <c r="X4" s="196"/>
    </row>
    <row r="5" ht="19" customHeight="1" spans="1:24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172"/>
      <c r="N5" s="82"/>
      <c r="O5" s="82"/>
      <c r="P5" s="82"/>
      <c r="Q5" s="82"/>
      <c r="R5" s="82"/>
      <c r="S5" s="82"/>
      <c r="T5" s="82"/>
      <c r="U5" s="119"/>
      <c r="V5" s="197" t="s">
        <v>7</v>
      </c>
      <c r="W5" s="197"/>
      <c r="X5" s="198"/>
    </row>
    <row r="6" ht="20" customHeight="1" spans="1:30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12"/>
      <c r="Z6" s="12"/>
      <c r="AA6" s="12"/>
      <c r="AB6" s="12"/>
      <c r="AC6" s="12"/>
      <c r="AD6" s="12"/>
    </row>
    <row r="7" ht="21" customHeight="1" spans="1:30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73"/>
      <c r="M7" s="174"/>
      <c r="N7" s="175" t="s">
        <v>9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72"/>
      <c r="Z7" s="72"/>
      <c r="AA7" s="72"/>
      <c r="AB7" s="72"/>
      <c r="AC7" s="72"/>
      <c r="AD7" s="73"/>
    </row>
    <row r="8" ht="15.75" spans="1:24">
      <c r="A8" s="128" t="s">
        <v>10</v>
      </c>
      <c r="B8" s="129"/>
      <c r="C8" s="86" t="s">
        <v>11</v>
      </c>
      <c r="D8" s="85" t="s">
        <v>12</v>
      </c>
      <c r="E8" s="85" t="s">
        <v>13</v>
      </c>
      <c r="F8" s="86" t="s">
        <v>14</v>
      </c>
      <c r="G8" s="86" t="s">
        <v>15</v>
      </c>
      <c r="H8" s="86" t="s">
        <v>16</v>
      </c>
      <c r="I8" s="86" t="s">
        <v>17</v>
      </c>
      <c r="J8" s="85" t="s">
        <v>18</v>
      </c>
      <c r="K8" s="85" t="s">
        <v>19</v>
      </c>
      <c r="L8" s="85" t="s">
        <v>20</v>
      </c>
      <c r="M8" s="176"/>
      <c r="N8" s="86" t="s">
        <v>11</v>
      </c>
      <c r="O8" s="86" t="s">
        <v>12</v>
      </c>
      <c r="P8" s="86" t="s">
        <v>13</v>
      </c>
      <c r="Q8" s="86" t="s">
        <v>14</v>
      </c>
      <c r="R8" s="86" t="s">
        <v>15</v>
      </c>
      <c r="S8" s="86" t="s">
        <v>18</v>
      </c>
      <c r="T8" s="86" t="s">
        <v>21</v>
      </c>
      <c r="U8" s="86" t="s">
        <v>22</v>
      </c>
      <c r="V8" s="86" t="s">
        <v>23</v>
      </c>
      <c r="W8" s="85" t="s">
        <v>19</v>
      </c>
      <c r="X8" s="85" t="s">
        <v>20</v>
      </c>
    </row>
    <row r="9" ht="15.75" spans="1:24">
      <c r="A9" s="130"/>
      <c r="B9" s="131"/>
      <c r="C9" s="86"/>
      <c r="D9" s="85"/>
      <c r="E9" s="85"/>
      <c r="F9" s="86"/>
      <c r="G9" s="86"/>
      <c r="H9" s="86"/>
      <c r="I9" s="86"/>
      <c r="J9" s="85"/>
      <c r="K9" s="85"/>
      <c r="L9" s="85"/>
      <c r="M9" s="176"/>
      <c r="N9" s="86"/>
      <c r="O9" s="86"/>
      <c r="P9" s="86"/>
      <c r="Q9" s="86"/>
      <c r="R9" s="86"/>
      <c r="S9" s="86"/>
      <c r="T9" s="86"/>
      <c r="U9" s="86"/>
      <c r="V9" s="86"/>
      <c r="W9" s="85"/>
      <c r="X9" s="85"/>
    </row>
    <row r="10" ht="15.75" spans="1:24">
      <c r="A10" s="132"/>
      <c r="B10" s="133"/>
      <c r="C10" s="86"/>
      <c r="D10" s="85"/>
      <c r="E10" s="85"/>
      <c r="F10" s="86"/>
      <c r="G10" s="86"/>
      <c r="H10" s="86"/>
      <c r="I10" s="86"/>
      <c r="J10" s="85"/>
      <c r="K10" s="85"/>
      <c r="L10" s="85"/>
      <c r="M10" s="176"/>
      <c r="N10" s="86"/>
      <c r="O10" s="86"/>
      <c r="P10" s="86"/>
      <c r="Q10" s="86"/>
      <c r="R10" s="86"/>
      <c r="S10" s="86"/>
      <c r="T10" s="86"/>
      <c r="U10" s="86"/>
      <c r="V10" s="86"/>
      <c r="W10" s="85"/>
      <c r="X10" s="85"/>
    </row>
    <row r="11" ht="18.75" spans="1:24">
      <c r="A11" s="134">
        <v>45962</v>
      </c>
      <c r="B11" s="135"/>
      <c r="C11" s="206">
        <v>3064</v>
      </c>
      <c r="D11" s="207">
        <v>3043</v>
      </c>
      <c r="E11" s="207"/>
      <c r="F11" s="207">
        <v>21</v>
      </c>
      <c r="G11" s="208">
        <f>F11/C11*100</f>
        <v>0.685378590078329</v>
      </c>
      <c r="H11" s="207">
        <v>16</v>
      </c>
      <c r="I11" s="207">
        <v>5</v>
      </c>
      <c r="J11" s="207"/>
      <c r="K11" s="207"/>
      <c r="L11" s="207"/>
      <c r="M11" s="185"/>
      <c r="N11" s="206">
        <v>3043</v>
      </c>
      <c r="O11" s="207">
        <v>3024</v>
      </c>
      <c r="P11" s="207"/>
      <c r="Q11" s="207">
        <v>19</v>
      </c>
      <c r="R11" s="208">
        <f>Q11/N11*100</f>
        <v>0.624383831744988</v>
      </c>
      <c r="S11" s="207"/>
      <c r="T11" s="207"/>
      <c r="U11" s="207"/>
      <c r="V11" s="207">
        <v>19</v>
      </c>
      <c r="W11" s="206"/>
      <c r="X11" s="207"/>
    </row>
    <row r="12" ht="25" customHeight="1" spans="1:24">
      <c r="A12" s="136" t="s">
        <v>38</v>
      </c>
      <c r="B12" s="137"/>
      <c r="C12" s="89">
        <f>SUM(C11:C11)</f>
        <v>3064</v>
      </c>
      <c r="D12" s="89">
        <f>SUM(D11:D11)</f>
        <v>3043</v>
      </c>
      <c r="E12" s="89">
        <f>SUM(E11:E11)</f>
        <v>0</v>
      </c>
      <c r="F12" s="89">
        <f>SUM(F11:F11)</f>
        <v>21</v>
      </c>
      <c r="G12" s="90">
        <f t="shared" ref="G12:G33" si="0">F12/C12*100</f>
        <v>0.685378590078329</v>
      </c>
      <c r="H12" s="89">
        <f>SUM(H11:H11)</f>
        <v>16</v>
      </c>
      <c r="I12" s="89">
        <f>SUM(I11:I11)</f>
        <v>5</v>
      </c>
      <c r="J12" s="89">
        <f>SUM(J11:J11)</f>
        <v>0</v>
      </c>
      <c r="K12" s="89">
        <f>SUM(K11:K11)</f>
        <v>0</v>
      </c>
      <c r="L12" s="89">
        <f>SUM(L11:L11)</f>
        <v>0</v>
      </c>
      <c r="M12" s="178"/>
      <c r="N12" s="89">
        <f>SUM(N11:N11)</f>
        <v>3043</v>
      </c>
      <c r="O12" s="89">
        <f>SUM(O11:O11)</f>
        <v>3024</v>
      </c>
      <c r="P12" s="89">
        <f>SUM(P11:P11)</f>
        <v>0</v>
      </c>
      <c r="Q12" s="89">
        <f>SUM(Q11:Q11)</f>
        <v>19</v>
      </c>
      <c r="R12" s="90">
        <f t="shared" ref="R12:R35" si="1">Q12/N12*100</f>
        <v>0.624383831744988</v>
      </c>
      <c r="S12" s="89">
        <f t="shared" ref="S12:X12" si="2">SUM(S11:S11)</f>
        <v>0</v>
      </c>
      <c r="T12" s="89">
        <f t="shared" si="2"/>
        <v>0</v>
      </c>
      <c r="U12" s="89">
        <f t="shared" si="2"/>
        <v>0</v>
      </c>
      <c r="V12" s="89">
        <f t="shared" si="2"/>
        <v>19</v>
      </c>
      <c r="W12" s="204">
        <f t="shared" si="2"/>
        <v>0</v>
      </c>
      <c r="X12" s="89">
        <f t="shared" si="2"/>
        <v>0</v>
      </c>
    </row>
    <row r="13" ht="25" customHeight="1" spans="1:24">
      <c r="A13" s="138">
        <v>45963</v>
      </c>
      <c r="B13" s="139"/>
      <c r="C13" s="158"/>
      <c r="D13" s="159"/>
      <c r="E13" s="159"/>
      <c r="F13" s="159"/>
      <c r="G13" s="93" t="e">
        <f t="shared" si="0"/>
        <v>#DIV/0!</v>
      </c>
      <c r="H13" s="159"/>
      <c r="I13" s="159"/>
      <c r="J13" s="159"/>
      <c r="K13" s="159"/>
      <c r="L13" s="159"/>
      <c r="M13" s="186"/>
      <c r="N13" s="158"/>
      <c r="O13" s="159"/>
      <c r="P13" s="159"/>
      <c r="Q13" s="159"/>
      <c r="R13" s="93" t="e">
        <f t="shared" si="1"/>
        <v>#DIV/0!</v>
      </c>
      <c r="S13" s="159"/>
      <c r="T13" s="159"/>
      <c r="U13" s="159"/>
      <c r="V13" s="159"/>
      <c r="W13" s="158"/>
      <c r="X13" s="159"/>
    </row>
    <row r="14" ht="25" customHeight="1" spans="1:24">
      <c r="A14" s="140">
        <v>45964</v>
      </c>
      <c r="B14" s="141"/>
      <c r="C14" s="25">
        <v>6681</v>
      </c>
      <c r="D14" s="25">
        <v>6670</v>
      </c>
      <c r="E14" s="25"/>
      <c r="F14" s="25">
        <v>11</v>
      </c>
      <c r="G14" s="26">
        <f t="shared" si="0"/>
        <v>0.164646011076186</v>
      </c>
      <c r="H14" s="25">
        <v>10</v>
      </c>
      <c r="I14" s="25">
        <v>1</v>
      </c>
      <c r="J14" s="25"/>
      <c r="K14" s="25"/>
      <c r="L14" s="25"/>
      <c r="M14" s="177"/>
      <c r="N14" s="25">
        <v>6670</v>
      </c>
      <c r="O14" s="25">
        <v>6650</v>
      </c>
      <c r="P14" s="25"/>
      <c r="Q14" s="25">
        <v>20</v>
      </c>
      <c r="R14" s="26">
        <f t="shared" si="1"/>
        <v>0.299850074962519</v>
      </c>
      <c r="S14" s="25">
        <v>2</v>
      </c>
      <c r="T14" s="25"/>
      <c r="U14" s="25"/>
      <c r="V14" s="25">
        <v>18</v>
      </c>
      <c r="W14" s="25"/>
      <c r="X14" s="25"/>
    </row>
    <row r="15" ht="25" customHeight="1" spans="1:24">
      <c r="A15" s="140">
        <v>45965</v>
      </c>
      <c r="B15" s="141"/>
      <c r="C15" s="25">
        <v>10796</v>
      </c>
      <c r="D15" s="25">
        <v>10751</v>
      </c>
      <c r="E15" s="25"/>
      <c r="F15" s="25">
        <v>43</v>
      </c>
      <c r="G15" s="26">
        <f t="shared" si="0"/>
        <v>0.398295665061134</v>
      </c>
      <c r="H15" s="25">
        <v>2</v>
      </c>
      <c r="I15" s="25"/>
      <c r="J15" s="25"/>
      <c r="K15" s="25"/>
      <c r="L15" s="25"/>
      <c r="M15" s="177"/>
      <c r="N15" s="25">
        <v>10751</v>
      </c>
      <c r="O15" s="25">
        <v>10709</v>
      </c>
      <c r="P15" s="25"/>
      <c r="Q15" s="25">
        <v>42</v>
      </c>
      <c r="R15" s="26">
        <f t="shared" si="1"/>
        <v>0.390661333829411</v>
      </c>
      <c r="S15" s="25">
        <v>2</v>
      </c>
      <c r="T15" s="25"/>
      <c r="U15" s="25"/>
      <c r="V15" s="25">
        <v>38</v>
      </c>
      <c r="W15" s="25">
        <v>2</v>
      </c>
      <c r="X15" s="25"/>
    </row>
    <row r="16" ht="25" customHeight="1" spans="1:24">
      <c r="A16" s="140">
        <v>45966</v>
      </c>
      <c r="B16" s="141"/>
      <c r="C16" s="142">
        <v>8738</v>
      </c>
      <c r="D16" s="95">
        <v>8712</v>
      </c>
      <c r="E16" s="95"/>
      <c r="F16" s="95">
        <v>26</v>
      </c>
      <c r="G16" s="26">
        <f t="shared" si="0"/>
        <v>0.29755092698558</v>
      </c>
      <c r="H16" s="27">
        <v>26</v>
      </c>
      <c r="I16" s="27"/>
      <c r="J16" s="27"/>
      <c r="K16" s="27"/>
      <c r="L16" s="27"/>
      <c r="M16" s="179"/>
      <c r="N16" s="65">
        <v>8712</v>
      </c>
      <c r="O16" s="27">
        <v>8702</v>
      </c>
      <c r="P16" s="27"/>
      <c r="Q16" s="27">
        <v>10</v>
      </c>
      <c r="R16" s="120">
        <f t="shared" si="1"/>
        <v>0.114784205693297</v>
      </c>
      <c r="S16" s="27"/>
      <c r="T16" s="27"/>
      <c r="U16" s="27"/>
      <c r="V16" s="27">
        <v>9</v>
      </c>
      <c r="W16" s="65">
        <v>1</v>
      </c>
      <c r="X16" s="27"/>
    </row>
    <row r="17" ht="25" customHeight="1" spans="1:24">
      <c r="A17" s="140">
        <v>45967</v>
      </c>
      <c r="B17" s="141"/>
      <c r="C17" s="27">
        <v>8862</v>
      </c>
      <c r="D17" s="27">
        <v>8843</v>
      </c>
      <c r="E17" s="27"/>
      <c r="F17" s="27">
        <v>19</v>
      </c>
      <c r="G17" s="26">
        <f t="shared" si="0"/>
        <v>0.214398555630783</v>
      </c>
      <c r="H17" s="27">
        <v>16</v>
      </c>
      <c r="I17" s="27">
        <v>1</v>
      </c>
      <c r="J17" s="27">
        <v>2</v>
      </c>
      <c r="K17" s="27"/>
      <c r="L17" s="27"/>
      <c r="M17" s="177"/>
      <c r="N17" s="65">
        <v>8843</v>
      </c>
      <c r="O17" s="27">
        <v>8820</v>
      </c>
      <c r="P17" s="27"/>
      <c r="Q17" s="27">
        <v>23</v>
      </c>
      <c r="R17" s="26">
        <f t="shared" si="1"/>
        <v>0.260092728711976</v>
      </c>
      <c r="S17" s="27"/>
      <c r="T17" s="27"/>
      <c r="U17" s="27"/>
      <c r="V17" s="27">
        <v>23</v>
      </c>
      <c r="W17" s="65"/>
      <c r="X17" s="27"/>
    </row>
    <row r="18" ht="25" customHeight="1" spans="1:24">
      <c r="A18" s="140">
        <v>45968</v>
      </c>
      <c r="B18" s="141"/>
      <c r="C18" s="143">
        <v>11854</v>
      </c>
      <c r="D18" s="143">
        <v>11833</v>
      </c>
      <c r="E18" s="143"/>
      <c r="F18" s="143">
        <v>21</v>
      </c>
      <c r="G18" s="144">
        <f t="shared" si="0"/>
        <v>0.177155390585456</v>
      </c>
      <c r="H18" s="143">
        <v>19</v>
      </c>
      <c r="I18" s="143">
        <v>2</v>
      </c>
      <c r="J18" s="143"/>
      <c r="K18" s="143"/>
      <c r="L18" s="143"/>
      <c r="M18" s="180"/>
      <c r="N18" s="181">
        <v>11833</v>
      </c>
      <c r="O18" s="143">
        <v>11800</v>
      </c>
      <c r="P18" s="143"/>
      <c r="Q18" s="143">
        <v>33</v>
      </c>
      <c r="R18" s="144">
        <f t="shared" si="1"/>
        <v>0.27888109524212</v>
      </c>
      <c r="S18" s="143">
        <v>1</v>
      </c>
      <c r="T18" s="143"/>
      <c r="U18" s="143"/>
      <c r="V18" s="143">
        <v>32</v>
      </c>
      <c r="W18" s="181"/>
      <c r="X18" s="143"/>
    </row>
    <row r="19" ht="25" customHeight="1" spans="1:24">
      <c r="A19" s="140">
        <v>45969</v>
      </c>
      <c r="B19" s="141"/>
      <c r="C19" s="145">
        <v>7646</v>
      </c>
      <c r="D19" s="96">
        <v>7554</v>
      </c>
      <c r="E19" s="96"/>
      <c r="F19" s="96">
        <v>92</v>
      </c>
      <c r="G19" s="146">
        <f t="shared" si="0"/>
        <v>1.20324352602668</v>
      </c>
      <c r="H19" s="96">
        <v>61</v>
      </c>
      <c r="I19" s="96">
        <v>30</v>
      </c>
      <c r="J19" s="96">
        <v>1</v>
      </c>
      <c r="K19" s="96"/>
      <c r="L19" s="96"/>
      <c r="M19" s="96"/>
      <c r="N19" s="145">
        <v>7554</v>
      </c>
      <c r="O19" s="96">
        <v>7463</v>
      </c>
      <c r="P19" s="96"/>
      <c r="Q19" s="96">
        <v>91</v>
      </c>
      <c r="R19" s="146">
        <f t="shared" si="1"/>
        <v>1.20465978289648</v>
      </c>
      <c r="S19" s="96">
        <v>10</v>
      </c>
      <c r="T19" s="96"/>
      <c r="U19" s="96"/>
      <c r="V19" s="199">
        <v>76</v>
      </c>
      <c r="W19" s="200">
        <v>5</v>
      </c>
      <c r="X19" s="96"/>
    </row>
    <row r="20" customFormat="1" ht="25" customHeight="1" spans="1:24">
      <c r="A20" s="147" t="s">
        <v>39</v>
      </c>
      <c r="B20" s="148"/>
      <c r="C20" s="149">
        <f t="shared" ref="C20:F20" si="3">SUM(C13:C19)</f>
        <v>54577</v>
      </c>
      <c r="D20" s="149">
        <f t="shared" si="3"/>
        <v>54363</v>
      </c>
      <c r="E20" s="149">
        <f t="shared" si="3"/>
        <v>0</v>
      </c>
      <c r="F20" s="149">
        <f t="shared" si="3"/>
        <v>212</v>
      </c>
      <c r="G20" s="150">
        <f t="shared" si="0"/>
        <v>0.388442017699764</v>
      </c>
      <c r="H20" s="149">
        <f t="shared" ref="H20:L20" si="4">SUM(H13:H19)</f>
        <v>134</v>
      </c>
      <c r="I20" s="149">
        <f t="shared" si="4"/>
        <v>34</v>
      </c>
      <c r="J20" s="149">
        <f t="shared" si="4"/>
        <v>3</v>
      </c>
      <c r="K20" s="149">
        <f t="shared" si="4"/>
        <v>0</v>
      </c>
      <c r="L20" s="149">
        <f t="shared" si="4"/>
        <v>0</v>
      </c>
      <c r="M20" s="182"/>
      <c r="N20" s="149">
        <f>SUM(N13:N19)</f>
        <v>54363</v>
      </c>
      <c r="O20" s="149">
        <f t="shared" ref="O20:Q20" si="5">SUM(O13:O19)</f>
        <v>54144</v>
      </c>
      <c r="P20" s="149">
        <f t="shared" si="5"/>
        <v>0</v>
      </c>
      <c r="Q20" s="149">
        <f t="shared" si="5"/>
        <v>219</v>
      </c>
      <c r="R20" s="150">
        <f t="shared" si="1"/>
        <v>0.402847524971028</v>
      </c>
      <c r="S20" s="149">
        <f t="shared" ref="S20:X20" si="6">SUM(S13:S19)</f>
        <v>15</v>
      </c>
      <c r="T20" s="149">
        <f t="shared" si="6"/>
        <v>0</v>
      </c>
      <c r="U20" s="149">
        <f t="shared" si="6"/>
        <v>0</v>
      </c>
      <c r="V20" s="98">
        <f t="shared" si="6"/>
        <v>196</v>
      </c>
      <c r="W20" s="98">
        <f t="shared" si="6"/>
        <v>8</v>
      </c>
      <c r="X20" s="149">
        <f t="shared" si="6"/>
        <v>0</v>
      </c>
    </row>
    <row r="21" ht="25" customHeight="1" spans="1:24">
      <c r="A21" s="138">
        <v>45970</v>
      </c>
      <c r="B21" s="139"/>
      <c r="C21" s="100"/>
      <c r="D21" s="100"/>
      <c r="E21" s="100"/>
      <c r="F21" s="100"/>
      <c r="G21" s="101" t="e">
        <f t="shared" si="0"/>
        <v>#DIV/0!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1" t="e">
        <f t="shared" si="1"/>
        <v>#DIV/0!</v>
      </c>
      <c r="S21" s="100"/>
      <c r="T21" s="100"/>
      <c r="U21" s="100"/>
      <c r="V21" s="100"/>
      <c r="W21" s="100"/>
      <c r="X21" s="100"/>
    </row>
    <row r="22" ht="25" customHeight="1" spans="1:24">
      <c r="A22" s="140">
        <v>45971</v>
      </c>
      <c r="B22" s="141"/>
      <c r="C22" s="102">
        <v>6315</v>
      </c>
      <c r="D22" s="102">
        <v>6063</v>
      </c>
      <c r="E22" s="102"/>
      <c r="F22" s="102">
        <v>252</v>
      </c>
      <c r="G22" s="97">
        <f t="shared" si="0"/>
        <v>3.99049881235154</v>
      </c>
      <c r="H22" s="102">
        <v>195</v>
      </c>
      <c r="I22" s="102">
        <v>57</v>
      </c>
      <c r="J22" s="102"/>
      <c r="K22" s="102"/>
      <c r="L22" s="102"/>
      <c r="M22" s="96"/>
      <c r="N22" s="102">
        <v>6063</v>
      </c>
      <c r="O22" s="102">
        <v>5885</v>
      </c>
      <c r="P22" s="102"/>
      <c r="Q22" s="102">
        <v>178</v>
      </c>
      <c r="R22" s="97">
        <f t="shared" si="1"/>
        <v>2.93584034306449</v>
      </c>
      <c r="S22" s="102">
        <v>126</v>
      </c>
      <c r="T22" s="102"/>
      <c r="U22" s="102"/>
      <c r="V22" s="102">
        <v>50</v>
      </c>
      <c r="W22" s="102">
        <v>2</v>
      </c>
      <c r="X22" s="102"/>
    </row>
    <row r="23" ht="25" customHeight="1" spans="1:24">
      <c r="A23" s="140">
        <v>45972</v>
      </c>
      <c r="B23" s="141"/>
      <c r="C23" s="151">
        <v>5600</v>
      </c>
      <c r="D23" s="152">
        <v>5095</v>
      </c>
      <c r="E23" s="152"/>
      <c r="F23" s="152">
        <v>500</v>
      </c>
      <c r="G23" s="97">
        <f t="shared" si="0"/>
        <v>8.92857142857143</v>
      </c>
      <c r="H23" s="152">
        <v>7</v>
      </c>
      <c r="I23" s="152">
        <v>107</v>
      </c>
      <c r="J23" s="152">
        <v>386</v>
      </c>
      <c r="K23" s="152"/>
      <c r="L23" s="152"/>
      <c r="M23" s="183"/>
      <c r="N23" s="151">
        <v>5095</v>
      </c>
      <c r="O23" s="152">
        <v>4836</v>
      </c>
      <c r="P23" s="152"/>
      <c r="Q23" s="152">
        <v>311</v>
      </c>
      <c r="R23" s="201">
        <f t="shared" si="1"/>
        <v>6.10402355250245</v>
      </c>
      <c r="S23" s="152">
        <v>244</v>
      </c>
      <c r="T23" s="152"/>
      <c r="U23" s="152"/>
      <c r="V23" s="152">
        <v>67</v>
      </c>
      <c r="W23" s="151"/>
      <c r="X23" s="152"/>
    </row>
    <row r="24" ht="25" customHeight="1" spans="1:24">
      <c r="A24" s="140">
        <v>45973</v>
      </c>
      <c r="B24" s="141"/>
      <c r="C24" s="145">
        <v>7442</v>
      </c>
      <c r="D24" s="96">
        <v>7438</v>
      </c>
      <c r="E24" s="96"/>
      <c r="F24" s="96">
        <v>4</v>
      </c>
      <c r="G24" s="97">
        <f t="shared" si="0"/>
        <v>0.0537489922063961</v>
      </c>
      <c r="H24" s="96">
        <v>1</v>
      </c>
      <c r="I24" s="96">
        <v>3</v>
      </c>
      <c r="J24" s="96"/>
      <c r="K24" s="96"/>
      <c r="L24" s="96"/>
      <c r="M24" s="96"/>
      <c r="N24" s="145">
        <v>7438</v>
      </c>
      <c r="O24" s="96">
        <v>7360</v>
      </c>
      <c r="P24" s="96"/>
      <c r="Q24" s="96">
        <v>78</v>
      </c>
      <c r="R24" s="97">
        <f t="shared" si="1"/>
        <v>1.04866899704222</v>
      </c>
      <c r="S24" s="96">
        <v>15</v>
      </c>
      <c r="T24" s="96"/>
      <c r="U24" s="96"/>
      <c r="V24" s="96">
        <v>63</v>
      </c>
      <c r="W24" s="145"/>
      <c r="X24" s="96"/>
    </row>
    <row r="25" ht="25" customHeight="1" spans="1:24">
      <c r="A25" s="140">
        <v>45974</v>
      </c>
      <c r="B25" s="141"/>
      <c r="C25" s="151">
        <v>7475</v>
      </c>
      <c r="D25" s="152">
        <v>7466</v>
      </c>
      <c r="E25" s="152"/>
      <c r="F25" s="152">
        <v>9</v>
      </c>
      <c r="G25" s="97">
        <f t="shared" si="0"/>
        <v>0.120401337792642</v>
      </c>
      <c r="H25" s="152"/>
      <c r="I25" s="152">
        <v>9</v>
      </c>
      <c r="J25" s="152"/>
      <c r="K25" s="152"/>
      <c r="L25" s="152"/>
      <c r="M25" s="183"/>
      <c r="N25" s="151">
        <v>7466</v>
      </c>
      <c r="O25" s="152">
        <v>7338</v>
      </c>
      <c r="P25" s="152"/>
      <c r="Q25" s="152">
        <v>128</v>
      </c>
      <c r="R25" s="97">
        <f t="shared" si="1"/>
        <v>1.71443878917761</v>
      </c>
      <c r="S25" s="152">
        <v>71</v>
      </c>
      <c r="T25" s="152"/>
      <c r="U25" s="152"/>
      <c r="V25" s="152">
        <v>57</v>
      </c>
      <c r="W25" s="151"/>
      <c r="X25" s="152"/>
    </row>
    <row r="26" ht="25" customHeight="1" spans="1:24">
      <c r="A26" s="140">
        <v>45975</v>
      </c>
      <c r="B26" s="141"/>
      <c r="C26" s="96">
        <v>8216</v>
      </c>
      <c r="D26" s="96">
        <v>7965</v>
      </c>
      <c r="E26" s="96"/>
      <c r="F26" s="96">
        <v>251</v>
      </c>
      <c r="G26" s="97">
        <f t="shared" si="0"/>
        <v>3.05501460564752</v>
      </c>
      <c r="H26" s="96"/>
      <c r="I26" s="96">
        <v>15</v>
      </c>
      <c r="J26" s="96">
        <v>21</v>
      </c>
      <c r="K26" s="96">
        <v>215</v>
      </c>
      <c r="L26" s="96"/>
      <c r="M26" s="96"/>
      <c r="N26" s="96">
        <v>7965</v>
      </c>
      <c r="O26" s="96">
        <v>7709</v>
      </c>
      <c r="P26" s="96"/>
      <c r="Q26" s="96">
        <v>256</v>
      </c>
      <c r="R26" s="97">
        <f t="shared" si="1"/>
        <v>3.21406151914626</v>
      </c>
      <c r="S26" s="96">
        <v>161</v>
      </c>
      <c r="T26" s="96"/>
      <c r="U26" s="96"/>
      <c r="V26" s="96">
        <v>95</v>
      </c>
      <c r="W26" s="145"/>
      <c r="X26" s="96"/>
    </row>
    <row r="27" ht="25" customHeight="1" spans="1:24">
      <c r="A27" s="140">
        <v>45976</v>
      </c>
      <c r="B27" s="141"/>
      <c r="C27" s="96">
        <v>7661</v>
      </c>
      <c r="D27" s="96">
        <v>9637</v>
      </c>
      <c r="E27" s="96"/>
      <c r="F27" s="96">
        <v>24</v>
      </c>
      <c r="G27" s="97">
        <f t="shared" si="0"/>
        <v>0.313275029369534</v>
      </c>
      <c r="H27" s="96"/>
      <c r="I27" s="96">
        <v>11</v>
      </c>
      <c r="J27" s="96">
        <v>13</v>
      </c>
      <c r="K27" s="96"/>
      <c r="L27" s="96"/>
      <c r="M27" s="96"/>
      <c r="N27" s="96">
        <v>9637</v>
      </c>
      <c r="O27" s="96">
        <v>9533</v>
      </c>
      <c r="P27" s="96"/>
      <c r="Q27" s="96">
        <v>104</v>
      </c>
      <c r="R27" s="201">
        <f t="shared" si="1"/>
        <v>1.07917401681021</v>
      </c>
      <c r="S27" s="96">
        <v>29</v>
      </c>
      <c r="T27" s="96"/>
      <c r="U27" s="96"/>
      <c r="V27" s="96">
        <v>75</v>
      </c>
      <c r="W27" s="145"/>
      <c r="X27" s="96"/>
    </row>
    <row r="28" customFormat="1" ht="25" customHeight="1" spans="1:24">
      <c r="A28" s="136" t="s">
        <v>40</v>
      </c>
      <c r="B28" s="137"/>
      <c r="C28" s="98">
        <f t="shared" ref="C28:F28" si="7">SUM(C21:C27)</f>
        <v>42709</v>
      </c>
      <c r="D28" s="98">
        <f t="shared" si="7"/>
        <v>43664</v>
      </c>
      <c r="E28" s="98">
        <f t="shared" si="7"/>
        <v>0</v>
      </c>
      <c r="F28" s="98">
        <f t="shared" si="7"/>
        <v>1040</v>
      </c>
      <c r="G28" s="99">
        <f t="shared" si="0"/>
        <v>2.43508394015313</v>
      </c>
      <c r="H28" s="98">
        <f t="shared" ref="H28:L28" si="8">SUM(H21:H27)</f>
        <v>203</v>
      </c>
      <c r="I28" s="98">
        <f t="shared" si="8"/>
        <v>202</v>
      </c>
      <c r="J28" s="98">
        <f t="shared" si="8"/>
        <v>420</v>
      </c>
      <c r="K28" s="98">
        <f t="shared" si="8"/>
        <v>215</v>
      </c>
      <c r="L28" s="98">
        <f t="shared" si="8"/>
        <v>0</v>
      </c>
      <c r="M28" s="184"/>
      <c r="N28" s="98">
        <f>SUM(N21:N27)</f>
        <v>43664</v>
      </c>
      <c r="O28" s="98">
        <f t="shared" ref="O28:Q28" si="9">SUM(O22:O27)</f>
        <v>42661</v>
      </c>
      <c r="P28" s="98">
        <f t="shared" si="9"/>
        <v>0</v>
      </c>
      <c r="Q28" s="98">
        <f t="shared" si="9"/>
        <v>1055</v>
      </c>
      <c r="R28" s="99">
        <f t="shared" si="1"/>
        <v>2.41617808721143</v>
      </c>
      <c r="S28" s="98">
        <f t="shared" ref="S28:X28" si="10">SUM(S21:S27)</f>
        <v>646</v>
      </c>
      <c r="T28" s="98">
        <f t="shared" si="10"/>
        <v>0</v>
      </c>
      <c r="U28" s="98">
        <f t="shared" si="10"/>
        <v>0</v>
      </c>
      <c r="V28" s="98">
        <f t="shared" si="10"/>
        <v>407</v>
      </c>
      <c r="W28" s="202">
        <f t="shared" si="10"/>
        <v>2</v>
      </c>
      <c r="X28" s="98">
        <f t="shared" si="10"/>
        <v>0</v>
      </c>
    </row>
    <row r="29" s="74" customFormat="1" ht="25" customHeight="1" spans="1:24">
      <c r="A29" s="153">
        <v>45977</v>
      </c>
      <c r="B29" s="154"/>
      <c r="C29" s="155"/>
      <c r="D29" s="155"/>
      <c r="E29" s="155"/>
      <c r="F29" s="155"/>
      <c r="G29" s="156" t="e">
        <f t="shared" si="0"/>
        <v>#DIV/0!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203" t="e">
        <f t="shared" si="1"/>
        <v>#DIV/0!</v>
      </c>
      <c r="S29" s="155"/>
      <c r="T29" s="155"/>
      <c r="U29" s="155"/>
      <c r="V29" s="155"/>
      <c r="W29" s="155"/>
      <c r="X29" s="155"/>
    </row>
    <row r="30" ht="25" customHeight="1" spans="1:24">
      <c r="A30" s="140">
        <v>45978</v>
      </c>
      <c r="B30" s="141"/>
      <c r="C30" s="145">
        <v>10482</v>
      </c>
      <c r="D30" s="145">
        <v>10434</v>
      </c>
      <c r="E30" s="145"/>
      <c r="F30" s="145">
        <v>48</v>
      </c>
      <c r="G30" s="157">
        <f t="shared" si="0"/>
        <v>0.457927876359473</v>
      </c>
      <c r="H30" s="145"/>
      <c r="I30" s="145">
        <v>2</v>
      </c>
      <c r="J30" s="145">
        <v>9</v>
      </c>
      <c r="K30" s="145">
        <v>37</v>
      </c>
      <c r="L30" s="145"/>
      <c r="M30" s="122"/>
      <c r="N30" s="145">
        <v>10434</v>
      </c>
      <c r="O30" s="145">
        <v>10337</v>
      </c>
      <c r="P30" s="145"/>
      <c r="Q30" s="145">
        <v>97</v>
      </c>
      <c r="R30" s="144">
        <f t="shared" si="1"/>
        <v>0.929653057312632</v>
      </c>
      <c r="S30" s="145">
        <v>30</v>
      </c>
      <c r="T30" s="145"/>
      <c r="U30" s="145"/>
      <c r="V30" s="145">
        <v>67</v>
      </c>
      <c r="W30" s="145"/>
      <c r="X30" s="122"/>
    </row>
    <row r="31" ht="25" customHeight="1" spans="1:24">
      <c r="A31" s="140">
        <v>45979</v>
      </c>
      <c r="B31" s="141"/>
      <c r="C31" s="145">
        <v>10449</v>
      </c>
      <c r="D31" s="145">
        <v>10437</v>
      </c>
      <c r="E31" s="145"/>
      <c r="F31" s="145">
        <v>12</v>
      </c>
      <c r="G31" s="157">
        <f t="shared" si="0"/>
        <v>0.114843525696239</v>
      </c>
      <c r="H31" s="145"/>
      <c r="I31" s="145">
        <v>2</v>
      </c>
      <c r="J31" s="145">
        <v>8</v>
      </c>
      <c r="K31" s="145"/>
      <c r="L31" s="145"/>
      <c r="M31" s="122"/>
      <c r="N31" s="145">
        <v>10437</v>
      </c>
      <c r="O31" s="145">
        <v>10390</v>
      </c>
      <c r="P31" s="145"/>
      <c r="Q31" s="145">
        <v>47</v>
      </c>
      <c r="R31" s="144">
        <f t="shared" si="1"/>
        <v>0.450320973459806</v>
      </c>
      <c r="S31" s="145">
        <v>26</v>
      </c>
      <c r="T31" s="145"/>
      <c r="U31" s="145"/>
      <c r="V31" s="145">
        <v>21</v>
      </c>
      <c r="W31" s="145"/>
      <c r="X31" s="96"/>
    </row>
    <row r="32" ht="25" customHeight="1" spans="1:24">
      <c r="A32" s="140">
        <v>45980</v>
      </c>
      <c r="B32" s="141"/>
      <c r="C32" s="145">
        <v>11093</v>
      </c>
      <c r="D32" s="145">
        <v>11074</v>
      </c>
      <c r="E32" s="145"/>
      <c r="F32" s="145">
        <v>19</v>
      </c>
      <c r="G32" s="157">
        <f t="shared" si="0"/>
        <v>0.171279185071667</v>
      </c>
      <c r="H32" s="145">
        <v>5</v>
      </c>
      <c r="I32" s="145">
        <v>2</v>
      </c>
      <c r="J32" s="145">
        <v>12</v>
      </c>
      <c r="K32" s="145"/>
      <c r="L32" s="145"/>
      <c r="M32" s="122"/>
      <c r="N32" s="145">
        <v>11074</v>
      </c>
      <c r="O32" s="145">
        <v>11027</v>
      </c>
      <c r="P32" s="145"/>
      <c r="Q32" s="145">
        <v>47</v>
      </c>
      <c r="R32" s="144">
        <f t="shared" si="1"/>
        <v>0.424417554632472</v>
      </c>
      <c r="S32" s="145">
        <v>10</v>
      </c>
      <c r="T32" s="145"/>
      <c r="U32" s="145"/>
      <c r="V32" s="145">
        <v>37</v>
      </c>
      <c r="W32" s="145"/>
      <c r="X32" s="96"/>
    </row>
    <row r="33" ht="25" customHeight="1" spans="1:24">
      <c r="A33" s="140">
        <v>45981</v>
      </c>
      <c r="B33" s="141"/>
      <c r="C33" s="145">
        <v>10233</v>
      </c>
      <c r="D33" s="145">
        <v>10226</v>
      </c>
      <c r="E33" s="145"/>
      <c r="F33" s="145">
        <v>7</v>
      </c>
      <c r="G33" s="157">
        <f t="shared" si="0"/>
        <v>0.0684061370077201</v>
      </c>
      <c r="H33" s="145"/>
      <c r="I33" s="145">
        <v>2</v>
      </c>
      <c r="J33" s="145">
        <v>5</v>
      </c>
      <c r="K33" s="145"/>
      <c r="L33" s="145"/>
      <c r="M33" s="122"/>
      <c r="N33" s="145">
        <v>10233</v>
      </c>
      <c r="O33" s="145">
        <v>10208</v>
      </c>
      <c r="P33" s="145"/>
      <c r="Q33" s="145">
        <v>25</v>
      </c>
      <c r="R33" s="144">
        <f t="shared" si="1"/>
        <v>0.244307632170429</v>
      </c>
      <c r="S33" s="145">
        <v>8</v>
      </c>
      <c r="T33" s="145"/>
      <c r="U33" s="145"/>
      <c r="V33" s="145">
        <v>17</v>
      </c>
      <c r="W33" s="145"/>
      <c r="X33" s="96"/>
    </row>
    <row r="34" ht="25" customHeight="1" spans="1:24">
      <c r="A34" s="140">
        <v>45982</v>
      </c>
      <c r="B34" s="141"/>
      <c r="C34" s="145">
        <v>8584</v>
      </c>
      <c r="D34" s="145">
        <v>8566</v>
      </c>
      <c r="E34" s="145"/>
      <c r="F34" s="145">
        <v>18</v>
      </c>
      <c r="G34" s="157">
        <f t="shared" ref="G34:G46" si="11">F34/C34*100</f>
        <v>0.209692451071761</v>
      </c>
      <c r="H34" s="145">
        <v>7</v>
      </c>
      <c r="I34" s="145">
        <v>1</v>
      </c>
      <c r="J34" s="145">
        <v>10</v>
      </c>
      <c r="K34" s="145"/>
      <c r="L34" s="96"/>
      <c r="M34" s="185"/>
      <c r="N34" s="145">
        <v>8566</v>
      </c>
      <c r="O34" s="145">
        <v>8503</v>
      </c>
      <c r="P34" s="145"/>
      <c r="Q34" s="145">
        <v>63</v>
      </c>
      <c r="R34" s="144">
        <f t="shared" si="1"/>
        <v>0.735465795003502</v>
      </c>
      <c r="S34" s="145">
        <v>11</v>
      </c>
      <c r="T34" s="145"/>
      <c r="U34" s="145"/>
      <c r="V34" s="145">
        <v>52</v>
      </c>
      <c r="W34" s="145"/>
      <c r="X34" s="96"/>
    </row>
    <row r="35" ht="25" customHeight="1" spans="1:24">
      <c r="A35" s="140">
        <v>45983</v>
      </c>
      <c r="B35" s="141"/>
      <c r="C35" s="145">
        <v>4382</v>
      </c>
      <c r="D35" s="145">
        <v>4367</v>
      </c>
      <c r="E35" s="145"/>
      <c r="F35" s="145">
        <v>15</v>
      </c>
      <c r="G35" s="26">
        <f t="shared" si="11"/>
        <v>0.342309447740758</v>
      </c>
      <c r="H35" s="145">
        <v>2</v>
      </c>
      <c r="I35" s="145">
        <v>9</v>
      </c>
      <c r="J35" s="145">
        <v>4</v>
      </c>
      <c r="K35" s="145"/>
      <c r="L35" s="96"/>
      <c r="M35" s="185"/>
      <c r="N35" s="145">
        <v>4367</v>
      </c>
      <c r="O35" s="145">
        <v>4262</v>
      </c>
      <c r="P35" s="145"/>
      <c r="Q35" s="145">
        <v>105</v>
      </c>
      <c r="R35" s="144">
        <f t="shared" si="1"/>
        <v>2.40439661094573</v>
      </c>
      <c r="S35" s="145">
        <v>50</v>
      </c>
      <c r="T35" s="145"/>
      <c r="U35" s="145"/>
      <c r="V35" s="145">
        <v>55</v>
      </c>
      <c r="W35" s="145"/>
      <c r="X35" s="96"/>
    </row>
    <row r="36" customFormat="1" ht="25" customHeight="1" spans="1:24">
      <c r="A36" s="136" t="s">
        <v>41</v>
      </c>
      <c r="B36" s="137"/>
      <c r="C36" s="89">
        <f t="shared" ref="C36:F36" si="12">SUM(C29:C35)</f>
        <v>55223</v>
      </c>
      <c r="D36" s="89">
        <f t="shared" si="12"/>
        <v>55104</v>
      </c>
      <c r="E36" s="89">
        <f t="shared" si="12"/>
        <v>0</v>
      </c>
      <c r="F36" s="89">
        <f t="shared" si="12"/>
        <v>119</v>
      </c>
      <c r="G36" s="90">
        <f t="shared" si="11"/>
        <v>0.215489922677145</v>
      </c>
      <c r="H36" s="89">
        <f t="shared" ref="H36:L36" si="13">SUM(H29:H35)</f>
        <v>14</v>
      </c>
      <c r="I36" s="89">
        <f t="shared" si="13"/>
        <v>18</v>
      </c>
      <c r="J36" s="89">
        <f t="shared" si="13"/>
        <v>48</v>
      </c>
      <c r="K36" s="89">
        <f t="shared" si="13"/>
        <v>37</v>
      </c>
      <c r="L36" s="89">
        <f t="shared" si="13"/>
        <v>0</v>
      </c>
      <c r="M36" s="178"/>
      <c r="N36" s="89">
        <f>SUM(N29:N35)</f>
        <v>55111</v>
      </c>
      <c r="O36" s="89">
        <f t="shared" ref="O36:Q36" si="14">SUM(O29:O35)</f>
        <v>54727</v>
      </c>
      <c r="P36" s="89">
        <f t="shared" si="14"/>
        <v>0</v>
      </c>
      <c r="Q36" s="89">
        <f t="shared" si="14"/>
        <v>384</v>
      </c>
      <c r="R36" s="90">
        <f t="shared" ref="R34:R46" si="15">Q36/N36*100</f>
        <v>0.6967755983379</v>
      </c>
      <c r="S36" s="89">
        <f t="shared" ref="S36:X36" si="16">SUM(S29:S35)</f>
        <v>135</v>
      </c>
      <c r="T36" s="89">
        <f t="shared" si="16"/>
        <v>0</v>
      </c>
      <c r="U36" s="89">
        <f t="shared" si="16"/>
        <v>0</v>
      </c>
      <c r="V36" s="89">
        <f t="shared" si="16"/>
        <v>249</v>
      </c>
      <c r="W36" s="204">
        <f t="shared" si="16"/>
        <v>0</v>
      </c>
      <c r="X36" s="89">
        <f t="shared" si="16"/>
        <v>0</v>
      </c>
    </row>
    <row r="37" ht="25" customHeight="1" spans="1:24">
      <c r="A37" s="138">
        <v>45984</v>
      </c>
      <c r="B37" s="139"/>
      <c r="C37" s="158"/>
      <c r="D37" s="159"/>
      <c r="E37" s="159"/>
      <c r="F37" s="159"/>
      <c r="G37" s="160" t="e">
        <f t="shared" si="11"/>
        <v>#DIV/0!</v>
      </c>
      <c r="H37" s="159"/>
      <c r="I37" s="159"/>
      <c r="J37" s="159"/>
      <c r="K37" s="159"/>
      <c r="L37" s="159"/>
      <c r="M37" s="186"/>
      <c r="N37" s="158"/>
      <c r="O37" s="159"/>
      <c r="P37" s="159"/>
      <c r="Q37" s="159"/>
      <c r="R37" s="205" t="e">
        <f t="shared" si="15"/>
        <v>#DIV/0!</v>
      </c>
      <c r="S37" s="159"/>
      <c r="T37" s="159"/>
      <c r="U37" s="159"/>
      <c r="V37" s="159"/>
      <c r="W37" s="158"/>
      <c r="X37" s="159"/>
    </row>
    <row r="38" ht="25" customHeight="1" spans="1:24">
      <c r="A38" s="140">
        <v>45985</v>
      </c>
      <c r="B38" s="141"/>
      <c r="C38" s="161">
        <v>4457</v>
      </c>
      <c r="D38" s="162">
        <v>4431</v>
      </c>
      <c r="E38" s="162"/>
      <c r="F38" s="162">
        <v>26</v>
      </c>
      <c r="G38" s="26">
        <f t="shared" si="11"/>
        <v>0.583352030513798</v>
      </c>
      <c r="H38" s="162">
        <v>4</v>
      </c>
      <c r="I38" s="162">
        <v>2</v>
      </c>
      <c r="J38" s="162">
        <v>20</v>
      </c>
      <c r="K38" s="162"/>
      <c r="L38" s="162"/>
      <c r="M38" s="185"/>
      <c r="N38" s="161">
        <v>4431</v>
      </c>
      <c r="O38" s="162">
        <v>4396</v>
      </c>
      <c r="P38" s="162"/>
      <c r="Q38" s="162">
        <v>35</v>
      </c>
      <c r="R38" s="144">
        <f t="shared" si="15"/>
        <v>0.789889415481832</v>
      </c>
      <c r="S38" s="162">
        <v>12</v>
      </c>
      <c r="T38" s="162"/>
      <c r="U38" s="162"/>
      <c r="V38" s="162">
        <v>23</v>
      </c>
      <c r="W38" s="161"/>
      <c r="X38" s="162"/>
    </row>
    <row r="39" ht="25" customHeight="1" spans="1:24">
      <c r="A39" s="140">
        <v>45986</v>
      </c>
      <c r="B39" s="141"/>
      <c r="C39" s="161">
        <v>3159</v>
      </c>
      <c r="D39" s="162">
        <v>3144</v>
      </c>
      <c r="E39" s="162"/>
      <c r="F39" s="162">
        <v>15</v>
      </c>
      <c r="G39" s="26">
        <f t="shared" si="11"/>
        <v>0.474833808167141</v>
      </c>
      <c r="H39" s="162"/>
      <c r="I39" s="162"/>
      <c r="J39" s="162">
        <v>15</v>
      </c>
      <c r="K39" s="162"/>
      <c r="L39" s="162"/>
      <c r="M39" s="185"/>
      <c r="N39" s="161">
        <v>3144</v>
      </c>
      <c r="O39" s="162">
        <v>3117</v>
      </c>
      <c r="P39" s="162"/>
      <c r="Q39" s="162">
        <v>27</v>
      </c>
      <c r="R39" s="144">
        <f t="shared" si="15"/>
        <v>0.858778625954199</v>
      </c>
      <c r="S39" s="162">
        <v>18</v>
      </c>
      <c r="T39" s="162"/>
      <c r="U39" s="162"/>
      <c r="V39" s="162">
        <v>9</v>
      </c>
      <c r="W39" s="161"/>
      <c r="X39" s="162"/>
    </row>
    <row r="40" ht="25" customHeight="1" spans="1:24">
      <c r="A40" s="140">
        <v>45987</v>
      </c>
      <c r="B40" s="141"/>
      <c r="C40" s="161">
        <v>4012</v>
      </c>
      <c r="D40" s="162">
        <v>3987</v>
      </c>
      <c r="E40" s="162"/>
      <c r="F40" s="162">
        <v>25</v>
      </c>
      <c r="G40" s="26">
        <f t="shared" si="11"/>
        <v>0.623130608175474</v>
      </c>
      <c r="H40" s="162">
        <v>12</v>
      </c>
      <c r="I40" s="162"/>
      <c r="J40" s="162">
        <v>3</v>
      </c>
      <c r="K40" s="162"/>
      <c r="L40" s="162"/>
      <c r="M40" s="185"/>
      <c r="N40" s="161">
        <v>3987</v>
      </c>
      <c r="O40" s="162">
        <v>3941</v>
      </c>
      <c r="P40" s="162"/>
      <c r="Q40" s="162">
        <v>46</v>
      </c>
      <c r="R40" s="144">
        <f t="shared" si="15"/>
        <v>1.15374968648106</v>
      </c>
      <c r="S40" s="162">
        <v>11</v>
      </c>
      <c r="T40" s="162"/>
      <c r="U40" s="162"/>
      <c r="V40" s="162">
        <v>35</v>
      </c>
      <c r="W40" s="161"/>
      <c r="X40" s="162"/>
    </row>
    <row r="41" ht="25" customHeight="1" spans="1:24">
      <c r="A41" s="140">
        <v>45988</v>
      </c>
      <c r="B41" s="141"/>
      <c r="C41" s="161">
        <v>7900</v>
      </c>
      <c r="D41" s="162">
        <v>7834</v>
      </c>
      <c r="E41" s="162"/>
      <c r="F41" s="162">
        <v>66</v>
      </c>
      <c r="G41" s="26">
        <f t="shared" si="11"/>
        <v>0.835443037974684</v>
      </c>
      <c r="H41" s="162">
        <v>61</v>
      </c>
      <c r="I41" s="162"/>
      <c r="J41" s="162">
        <v>5</v>
      </c>
      <c r="K41" s="162"/>
      <c r="L41" s="162"/>
      <c r="M41" s="185"/>
      <c r="N41" s="161">
        <v>7834</v>
      </c>
      <c r="O41" s="162">
        <v>7782</v>
      </c>
      <c r="P41" s="162"/>
      <c r="Q41" s="162">
        <v>52</v>
      </c>
      <c r="R41" s="144">
        <f t="shared" si="15"/>
        <v>0.663773295889711</v>
      </c>
      <c r="S41" s="162">
        <v>10</v>
      </c>
      <c r="T41" s="162"/>
      <c r="U41" s="162"/>
      <c r="V41" s="162">
        <v>42</v>
      </c>
      <c r="W41" s="161"/>
      <c r="X41" s="162"/>
    </row>
    <row r="42" ht="25" customHeight="1" spans="1:24">
      <c r="A42" s="140">
        <v>45989</v>
      </c>
      <c r="B42" s="141"/>
      <c r="C42" s="161">
        <v>8234</v>
      </c>
      <c r="D42" s="162">
        <v>7899</v>
      </c>
      <c r="E42" s="162"/>
      <c r="F42" s="162">
        <v>335</v>
      </c>
      <c r="G42" s="26">
        <f t="shared" si="11"/>
        <v>4.06849647801797</v>
      </c>
      <c r="H42" s="162">
        <v>314</v>
      </c>
      <c r="I42" s="162">
        <v>5</v>
      </c>
      <c r="J42" s="162">
        <v>16</v>
      </c>
      <c r="K42" s="162"/>
      <c r="L42" s="162"/>
      <c r="M42" s="185"/>
      <c r="N42" s="161">
        <v>6643</v>
      </c>
      <c r="O42" s="162">
        <v>6603</v>
      </c>
      <c r="P42" s="162"/>
      <c r="Q42" s="162">
        <v>40</v>
      </c>
      <c r="R42" s="144">
        <f t="shared" si="15"/>
        <v>0.602137588438958</v>
      </c>
      <c r="S42" s="162">
        <v>9</v>
      </c>
      <c r="T42" s="162"/>
      <c r="U42" s="162"/>
      <c r="V42" s="162">
        <v>31</v>
      </c>
      <c r="W42" s="161"/>
      <c r="X42" s="162"/>
    </row>
    <row r="43" ht="25" customHeight="1" spans="1:24">
      <c r="A43" s="140">
        <v>45990</v>
      </c>
      <c r="B43" s="141"/>
      <c r="C43" s="161">
        <v>9878</v>
      </c>
      <c r="D43" s="162">
        <v>9557</v>
      </c>
      <c r="E43" s="162"/>
      <c r="F43" s="162">
        <v>21</v>
      </c>
      <c r="G43" s="26">
        <f t="shared" si="11"/>
        <v>0.21259364243774</v>
      </c>
      <c r="H43" s="162">
        <v>17</v>
      </c>
      <c r="I43" s="162">
        <v>3</v>
      </c>
      <c r="J43" s="162">
        <v>1</v>
      </c>
      <c r="K43" s="162"/>
      <c r="L43" s="162"/>
      <c r="M43" s="185"/>
      <c r="N43" s="161">
        <v>10814</v>
      </c>
      <c r="O43" s="162">
        <v>10704</v>
      </c>
      <c r="P43" s="162"/>
      <c r="Q43" s="162">
        <v>110</v>
      </c>
      <c r="R43" s="144">
        <f t="shared" si="15"/>
        <v>1.01719992602182</v>
      </c>
      <c r="S43" s="162">
        <v>80</v>
      </c>
      <c r="T43" s="162"/>
      <c r="U43" s="162"/>
      <c r="V43" s="162">
        <v>30</v>
      </c>
      <c r="W43" s="161"/>
      <c r="X43" s="162"/>
    </row>
    <row r="44" ht="25" customHeight="1" spans="1:24">
      <c r="A44" s="138">
        <v>45991</v>
      </c>
      <c r="B44" s="139"/>
      <c r="C44" s="158"/>
      <c r="D44" s="159"/>
      <c r="E44" s="159"/>
      <c r="F44" s="159"/>
      <c r="G44" s="160" t="e">
        <f t="shared" si="11"/>
        <v>#DIV/0!</v>
      </c>
      <c r="H44" s="159"/>
      <c r="I44" s="159"/>
      <c r="J44" s="159"/>
      <c r="K44" s="159"/>
      <c r="L44" s="159"/>
      <c r="M44" s="186"/>
      <c r="N44" s="158"/>
      <c r="O44" s="159"/>
      <c r="P44" s="159"/>
      <c r="Q44" s="159"/>
      <c r="R44" s="205" t="e">
        <f t="shared" si="15"/>
        <v>#DIV/0!</v>
      </c>
      <c r="S44" s="159"/>
      <c r="T44" s="159"/>
      <c r="U44" s="159"/>
      <c r="V44" s="159"/>
      <c r="W44" s="158"/>
      <c r="X44" s="159"/>
    </row>
    <row r="45" customFormat="1" ht="25" customHeight="1" spans="1:24">
      <c r="A45" s="136" t="s">
        <v>44</v>
      </c>
      <c r="B45" s="137"/>
      <c r="C45" s="89">
        <f>SUM(C37:C44)</f>
        <v>37640</v>
      </c>
      <c r="D45" s="89">
        <f>SUM(D37:D44)</f>
        <v>36852</v>
      </c>
      <c r="E45" s="89">
        <f>SUM(E37:E44)</f>
        <v>0</v>
      </c>
      <c r="F45" s="89">
        <f>SUM(F37:F44)</f>
        <v>488</v>
      </c>
      <c r="G45" s="90">
        <f t="shared" si="11"/>
        <v>1.29649309245484</v>
      </c>
      <c r="H45" s="89">
        <f>SUM(H37:H44)</f>
        <v>408</v>
      </c>
      <c r="I45" s="89">
        <f>SUM(I37:I44)</f>
        <v>10</v>
      </c>
      <c r="J45" s="89">
        <f>SUM(J37:J44)</f>
        <v>60</v>
      </c>
      <c r="K45" s="89">
        <f>SUM(K37:K44)</f>
        <v>0</v>
      </c>
      <c r="L45" s="89">
        <f>SUM(L37:L44)</f>
        <v>0</v>
      </c>
      <c r="M45" s="178"/>
      <c r="N45" s="89">
        <f>SUM(N37:N44)</f>
        <v>36853</v>
      </c>
      <c r="O45" s="89">
        <f>SUM(O37:O44)</f>
        <v>36543</v>
      </c>
      <c r="P45" s="89">
        <f>SUM(P37:P44)</f>
        <v>0</v>
      </c>
      <c r="Q45" s="89">
        <f>SUM(Q37:Q44)</f>
        <v>310</v>
      </c>
      <c r="R45" s="90">
        <f t="shared" si="15"/>
        <v>0.841179822538192</v>
      </c>
      <c r="S45" s="89">
        <f t="shared" ref="S45:X45" si="17">SUM(S37:S44)</f>
        <v>140</v>
      </c>
      <c r="T45" s="89">
        <f t="shared" si="17"/>
        <v>0</v>
      </c>
      <c r="U45" s="89">
        <f t="shared" si="17"/>
        <v>0</v>
      </c>
      <c r="V45" s="89">
        <f t="shared" si="17"/>
        <v>170</v>
      </c>
      <c r="W45" s="204">
        <f t="shared" si="17"/>
        <v>0</v>
      </c>
      <c r="X45" s="89">
        <f t="shared" si="17"/>
        <v>0</v>
      </c>
    </row>
    <row r="46" ht="28" customHeight="1" spans="1:24">
      <c r="A46" s="163" t="s">
        <v>24</v>
      </c>
      <c r="B46" s="164"/>
      <c r="C46" s="165">
        <f t="shared" ref="C46:F46" si="18">C45+C36+C28+C20+C12</f>
        <v>193213</v>
      </c>
      <c r="D46" s="107">
        <f t="shared" si="18"/>
        <v>193026</v>
      </c>
      <c r="E46" s="107">
        <f t="shared" si="18"/>
        <v>0</v>
      </c>
      <c r="F46" s="107">
        <f t="shared" si="18"/>
        <v>1880</v>
      </c>
      <c r="G46" s="108">
        <f t="shared" si="11"/>
        <v>0.97301941380756</v>
      </c>
      <c r="H46" s="107">
        <f t="shared" ref="H46:L46" si="19">H45+H36+H28+H20+H12</f>
        <v>775</v>
      </c>
      <c r="I46" s="107">
        <f t="shared" si="19"/>
        <v>269</v>
      </c>
      <c r="J46" s="107">
        <f t="shared" si="19"/>
        <v>531</v>
      </c>
      <c r="K46" s="107">
        <f t="shared" si="19"/>
        <v>252</v>
      </c>
      <c r="L46" s="107">
        <f t="shared" si="19"/>
        <v>0</v>
      </c>
      <c r="M46" s="115"/>
      <c r="N46" s="165">
        <f>N45+N36+N28+N20+N12</f>
        <v>193034</v>
      </c>
      <c r="O46" s="107">
        <f>O45+O36+O28+O20+O12</f>
        <v>191099</v>
      </c>
      <c r="P46" s="107">
        <f>P45+P36+P28+P20+P12</f>
        <v>0</v>
      </c>
      <c r="Q46" s="107">
        <f>Q45+Q36+Q28+Q20+Q12</f>
        <v>1987</v>
      </c>
      <c r="R46" s="108">
        <f t="shared" si="15"/>
        <v>1.02935234207445</v>
      </c>
      <c r="S46" s="107">
        <f t="shared" ref="S46:X46" si="20">S45+S36+S28+S20+S12</f>
        <v>936</v>
      </c>
      <c r="T46" s="107">
        <f t="shared" si="20"/>
        <v>0</v>
      </c>
      <c r="U46" s="107">
        <f t="shared" si="20"/>
        <v>0</v>
      </c>
      <c r="V46" s="107">
        <f t="shared" si="20"/>
        <v>1041</v>
      </c>
      <c r="W46" s="165">
        <f t="shared" si="20"/>
        <v>10</v>
      </c>
      <c r="X46" s="107">
        <f t="shared" si="20"/>
        <v>0</v>
      </c>
    </row>
    <row r="47" ht="35" customHeight="1" spans="1:24">
      <c r="A47" s="166" t="s">
        <v>25</v>
      </c>
      <c r="B47" s="167"/>
      <c r="C47" s="167"/>
      <c r="D47" s="168">
        <f>D46/$C$46*100</f>
        <v>99.9032156221372</v>
      </c>
      <c r="E47" s="168">
        <f>E46/$C$46*100</f>
        <v>0</v>
      </c>
      <c r="F47" s="168">
        <f>F46/C46*100</f>
        <v>0.97301941380756</v>
      </c>
      <c r="G47" s="168"/>
      <c r="H47" s="168">
        <f>H46/C46*100</f>
        <v>0.401111726436627</v>
      </c>
      <c r="I47" s="168">
        <f>I46/C46*100</f>
        <v>0.139224586337358</v>
      </c>
      <c r="J47" s="168">
        <f>J46/C46*100</f>
        <v>0.274826228048837</v>
      </c>
      <c r="K47" s="168"/>
      <c r="L47" s="187"/>
      <c r="M47" s="115"/>
      <c r="N47" s="188" t="s">
        <v>25</v>
      </c>
      <c r="O47" s="168">
        <f>O46/N46*100</f>
        <v>98.9975859175068</v>
      </c>
      <c r="P47" s="168">
        <f>P46/N46*100</f>
        <v>0</v>
      </c>
      <c r="Q47" s="168">
        <f>Q46/N46*100</f>
        <v>1.02935234207445</v>
      </c>
      <c r="R47" s="168"/>
      <c r="S47" s="168">
        <f>S46/N46*100</f>
        <v>0.484888672461846</v>
      </c>
      <c r="T47" s="168">
        <f>T46/N46*100</f>
        <v>0</v>
      </c>
      <c r="U47" s="168">
        <f>U46/N46*100</f>
        <v>0</v>
      </c>
      <c r="V47" s="168">
        <f>V46/N46*100</f>
        <v>0.539283235077758</v>
      </c>
      <c r="W47" s="188">
        <f>W46/N46*100</f>
        <v>0.00518043453484878</v>
      </c>
      <c r="X47" s="168"/>
    </row>
    <row r="48" ht="60" customHeight="1" spans="1:24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5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</row>
    <row r="49" ht="74" customHeight="1" spans="2:16">
      <c r="B49" s="34"/>
      <c r="C49" s="34"/>
      <c r="D49" s="34"/>
      <c r="E49" s="34"/>
      <c r="P49" s="111"/>
    </row>
    <row r="50" spans="2:5">
      <c r="B50" s="34"/>
      <c r="C50" s="34"/>
      <c r="D50" s="34"/>
      <c r="E50" s="34"/>
    </row>
    <row r="52" ht="28.5" spans="3:12"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ht="28.5" spans="3:12"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6" spans="2:3">
      <c r="B56" s="36" t="s">
        <v>26</v>
      </c>
      <c r="C56" s="36"/>
    </row>
    <row r="57" spans="2:3">
      <c r="B57" s="37" t="s">
        <v>16</v>
      </c>
      <c r="C57" s="37"/>
    </row>
    <row r="58" spans="2:3">
      <c r="B58" s="37" t="s">
        <v>27</v>
      </c>
      <c r="C58" s="37"/>
    </row>
    <row r="59" spans="2:3">
      <c r="B59" s="37" t="s">
        <v>18</v>
      </c>
      <c r="C59" s="37"/>
    </row>
    <row r="60" spans="2:3">
      <c r="B60" s="37" t="s">
        <v>28</v>
      </c>
      <c r="C60" s="37"/>
    </row>
    <row r="61" spans="2:2">
      <c r="B61" s="40"/>
    </row>
    <row r="62" spans="2:3">
      <c r="B62" s="36" t="s">
        <v>29</v>
      </c>
      <c r="C62" s="36"/>
    </row>
    <row r="63" spans="2:3">
      <c r="B63" s="37" t="s">
        <v>18</v>
      </c>
      <c r="C63" s="37"/>
    </row>
    <row r="64" spans="2:3">
      <c r="B64" s="37" t="s">
        <v>21</v>
      </c>
      <c r="C64" s="37"/>
    </row>
    <row r="65" spans="2:3">
      <c r="B65" s="37" t="s">
        <v>22</v>
      </c>
      <c r="C65" s="37"/>
    </row>
    <row r="66" spans="2:3">
      <c r="B66" s="37" t="s">
        <v>23</v>
      </c>
      <c r="C66" s="37"/>
    </row>
    <row r="67" spans="2:3">
      <c r="B67" s="37" t="s">
        <v>19</v>
      </c>
      <c r="C67" s="37"/>
    </row>
    <row r="68" spans="2:3">
      <c r="B68" s="37" t="s">
        <v>28</v>
      </c>
      <c r="C68" s="37"/>
    </row>
  </sheetData>
  <mergeCells count="82">
    <mergeCell ref="V3:W3"/>
    <mergeCell ref="V4:W4"/>
    <mergeCell ref="C5:U5"/>
    <mergeCell ref="V5:X5"/>
    <mergeCell ref="A6:X6"/>
    <mergeCell ref="A7:L7"/>
    <mergeCell ref="N7:X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C47"/>
    <mergeCell ref="B56:C56"/>
    <mergeCell ref="B57:C57"/>
    <mergeCell ref="B58:C58"/>
    <mergeCell ref="B59:C59"/>
    <mergeCell ref="B60:C60"/>
    <mergeCell ref="B62:C62"/>
    <mergeCell ref="B63:C63"/>
    <mergeCell ref="B64:C64"/>
    <mergeCell ref="B65:C65"/>
    <mergeCell ref="B66:C66"/>
    <mergeCell ref="B67:C67"/>
    <mergeCell ref="B68:C68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1:X2"/>
    <mergeCell ref="X8:X10"/>
    <mergeCell ref="A1:B5"/>
    <mergeCell ref="A8:B10"/>
    <mergeCell ref="C1:U4"/>
    <mergeCell ref="V1:W2"/>
  </mergeCells>
  <pageMargins left="0.251388888888889" right="0.251388888888889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69"/>
  <sheetViews>
    <sheetView zoomScale="80" zoomScaleNormal="80" zoomScalePageLayoutView="80" zoomScaleSheetLayoutView="70" topLeftCell="A6" workbookViewId="0">
      <pane ySplit="5" topLeftCell="A29" activePane="bottomLeft" state="frozen"/>
      <selection/>
      <selection pane="bottomLeft" activeCell="U45" sqref="U45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12.0380952380952" customWidth="1"/>
    <col min="4" max="4" width="14.9619047619048" customWidth="1"/>
    <col min="5" max="5" width="12.9333333333333" customWidth="1"/>
    <col min="6" max="6" width="8.85714285714286" customWidth="1"/>
    <col min="7" max="7" width="10.5714285714286" customWidth="1"/>
    <col min="8" max="8" width="10.247619047619" customWidth="1"/>
    <col min="9" max="9" width="11.4190476190476" customWidth="1"/>
    <col min="10" max="10" width="10.4285714285714" customWidth="1"/>
    <col min="11" max="11" width="9.74285714285714" customWidth="1"/>
    <col min="12" max="12" width="9.85714285714286" customWidth="1"/>
    <col min="13" max="13" width="3.25714285714286" style="75" customWidth="1"/>
    <col min="14" max="14" width="16.9619047619048" customWidth="1"/>
    <col min="15" max="15" width="12.4285714285714" customWidth="1"/>
    <col min="16" max="16" width="11.4285714285714" customWidth="1"/>
    <col min="17" max="17" width="8.85714285714286" customWidth="1"/>
    <col min="18" max="18" width="10.5714285714286" customWidth="1"/>
    <col min="19" max="19" width="11.2571428571429" customWidth="1"/>
    <col min="20" max="20" width="11.4190476190476" customWidth="1"/>
    <col min="21" max="21" width="10.247619047619" customWidth="1"/>
    <col min="22" max="22" width="13.4380952380952" customWidth="1"/>
    <col min="23" max="23" width="16.6095238095238" customWidth="1"/>
    <col min="24" max="24" width="14.2857142857143" customWidth="1"/>
    <col min="25" max="30" width="6.71428571428571" customWidth="1"/>
  </cols>
  <sheetData>
    <row r="1" spans="1:24">
      <c r="A1" s="1"/>
      <c r="B1" s="2"/>
      <c r="C1" s="76" t="s">
        <v>30</v>
      </c>
      <c r="D1" s="3"/>
      <c r="E1" s="3"/>
      <c r="F1" s="3"/>
      <c r="G1" s="3"/>
      <c r="H1" s="3"/>
      <c r="I1" s="3"/>
      <c r="J1" s="3"/>
      <c r="K1" s="3"/>
      <c r="L1" s="3"/>
      <c r="M1" s="169"/>
      <c r="N1" s="3"/>
      <c r="O1" s="3"/>
      <c r="P1" s="3"/>
      <c r="Q1" s="3"/>
      <c r="R1" s="3"/>
      <c r="S1" s="3"/>
      <c r="T1" s="3"/>
      <c r="U1" s="50"/>
      <c r="V1" s="189" t="s">
        <v>1</v>
      </c>
      <c r="W1" s="190"/>
      <c r="X1" s="191"/>
    </row>
    <row r="2" ht="23" customHeight="1" spans="1:24">
      <c r="A2" s="4"/>
      <c r="B2" s="5"/>
      <c r="C2" s="123"/>
      <c r="D2" s="6"/>
      <c r="E2" s="6"/>
      <c r="F2" s="6"/>
      <c r="G2" s="6"/>
      <c r="H2" s="6"/>
      <c r="I2" s="6"/>
      <c r="J2" s="6"/>
      <c r="K2" s="6"/>
      <c r="L2" s="6"/>
      <c r="M2" s="170"/>
      <c r="N2" s="6"/>
      <c r="O2" s="6"/>
      <c r="P2" s="6"/>
      <c r="Q2" s="6"/>
      <c r="R2" s="6"/>
      <c r="S2" s="6"/>
      <c r="T2" s="6"/>
      <c r="U2" s="54"/>
      <c r="V2" s="192"/>
      <c r="W2" s="193"/>
      <c r="X2" s="191"/>
    </row>
    <row r="3" ht="26" customHeight="1" spans="1:24">
      <c r="A3" s="4"/>
      <c r="B3" s="5"/>
      <c r="C3" s="123"/>
      <c r="D3" s="6"/>
      <c r="E3" s="6"/>
      <c r="F3" s="6"/>
      <c r="G3" s="6"/>
      <c r="H3" s="6"/>
      <c r="I3" s="6"/>
      <c r="J3" s="6"/>
      <c r="K3" s="6"/>
      <c r="L3" s="6"/>
      <c r="M3" s="170"/>
      <c r="N3" s="6"/>
      <c r="O3" s="6"/>
      <c r="P3" s="6"/>
      <c r="Q3" s="6"/>
      <c r="R3" s="6"/>
      <c r="S3" s="6"/>
      <c r="T3" s="6"/>
      <c r="U3" s="54"/>
      <c r="V3" s="194" t="s">
        <v>31</v>
      </c>
      <c r="W3" s="195"/>
      <c r="X3" s="191"/>
    </row>
    <row r="4" ht="24" customHeight="1" spans="1:24">
      <c r="A4" s="4"/>
      <c r="B4" s="5"/>
      <c r="C4" s="124"/>
      <c r="D4" s="7"/>
      <c r="E4" s="7"/>
      <c r="F4" s="7"/>
      <c r="G4" s="7"/>
      <c r="H4" s="7"/>
      <c r="I4" s="7"/>
      <c r="J4" s="7"/>
      <c r="K4" s="7"/>
      <c r="L4" s="7"/>
      <c r="M4" s="171"/>
      <c r="N4" s="7"/>
      <c r="O4" s="7"/>
      <c r="P4" s="7"/>
      <c r="Q4" s="7"/>
      <c r="R4" s="7"/>
      <c r="S4" s="7"/>
      <c r="T4" s="7"/>
      <c r="U4" s="59"/>
      <c r="V4" s="194" t="s">
        <v>32</v>
      </c>
      <c r="W4" s="195"/>
      <c r="X4" s="196"/>
    </row>
    <row r="5" ht="19" customHeight="1" spans="1:24">
      <c r="A5" s="8"/>
      <c r="B5" s="9"/>
      <c r="C5" s="82" t="s">
        <v>33</v>
      </c>
      <c r="D5" s="82"/>
      <c r="E5" s="82"/>
      <c r="F5" s="82"/>
      <c r="G5" s="82"/>
      <c r="H5" s="82"/>
      <c r="I5" s="82"/>
      <c r="J5" s="82"/>
      <c r="K5" s="82"/>
      <c r="L5" s="82"/>
      <c r="M5" s="172"/>
      <c r="N5" s="82"/>
      <c r="O5" s="82"/>
      <c r="P5" s="82"/>
      <c r="Q5" s="82"/>
      <c r="R5" s="82"/>
      <c r="S5" s="82"/>
      <c r="T5" s="82"/>
      <c r="U5" s="119"/>
      <c r="V5" s="197" t="s">
        <v>7</v>
      </c>
      <c r="W5" s="197"/>
      <c r="X5" s="198"/>
    </row>
    <row r="6" ht="20" customHeight="1" spans="1:30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12"/>
      <c r="Z6" s="12"/>
      <c r="AA6" s="12"/>
      <c r="AB6" s="12"/>
      <c r="AC6" s="12"/>
      <c r="AD6" s="12"/>
    </row>
    <row r="7" ht="21" customHeight="1" spans="1:30">
      <c r="A7" s="125" t="s">
        <v>8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73"/>
      <c r="M7" s="174"/>
      <c r="N7" s="175" t="s">
        <v>9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72"/>
      <c r="Z7" s="72"/>
      <c r="AA7" s="72"/>
      <c r="AB7" s="72"/>
      <c r="AC7" s="72"/>
      <c r="AD7" s="73"/>
    </row>
    <row r="8" ht="15.75" spans="1:24">
      <c r="A8" s="128" t="s">
        <v>10</v>
      </c>
      <c r="B8" s="129"/>
      <c r="C8" s="86" t="s">
        <v>11</v>
      </c>
      <c r="D8" s="85" t="s">
        <v>12</v>
      </c>
      <c r="E8" s="85" t="s">
        <v>13</v>
      </c>
      <c r="F8" s="86" t="s">
        <v>14</v>
      </c>
      <c r="G8" s="86" t="s">
        <v>15</v>
      </c>
      <c r="H8" s="86" t="s">
        <v>16</v>
      </c>
      <c r="I8" s="86" t="s">
        <v>17</v>
      </c>
      <c r="J8" s="85" t="s">
        <v>18</v>
      </c>
      <c r="K8" s="85" t="s">
        <v>19</v>
      </c>
      <c r="L8" s="85" t="s">
        <v>20</v>
      </c>
      <c r="M8" s="176"/>
      <c r="N8" s="86" t="s">
        <v>11</v>
      </c>
      <c r="O8" s="86" t="s">
        <v>12</v>
      </c>
      <c r="P8" s="86" t="s">
        <v>13</v>
      </c>
      <c r="Q8" s="86" t="s">
        <v>14</v>
      </c>
      <c r="R8" s="86" t="s">
        <v>15</v>
      </c>
      <c r="S8" s="86" t="s">
        <v>18</v>
      </c>
      <c r="T8" s="86" t="s">
        <v>21</v>
      </c>
      <c r="U8" s="86" t="s">
        <v>22</v>
      </c>
      <c r="V8" s="86" t="s">
        <v>23</v>
      </c>
      <c r="W8" s="85" t="s">
        <v>19</v>
      </c>
      <c r="X8" s="85" t="s">
        <v>20</v>
      </c>
    </row>
    <row r="9" ht="15.75" spans="1:24">
      <c r="A9" s="130"/>
      <c r="B9" s="131"/>
      <c r="C9" s="86"/>
      <c r="D9" s="85"/>
      <c r="E9" s="85"/>
      <c r="F9" s="86"/>
      <c r="G9" s="86"/>
      <c r="H9" s="86"/>
      <c r="I9" s="86"/>
      <c r="J9" s="85"/>
      <c r="K9" s="85"/>
      <c r="L9" s="85"/>
      <c r="M9" s="176"/>
      <c r="N9" s="86"/>
      <c r="O9" s="86"/>
      <c r="P9" s="86"/>
      <c r="Q9" s="86"/>
      <c r="R9" s="86"/>
      <c r="S9" s="86"/>
      <c r="T9" s="86"/>
      <c r="U9" s="86"/>
      <c r="V9" s="86"/>
      <c r="W9" s="85"/>
      <c r="X9" s="85"/>
    </row>
    <row r="10" ht="15.75" spans="1:24">
      <c r="A10" s="132"/>
      <c r="B10" s="133"/>
      <c r="C10" s="86"/>
      <c r="D10" s="85"/>
      <c r="E10" s="85"/>
      <c r="F10" s="86"/>
      <c r="G10" s="86"/>
      <c r="H10" s="86"/>
      <c r="I10" s="86"/>
      <c r="J10" s="85"/>
      <c r="K10" s="85"/>
      <c r="L10" s="85"/>
      <c r="M10" s="176"/>
      <c r="N10" s="86"/>
      <c r="O10" s="86"/>
      <c r="P10" s="86"/>
      <c r="Q10" s="86"/>
      <c r="R10" s="86"/>
      <c r="S10" s="86"/>
      <c r="T10" s="86"/>
      <c r="U10" s="86"/>
      <c r="V10" s="86"/>
      <c r="W10" s="85"/>
      <c r="X10" s="85"/>
    </row>
    <row r="11" ht="18.75" spans="1:24">
      <c r="A11" s="134">
        <v>45992</v>
      </c>
      <c r="B11" s="135"/>
      <c r="C11" s="25">
        <v>5518</v>
      </c>
      <c r="D11" s="25">
        <v>5274</v>
      </c>
      <c r="E11" s="25"/>
      <c r="F11" s="25">
        <v>244</v>
      </c>
      <c r="G11" s="26">
        <f t="shared" ref="G11:G16" si="0">F11/C11*100</f>
        <v>4.4218919898514</v>
      </c>
      <c r="H11" s="25">
        <v>3</v>
      </c>
      <c r="I11" s="25">
        <v>70</v>
      </c>
      <c r="J11" s="25">
        <v>171</v>
      </c>
      <c r="K11" s="25"/>
      <c r="L11" s="25"/>
      <c r="M11" s="177"/>
      <c r="N11" s="25">
        <v>5276</v>
      </c>
      <c r="O11" s="25">
        <v>5178</v>
      </c>
      <c r="P11" s="25"/>
      <c r="Q11" s="25">
        <v>99</v>
      </c>
      <c r="R11" s="26">
        <f t="shared" ref="R11:R16" si="1">Q11/N11*100</f>
        <v>1.87642153146323</v>
      </c>
      <c r="S11" s="25">
        <v>66</v>
      </c>
      <c r="T11" s="25"/>
      <c r="U11" s="25"/>
      <c r="V11" s="25">
        <v>33</v>
      </c>
      <c r="W11" s="25"/>
      <c r="X11" s="25"/>
    </row>
    <row r="12" ht="18.75" spans="1:24">
      <c r="A12" s="134">
        <v>45993</v>
      </c>
      <c r="B12" s="135"/>
      <c r="C12" s="25">
        <v>4946</v>
      </c>
      <c r="D12" s="25">
        <v>4842</v>
      </c>
      <c r="E12" s="25"/>
      <c r="F12" s="25">
        <v>104</v>
      </c>
      <c r="G12" s="26">
        <f t="shared" si="0"/>
        <v>2.10270926000809</v>
      </c>
      <c r="H12" s="25">
        <v>4</v>
      </c>
      <c r="I12" s="25">
        <v>30</v>
      </c>
      <c r="J12" s="25">
        <v>70</v>
      </c>
      <c r="K12" s="25"/>
      <c r="L12" s="25"/>
      <c r="M12" s="177"/>
      <c r="N12" s="25">
        <v>6488</v>
      </c>
      <c r="O12" s="25">
        <v>6358</v>
      </c>
      <c r="P12" s="25"/>
      <c r="Q12" s="25">
        <v>130</v>
      </c>
      <c r="R12" s="26">
        <f t="shared" si="1"/>
        <v>2.00369913686806</v>
      </c>
      <c r="S12" s="25">
        <v>24</v>
      </c>
      <c r="T12" s="25"/>
      <c r="U12" s="25"/>
      <c r="V12" s="25">
        <v>106</v>
      </c>
      <c r="W12" s="25"/>
      <c r="X12" s="25"/>
    </row>
    <row r="13" ht="18.75" spans="1:24">
      <c r="A13" s="134">
        <v>45994</v>
      </c>
      <c r="B13" s="135"/>
      <c r="C13" s="25">
        <v>0</v>
      </c>
      <c r="D13" s="25">
        <v>0</v>
      </c>
      <c r="E13" s="25">
        <v>0</v>
      </c>
      <c r="F13" s="25">
        <v>0</v>
      </c>
      <c r="G13" s="26" t="e">
        <f t="shared" si="0"/>
        <v>#DIV/0!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177"/>
      <c r="N13" s="25">
        <v>0</v>
      </c>
      <c r="O13" s="25">
        <v>0</v>
      </c>
      <c r="P13" s="25">
        <v>0</v>
      </c>
      <c r="Q13" s="25">
        <v>0</v>
      </c>
      <c r="R13" s="26" t="e">
        <f t="shared" si="1"/>
        <v>#DIV/0!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</row>
    <row r="14" ht="18.75" spans="1:24">
      <c r="A14" s="134">
        <v>45995</v>
      </c>
      <c r="B14" s="135"/>
      <c r="C14" s="25">
        <v>5882</v>
      </c>
      <c r="D14" s="25">
        <v>5805</v>
      </c>
      <c r="E14" s="25"/>
      <c r="F14" s="25">
        <v>77</v>
      </c>
      <c r="G14" s="26">
        <f t="shared" si="0"/>
        <v>1.30907854471268</v>
      </c>
      <c r="H14" s="25">
        <v>59</v>
      </c>
      <c r="I14" s="25">
        <v>10</v>
      </c>
      <c r="J14" s="25">
        <v>8</v>
      </c>
      <c r="K14" s="25"/>
      <c r="L14" s="25"/>
      <c r="M14" s="177"/>
      <c r="N14" s="25">
        <v>5805</v>
      </c>
      <c r="O14" s="25">
        <v>5745</v>
      </c>
      <c r="P14" s="25"/>
      <c r="Q14" s="25">
        <v>60</v>
      </c>
      <c r="R14" s="26">
        <f t="shared" si="1"/>
        <v>1.03359173126615</v>
      </c>
      <c r="S14" s="25">
        <v>11</v>
      </c>
      <c r="T14" s="25"/>
      <c r="U14" s="25"/>
      <c r="V14" s="25">
        <v>49</v>
      </c>
      <c r="W14" s="25"/>
      <c r="X14" s="25"/>
    </row>
    <row r="15" ht="18.75" spans="1:24">
      <c r="A15" s="134">
        <v>45996</v>
      </c>
      <c r="B15" s="135"/>
      <c r="C15" s="25">
        <v>6903</v>
      </c>
      <c r="D15" s="25">
        <v>6887</v>
      </c>
      <c r="E15" s="25"/>
      <c r="F15" s="25">
        <v>16</v>
      </c>
      <c r="G15" s="26">
        <f t="shared" si="0"/>
        <v>0.23178328263074</v>
      </c>
      <c r="H15" s="25">
        <v>10</v>
      </c>
      <c r="I15" s="25">
        <v>6</v>
      </c>
      <c r="J15" s="25"/>
      <c r="K15" s="25"/>
      <c r="L15" s="25"/>
      <c r="M15" s="177"/>
      <c r="N15" s="25">
        <v>6899</v>
      </c>
      <c r="O15" s="25">
        <v>6812</v>
      </c>
      <c r="P15" s="25"/>
      <c r="Q15" s="25">
        <v>87</v>
      </c>
      <c r="R15" s="26">
        <f t="shared" si="1"/>
        <v>1.26105232642412</v>
      </c>
      <c r="S15" s="25">
        <v>6</v>
      </c>
      <c r="T15" s="25"/>
      <c r="U15" s="25"/>
      <c r="V15" s="25">
        <v>81</v>
      </c>
      <c r="W15" s="25"/>
      <c r="X15" s="25"/>
    </row>
    <row r="16" ht="18.75" spans="1:24">
      <c r="A16" s="134">
        <v>45997</v>
      </c>
      <c r="B16" s="135"/>
      <c r="C16" s="25">
        <v>7635</v>
      </c>
      <c r="D16" s="25">
        <v>7608</v>
      </c>
      <c r="E16" s="25"/>
      <c r="F16" s="25">
        <v>27</v>
      </c>
      <c r="G16" s="26">
        <f t="shared" si="0"/>
        <v>0.353634577603143</v>
      </c>
      <c r="H16" s="25">
        <v>26</v>
      </c>
      <c r="I16" s="25">
        <v>1</v>
      </c>
      <c r="J16" s="25"/>
      <c r="K16" s="25"/>
      <c r="L16" s="25"/>
      <c r="M16" s="177"/>
      <c r="N16" s="25">
        <v>7608</v>
      </c>
      <c r="O16" s="25">
        <v>7573</v>
      </c>
      <c r="P16" s="25"/>
      <c r="Q16" s="25">
        <v>35</v>
      </c>
      <c r="R16" s="26">
        <f t="shared" si="1"/>
        <v>0.460042060988433</v>
      </c>
      <c r="S16" s="25">
        <v>2</v>
      </c>
      <c r="T16" s="25"/>
      <c r="U16" s="25"/>
      <c r="V16" s="25">
        <v>33</v>
      </c>
      <c r="W16" s="25"/>
      <c r="X16" s="25"/>
    </row>
    <row r="17" ht="25" customHeight="1" spans="1:24">
      <c r="A17" s="136" t="s">
        <v>38</v>
      </c>
      <c r="B17" s="137"/>
      <c r="C17" s="89">
        <f>SUM(C11:C16)</f>
        <v>30884</v>
      </c>
      <c r="D17" s="89">
        <f>SUM(D11:D16)</f>
        <v>30416</v>
      </c>
      <c r="E17" s="89">
        <f>SUM(E11:E16)</f>
        <v>0</v>
      </c>
      <c r="F17" s="89">
        <f>SUM(F11:F16)</f>
        <v>468</v>
      </c>
      <c r="G17" s="90">
        <f t="shared" ref="G17:G51" si="2">F17/C17*100</f>
        <v>1.51534775288175</v>
      </c>
      <c r="H17" s="89">
        <f>SUM(H11:H16)</f>
        <v>102</v>
      </c>
      <c r="I17" s="89">
        <f>SUM(I11:I16)</f>
        <v>117</v>
      </c>
      <c r="J17" s="89">
        <f>SUM(J11:J16)</f>
        <v>249</v>
      </c>
      <c r="K17" s="89">
        <f>SUM(K11:K16)</f>
        <v>0</v>
      </c>
      <c r="L17" s="89">
        <f>SUM(L11:L16)</f>
        <v>0</v>
      </c>
      <c r="M17" s="178"/>
      <c r="N17" s="89">
        <f>SUM(N11:N16)</f>
        <v>32076</v>
      </c>
      <c r="O17" s="89">
        <f>SUM(O11:O16)</f>
        <v>31666</v>
      </c>
      <c r="P17" s="89">
        <f>SUM(P11:P16)</f>
        <v>0</v>
      </c>
      <c r="Q17" s="89">
        <f>SUM(Q11:Q16)</f>
        <v>411</v>
      </c>
      <c r="R17" s="90">
        <f t="shared" ref="R17:R51" si="3">Q17/N17*100</f>
        <v>1.28133183688739</v>
      </c>
      <c r="S17" s="89">
        <f t="shared" ref="S17:X17" si="4">SUM(S11:S16)</f>
        <v>109</v>
      </c>
      <c r="T17" s="89">
        <f t="shared" si="4"/>
        <v>0</v>
      </c>
      <c r="U17" s="89">
        <f t="shared" si="4"/>
        <v>0</v>
      </c>
      <c r="V17" s="89">
        <f t="shared" si="4"/>
        <v>302</v>
      </c>
      <c r="W17" s="89">
        <f t="shared" si="4"/>
        <v>0</v>
      </c>
      <c r="X17" s="89">
        <f t="shared" si="4"/>
        <v>0</v>
      </c>
    </row>
    <row r="18" ht="25" customHeight="1" spans="1:24">
      <c r="A18" s="138">
        <v>45998</v>
      </c>
      <c r="B18" s="139"/>
      <c r="C18" s="92"/>
      <c r="D18" s="92"/>
      <c r="E18" s="92"/>
      <c r="F18" s="92"/>
      <c r="G18" s="93" t="e">
        <f t="shared" si="2"/>
        <v>#DIV/0!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3" t="e">
        <f t="shared" si="3"/>
        <v>#DIV/0!</v>
      </c>
      <c r="S18" s="92"/>
      <c r="T18" s="92"/>
      <c r="U18" s="92"/>
      <c r="V18" s="92"/>
      <c r="W18" s="92"/>
      <c r="X18" s="92"/>
    </row>
    <row r="19" ht="25" customHeight="1" spans="1:24">
      <c r="A19" s="140">
        <v>45999</v>
      </c>
      <c r="B19" s="141"/>
      <c r="C19" s="25">
        <v>10297</v>
      </c>
      <c r="D19" s="25">
        <v>10292</v>
      </c>
      <c r="E19" s="25"/>
      <c r="F19" s="25">
        <v>5</v>
      </c>
      <c r="G19" s="26">
        <f t="shared" si="2"/>
        <v>0.0485578323783626</v>
      </c>
      <c r="H19" s="25">
        <v>5</v>
      </c>
      <c r="I19" s="25"/>
      <c r="J19" s="25"/>
      <c r="K19" s="25"/>
      <c r="L19" s="25"/>
      <c r="M19" s="177"/>
      <c r="N19" s="25">
        <v>10292</v>
      </c>
      <c r="O19" s="25">
        <v>10240</v>
      </c>
      <c r="P19" s="25"/>
      <c r="Q19" s="25">
        <v>52</v>
      </c>
      <c r="R19" s="26">
        <f t="shared" si="3"/>
        <v>0.505246793626117</v>
      </c>
      <c r="S19" s="25">
        <v>10</v>
      </c>
      <c r="T19" s="25"/>
      <c r="U19" s="25"/>
      <c r="V19" s="25">
        <v>42</v>
      </c>
      <c r="W19" s="25"/>
      <c r="X19" s="25"/>
    </row>
    <row r="20" ht="25" customHeight="1" spans="1:24">
      <c r="A20" s="140">
        <v>46000</v>
      </c>
      <c r="B20" s="141"/>
      <c r="C20" s="25">
        <v>9562</v>
      </c>
      <c r="D20" s="25">
        <v>9533</v>
      </c>
      <c r="E20" s="25"/>
      <c r="F20" s="25">
        <v>29</v>
      </c>
      <c r="G20" s="26">
        <f t="shared" si="2"/>
        <v>0.303283831834344</v>
      </c>
      <c r="H20" s="25">
        <v>22</v>
      </c>
      <c r="I20" s="25">
        <v>7</v>
      </c>
      <c r="J20" s="25"/>
      <c r="K20" s="25"/>
      <c r="L20" s="25"/>
      <c r="M20" s="177"/>
      <c r="N20" s="25">
        <v>9549</v>
      </c>
      <c r="O20" s="25">
        <v>9488</v>
      </c>
      <c r="P20" s="25"/>
      <c r="Q20" s="25">
        <v>61</v>
      </c>
      <c r="R20" s="26">
        <f t="shared" si="3"/>
        <v>0.638810346633155</v>
      </c>
      <c r="S20" s="25">
        <v>6</v>
      </c>
      <c r="T20" s="25"/>
      <c r="U20" s="25"/>
      <c r="V20" s="25">
        <v>55</v>
      </c>
      <c r="W20" s="25"/>
      <c r="X20" s="25"/>
    </row>
    <row r="21" ht="25" customHeight="1" spans="1:24">
      <c r="A21" s="140">
        <v>46001</v>
      </c>
      <c r="B21" s="141"/>
      <c r="C21" s="142">
        <v>8019</v>
      </c>
      <c r="D21" s="95">
        <v>8012</v>
      </c>
      <c r="E21" s="95"/>
      <c r="F21" s="95">
        <v>7</v>
      </c>
      <c r="G21" s="26">
        <f t="shared" si="2"/>
        <v>0.0872926798852725</v>
      </c>
      <c r="H21" s="27">
        <v>2</v>
      </c>
      <c r="I21" s="27">
        <v>5</v>
      </c>
      <c r="J21" s="27"/>
      <c r="K21" s="27"/>
      <c r="L21" s="27"/>
      <c r="M21" s="179"/>
      <c r="N21" s="65">
        <v>8012</v>
      </c>
      <c r="O21" s="27">
        <v>7822</v>
      </c>
      <c r="P21" s="27"/>
      <c r="Q21" s="27">
        <v>190</v>
      </c>
      <c r="R21" s="120">
        <f t="shared" si="3"/>
        <v>2.37144283574638</v>
      </c>
      <c r="S21" s="27">
        <v>4</v>
      </c>
      <c r="T21" s="27"/>
      <c r="U21" s="27"/>
      <c r="V21" s="27">
        <v>186</v>
      </c>
      <c r="W21" s="65"/>
      <c r="X21" s="27"/>
    </row>
    <row r="22" ht="25" customHeight="1" spans="1:24">
      <c r="A22" s="140">
        <v>46002</v>
      </c>
      <c r="B22" s="141"/>
      <c r="C22" s="27">
        <v>6369</v>
      </c>
      <c r="D22" s="27">
        <v>6300</v>
      </c>
      <c r="E22" s="27"/>
      <c r="F22" s="27">
        <v>69</v>
      </c>
      <c r="G22" s="26">
        <f t="shared" si="2"/>
        <v>1.08337258596326</v>
      </c>
      <c r="H22" s="27">
        <v>64</v>
      </c>
      <c r="I22" s="27">
        <v>5</v>
      </c>
      <c r="J22" s="27"/>
      <c r="K22" s="27"/>
      <c r="L22" s="27"/>
      <c r="M22" s="177"/>
      <c r="N22" s="65">
        <v>6122</v>
      </c>
      <c r="O22" s="27">
        <v>4797</v>
      </c>
      <c r="P22" s="27">
        <v>700</v>
      </c>
      <c r="Q22" s="27">
        <v>625</v>
      </c>
      <c r="R22" s="26">
        <f t="shared" si="3"/>
        <v>10.2090819993466</v>
      </c>
      <c r="S22" s="27"/>
      <c r="T22" s="27"/>
      <c r="U22" s="27"/>
      <c r="V22" s="27">
        <v>625</v>
      </c>
      <c r="W22" s="65"/>
      <c r="X22" s="27"/>
    </row>
    <row r="23" ht="25" customHeight="1" spans="1:24">
      <c r="A23" s="140">
        <v>46003</v>
      </c>
      <c r="B23" s="141"/>
      <c r="C23" s="143">
        <v>10454</v>
      </c>
      <c r="D23" s="143">
        <v>10440</v>
      </c>
      <c r="E23" s="143"/>
      <c r="F23" s="143">
        <v>14</v>
      </c>
      <c r="G23" s="144">
        <f t="shared" si="2"/>
        <v>0.133920030610293</v>
      </c>
      <c r="H23" s="143">
        <v>14</v>
      </c>
      <c r="I23" s="143"/>
      <c r="J23" s="143"/>
      <c r="K23" s="143"/>
      <c r="L23" s="143"/>
      <c r="M23" s="180"/>
      <c r="N23" s="181">
        <v>10618</v>
      </c>
      <c r="O23" s="143">
        <v>10049</v>
      </c>
      <c r="P23" s="143">
        <v>300</v>
      </c>
      <c r="Q23" s="143">
        <v>269</v>
      </c>
      <c r="R23" s="144">
        <f t="shared" si="3"/>
        <v>2.53343379167451</v>
      </c>
      <c r="S23" s="143">
        <v>14</v>
      </c>
      <c r="T23" s="143"/>
      <c r="U23" s="143"/>
      <c r="V23" s="143">
        <v>255</v>
      </c>
      <c r="W23" s="181"/>
      <c r="X23" s="143"/>
    </row>
    <row r="24" ht="25" customHeight="1" spans="1:24">
      <c r="A24" s="140">
        <v>46004</v>
      </c>
      <c r="B24" s="141"/>
      <c r="C24" s="145">
        <v>11183</v>
      </c>
      <c r="D24" s="96">
        <v>11161</v>
      </c>
      <c r="E24" s="96"/>
      <c r="F24" s="96">
        <v>22</v>
      </c>
      <c r="G24" s="146">
        <f t="shared" si="2"/>
        <v>0.196727175176607</v>
      </c>
      <c r="H24" s="96">
        <v>21</v>
      </c>
      <c r="I24" s="96">
        <v>1</v>
      </c>
      <c r="J24" s="96"/>
      <c r="K24" s="96"/>
      <c r="L24" s="96"/>
      <c r="M24" s="96"/>
      <c r="N24" s="145">
        <v>11161</v>
      </c>
      <c r="O24" s="96">
        <v>11026</v>
      </c>
      <c r="P24" s="96">
        <v>52</v>
      </c>
      <c r="Q24" s="96">
        <v>83</v>
      </c>
      <c r="R24" s="146">
        <f t="shared" si="3"/>
        <v>0.743660962279366</v>
      </c>
      <c r="S24" s="96">
        <v>17</v>
      </c>
      <c r="T24" s="96"/>
      <c r="U24" s="96"/>
      <c r="V24" s="199">
        <v>66</v>
      </c>
      <c r="W24" s="200"/>
      <c r="X24" s="96"/>
    </row>
    <row r="25" customFormat="1" ht="25" customHeight="1" spans="1:24">
      <c r="A25" s="147" t="s">
        <v>39</v>
      </c>
      <c r="B25" s="148"/>
      <c r="C25" s="149">
        <f>SUM(C18:C24)</f>
        <v>55884</v>
      </c>
      <c r="D25" s="149">
        <f>SUM(D18:D24)</f>
        <v>55738</v>
      </c>
      <c r="E25" s="149">
        <f>SUM(E18:E24)</f>
        <v>0</v>
      </c>
      <c r="F25" s="149">
        <f>SUM(F18:F24)</f>
        <v>146</v>
      </c>
      <c r="G25" s="150">
        <f t="shared" si="2"/>
        <v>0.261255457733877</v>
      </c>
      <c r="H25" s="149">
        <f>SUM(H18:H24)</f>
        <v>128</v>
      </c>
      <c r="I25" s="149">
        <f>SUM(I18:I24)</f>
        <v>18</v>
      </c>
      <c r="J25" s="149">
        <f t="shared" ref="H25:L25" si="5">SUM(J18:J24)</f>
        <v>0</v>
      </c>
      <c r="K25" s="149">
        <f t="shared" si="5"/>
        <v>0</v>
      </c>
      <c r="L25" s="149">
        <f t="shared" si="5"/>
        <v>0</v>
      </c>
      <c r="M25" s="182"/>
      <c r="N25" s="149">
        <f t="shared" ref="N25:Q25" si="6">SUM(N18:N24)</f>
        <v>55754</v>
      </c>
      <c r="O25" s="149">
        <f t="shared" si="6"/>
        <v>53422</v>
      </c>
      <c r="P25" s="149">
        <f t="shared" si="6"/>
        <v>1052</v>
      </c>
      <c r="Q25" s="149">
        <f t="shared" si="6"/>
        <v>1280</v>
      </c>
      <c r="R25" s="150">
        <f t="shared" si="3"/>
        <v>2.29579940452703</v>
      </c>
      <c r="S25" s="149">
        <f t="shared" ref="S25:X25" si="7">SUM(S18:S24)</f>
        <v>51</v>
      </c>
      <c r="T25" s="149">
        <f t="shared" si="7"/>
        <v>0</v>
      </c>
      <c r="U25" s="149">
        <f t="shared" si="7"/>
        <v>0</v>
      </c>
      <c r="V25" s="98">
        <f t="shared" si="7"/>
        <v>1229</v>
      </c>
      <c r="W25" s="98">
        <f t="shared" si="7"/>
        <v>0</v>
      </c>
      <c r="X25" s="149">
        <f t="shared" si="7"/>
        <v>0</v>
      </c>
    </row>
    <row r="26" ht="25" customHeight="1" spans="1:24">
      <c r="A26" s="138">
        <v>46005</v>
      </c>
      <c r="B26" s="139"/>
      <c r="C26" s="100"/>
      <c r="D26" s="100"/>
      <c r="E26" s="100"/>
      <c r="F26" s="100"/>
      <c r="G26" s="101" t="e">
        <f t="shared" si="2"/>
        <v>#DIV/0!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1" t="e">
        <f t="shared" si="3"/>
        <v>#DIV/0!</v>
      </c>
      <c r="S26" s="100"/>
      <c r="T26" s="100"/>
      <c r="U26" s="100"/>
      <c r="V26" s="100"/>
      <c r="W26" s="100"/>
      <c r="X26" s="100"/>
    </row>
    <row r="27" ht="25" customHeight="1" spans="1:24">
      <c r="A27" s="140">
        <v>46006</v>
      </c>
      <c r="B27" s="141"/>
      <c r="C27" s="102">
        <v>9323</v>
      </c>
      <c r="D27" s="102">
        <v>9304</v>
      </c>
      <c r="E27" s="102"/>
      <c r="F27" s="102">
        <v>19</v>
      </c>
      <c r="G27" s="97">
        <f t="shared" si="2"/>
        <v>0.203797061031857</v>
      </c>
      <c r="H27" s="102">
        <v>14</v>
      </c>
      <c r="I27" s="102">
        <v>3</v>
      </c>
      <c r="J27" s="102">
        <v>2</v>
      </c>
      <c r="K27" s="102"/>
      <c r="L27" s="102"/>
      <c r="M27" s="96"/>
      <c r="N27" s="102">
        <v>8547</v>
      </c>
      <c r="O27" s="102">
        <v>8318</v>
      </c>
      <c r="P27" s="102">
        <v>95</v>
      </c>
      <c r="Q27" s="102">
        <v>193</v>
      </c>
      <c r="R27" s="97">
        <f t="shared" si="3"/>
        <v>2.25810225810226</v>
      </c>
      <c r="S27" s="102">
        <v>19</v>
      </c>
      <c r="T27" s="102"/>
      <c r="U27" s="102"/>
      <c r="V27" s="102">
        <v>115</v>
      </c>
      <c r="W27" s="102"/>
      <c r="X27" s="102"/>
    </row>
    <row r="28" ht="25" customHeight="1" spans="1:24">
      <c r="A28" s="140">
        <v>46007</v>
      </c>
      <c r="B28" s="141"/>
      <c r="C28" s="151">
        <v>10355</v>
      </c>
      <c r="D28" s="152">
        <v>10334</v>
      </c>
      <c r="E28" s="152"/>
      <c r="F28" s="152">
        <v>21</v>
      </c>
      <c r="G28" s="97">
        <f t="shared" si="2"/>
        <v>0.202800579430227</v>
      </c>
      <c r="H28" s="152">
        <v>20</v>
      </c>
      <c r="I28" s="152">
        <v>1</v>
      </c>
      <c r="J28" s="152"/>
      <c r="K28" s="152"/>
      <c r="L28" s="152"/>
      <c r="M28" s="183"/>
      <c r="N28" s="151">
        <v>11844</v>
      </c>
      <c r="O28" s="152">
        <v>11680</v>
      </c>
      <c r="P28" s="152">
        <v>26</v>
      </c>
      <c r="Q28" s="152">
        <v>138</v>
      </c>
      <c r="R28" s="201">
        <f t="shared" si="3"/>
        <v>1.16514690982776</v>
      </c>
      <c r="S28" s="152">
        <v>15</v>
      </c>
      <c r="T28" s="152"/>
      <c r="U28" s="152"/>
      <c r="V28" s="152">
        <v>123</v>
      </c>
      <c r="W28" s="151"/>
      <c r="X28" s="152"/>
    </row>
    <row r="29" ht="25" customHeight="1" spans="1:24">
      <c r="A29" s="140">
        <v>46008</v>
      </c>
      <c r="B29" s="141"/>
      <c r="C29" s="145">
        <v>12450</v>
      </c>
      <c r="D29" s="96">
        <v>12418</v>
      </c>
      <c r="E29" s="96"/>
      <c r="F29" s="96">
        <v>32</v>
      </c>
      <c r="G29" s="97">
        <f t="shared" si="2"/>
        <v>0.257028112449799</v>
      </c>
      <c r="H29" s="96">
        <v>30</v>
      </c>
      <c r="I29" s="96">
        <v>2</v>
      </c>
      <c r="J29" s="96"/>
      <c r="K29" s="96"/>
      <c r="L29" s="96"/>
      <c r="M29" s="96"/>
      <c r="N29" s="145">
        <v>8419</v>
      </c>
      <c r="O29" s="96">
        <v>8032</v>
      </c>
      <c r="P29" s="96">
        <v>273</v>
      </c>
      <c r="Q29" s="96">
        <v>114</v>
      </c>
      <c r="R29" s="97">
        <f t="shared" si="3"/>
        <v>1.3540800570139</v>
      </c>
      <c r="S29" s="96">
        <v>8</v>
      </c>
      <c r="T29" s="96"/>
      <c r="U29" s="96"/>
      <c r="V29" s="96">
        <v>106</v>
      </c>
      <c r="W29" s="145"/>
      <c r="X29" s="96"/>
    </row>
    <row r="30" ht="25" customHeight="1" spans="1:24">
      <c r="A30" s="140">
        <v>46009</v>
      </c>
      <c r="B30" s="141"/>
      <c r="C30" s="151">
        <v>12431</v>
      </c>
      <c r="D30" s="152">
        <v>12419</v>
      </c>
      <c r="E30" s="152"/>
      <c r="F30" s="152">
        <v>12</v>
      </c>
      <c r="G30" s="97">
        <f t="shared" si="2"/>
        <v>0.0965328613948998</v>
      </c>
      <c r="H30" s="152">
        <v>1</v>
      </c>
      <c r="I30" s="152">
        <v>2</v>
      </c>
      <c r="J30" s="152"/>
      <c r="K30" s="152"/>
      <c r="L30" s="152"/>
      <c r="M30" s="183"/>
      <c r="N30" s="151">
        <v>13447</v>
      </c>
      <c r="O30" s="152">
        <v>12232</v>
      </c>
      <c r="P30" s="152"/>
      <c r="Q30" s="152">
        <v>1215</v>
      </c>
      <c r="R30" s="97">
        <f t="shared" si="3"/>
        <v>9.03547259611809</v>
      </c>
      <c r="S30" s="152">
        <v>1</v>
      </c>
      <c r="T30" s="152">
        <v>919</v>
      </c>
      <c r="U30" s="152"/>
      <c r="V30" s="152">
        <v>295</v>
      </c>
      <c r="W30" s="151"/>
      <c r="X30" s="152"/>
    </row>
    <row r="31" ht="25" customHeight="1" spans="1:24">
      <c r="A31" s="140">
        <v>46010</v>
      </c>
      <c r="B31" s="141"/>
      <c r="C31" s="96">
        <v>12453</v>
      </c>
      <c r="D31" s="96">
        <v>12413</v>
      </c>
      <c r="E31" s="96"/>
      <c r="F31" s="96">
        <v>40</v>
      </c>
      <c r="G31" s="97">
        <f t="shared" si="2"/>
        <v>0.321207741106561</v>
      </c>
      <c r="H31" s="96">
        <v>35</v>
      </c>
      <c r="I31" s="96">
        <v>3</v>
      </c>
      <c r="J31" s="96">
        <v>2</v>
      </c>
      <c r="K31" s="96"/>
      <c r="L31" s="96"/>
      <c r="M31" s="96"/>
      <c r="N31" s="96">
        <v>10466</v>
      </c>
      <c r="O31" s="96">
        <v>8715</v>
      </c>
      <c r="P31" s="96"/>
      <c r="Q31" s="96">
        <v>175</v>
      </c>
      <c r="R31" s="97">
        <f t="shared" si="3"/>
        <v>1.67208102426906</v>
      </c>
      <c r="S31" s="96">
        <v>3</v>
      </c>
      <c r="T31" s="96">
        <v>1705</v>
      </c>
      <c r="U31" s="96"/>
      <c r="V31" s="96">
        <v>43</v>
      </c>
      <c r="W31" s="145"/>
      <c r="X31" s="96"/>
    </row>
    <row r="32" ht="25" customHeight="1" spans="1:24">
      <c r="A32" s="140">
        <v>46011</v>
      </c>
      <c r="B32" s="141"/>
      <c r="C32" s="96">
        <v>14969</v>
      </c>
      <c r="D32" s="96">
        <v>14950</v>
      </c>
      <c r="E32" s="96"/>
      <c r="F32" s="96">
        <v>19</v>
      </c>
      <c r="G32" s="97">
        <f t="shared" si="2"/>
        <v>0.126928986572249</v>
      </c>
      <c r="H32" s="96">
        <v>18</v>
      </c>
      <c r="I32" s="96">
        <v>1</v>
      </c>
      <c r="J32" s="96"/>
      <c r="K32" s="96"/>
      <c r="L32" s="96"/>
      <c r="M32" s="96"/>
      <c r="N32" s="96">
        <v>15537</v>
      </c>
      <c r="O32" s="96">
        <v>13575</v>
      </c>
      <c r="P32" s="96"/>
      <c r="Q32" s="96">
        <v>1962</v>
      </c>
      <c r="R32" s="201">
        <f t="shared" si="3"/>
        <v>12.6279204479629</v>
      </c>
      <c r="S32" s="96">
        <v>2</v>
      </c>
      <c r="T32" s="96">
        <v>1960</v>
      </c>
      <c r="U32" s="96"/>
      <c r="V32" s="96"/>
      <c r="W32" s="145"/>
      <c r="X32" s="96"/>
    </row>
    <row r="33" customFormat="1" ht="25" customHeight="1" spans="1:24">
      <c r="A33" s="136" t="s">
        <v>40</v>
      </c>
      <c r="B33" s="137"/>
      <c r="C33" s="98">
        <f>SUM(C26:C32)</f>
        <v>71981</v>
      </c>
      <c r="D33" s="98">
        <f t="shared" ref="C33:F33" si="8">SUM(D26:D32)</f>
        <v>71838</v>
      </c>
      <c r="E33" s="98">
        <f t="shared" si="8"/>
        <v>0</v>
      </c>
      <c r="F33" s="98">
        <f t="shared" si="8"/>
        <v>143</v>
      </c>
      <c r="G33" s="99">
        <f t="shared" si="2"/>
        <v>0.198663536210945</v>
      </c>
      <c r="H33" s="98">
        <f t="shared" ref="H33:L33" si="9">SUM(H26:H32)</f>
        <v>118</v>
      </c>
      <c r="I33" s="98">
        <f t="shared" si="9"/>
        <v>12</v>
      </c>
      <c r="J33" s="98">
        <f t="shared" si="9"/>
        <v>4</v>
      </c>
      <c r="K33" s="98">
        <f t="shared" si="9"/>
        <v>0</v>
      </c>
      <c r="L33" s="98">
        <f t="shared" si="9"/>
        <v>0</v>
      </c>
      <c r="M33" s="184"/>
      <c r="N33" s="98">
        <f>SUM(N26:N32)</f>
        <v>68260</v>
      </c>
      <c r="O33" s="98">
        <f t="shared" ref="O33:Q33" si="10">SUM(O27:O32)</f>
        <v>62552</v>
      </c>
      <c r="P33" s="98">
        <f t="shared" si="10"/>
        <v>394</v>
      </c>
      <c r="Q33" s="98">
        <f t="shared" si="10"/>
        <v>3797</v>
      </c>
      <c r="R33" s="99">
        <f t="shared" si="3"/>
        <v>5.56255493700557</v>
      </c>
      <c r="S33" s="98">
        <f t="shared" ref="S33:X33" si="11">SUM(S26:S32)</f>
        <v>48</v>
      </c>
      <c r="T33" s="98">
        <f t="shared" si="11"/>
        <v>4584</v>
      </c>
      <c r="U33" s="98">
        <f t="shared" si="11"/>
        <v>0</v>
      </c>
      <c r="V33" s="98">
        <f t="shared" si="11"/>
        <v>682</v>
      </c>
      <c r="W33" s="202">
        <f t="shared" si="11"/>
        <v>0</v>
      </c>
      <c r="X33" s="98">
        <f t="shared" si="11"/>
        <v>0</v>
      </c>
    </row>
    <row r="34" s="74" customFormat="1" ht="25" customHeight="1" spans="1:24">
      <c r="A34" s="153">
        <v>46012</v>
      </c>
      <c r="B34" s="154"/>
      <c r="C34" s="155"/>
      <c r="D34" s="155"/>
      <c r="E34" s="155"/>
      <c r="F34" s="155"/>
      <c r="G34" s="156" t="e">
        <f t="shared" si="2"/>
        <v>#DIV/0!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203" t="e">
        <f t="shared" si="3"/>
        <v>#DIV/0!</v>
      </c>
      <c r="S34" s="155"/>
      <c r="T34" s="155"/>
      <c r="U34" s="155"/>
      <c r="V34" s="155"/>
      <c r="W34" s="155"/>
      <c r="X34" s="155"/>
    </row>
    <row r="35" ht="25" customHeight="1" spans="1:24">
      <c r="A35" s="140">
        <v>46013</v>
      </c>
      <c r="B35" s="141"/>
      <c r="C35" s="145">
        <v>12172</v>
      </c>
      <c r="D35" s="145">
        <v>12165</v>
      </c>
      <c r="E35" s="145"/>
      <c r="F35" s="145">
        <v>7</v>
      </c>
      <c r="G35" s="157">
        <f t="shared" si="2"/>
        <v>0.0575090371344068</v>
      </c>
      <c r="H35" s="145">
        <v>6</v>
      </c>
      <c r="I35" s="145">
        <v>1</v>
      </c>
      <c r="J35" s="145"/>
      <c r="K35" s="145"/>
      <c r="L35" s="145"/>
      <c r="M35" s="122"/>
      <c r="N35" s="145">
        <v>10000</v>
      </c>
      <c r="O35" s="145">
        <v>8407</v>
      </c>
      <c r="P35" s="145"/>
      <c r="Q35" s="145">
        <v>1593</v>
      </c>
      <c r="R35" s="144">
        <f t="shared" si="3"/>
        <v>15.93</v>
      </c>
      <c r="S35" s="145">
        <v>3</v>
      </c>
      <c r="T35" s="145">
        <v>1538</v>
      </c>
      <c r="U35" s="145"/>
      <c r="V35" s="145">
        <v>52</v>
      </c>
      <c r="W35" s="145"/>
      <c r="X35" s="122"/>
    </row>
    <row r="36" ht="25" customHeight="1" spans="1:24">
      <c r="A36" s="140">
        <v>46014</v>
      </c>
      <c r="B36" s="141"/>
      <c r="C36" s="145">
        <v>15112</v>
      </c>
      <c r="D36" s="145">
        <v>15107</v>
      </c>
      <c r="E36" s="145"/>
      <c r="F36" s="145">
        <v>5</v>
      </c>
      <c r="G36" s="157">
        <f t="shared" si="2"/>
        <v>0.0330862890418211</v>
      </c>
      <c r="H36" s="145">
        <v>4</v>
      </c>
      <c r="I36" s="145">
        <v>1</v>
      </c>
      <c r="J36" s="145"/>
      <c r="K36" s="145"/>
      <c r="L36" s="145"/>
      <c r="M36" s="122"/>
      <c r="N36" s="145">
        <v>15615</v>
      </c>
      <c r="O36" s="145">
        <v>13123</v>
      </c>
      <c r="P36" s="145"/>
      <c r="Q36" s="145">
        <v>2492</v>
      </c>
      <c r="R36" s="144">
        <f t="shared" si="3"/>
        <v>15.959013768812</v>
      </c>
      <c r="S36" s="145">
        <v>17</v>
      </c>
      <c r="T36" s="145">
        <v>2458</v>
      </c>
      <c r="U36" s="145"/>
      <c r="V36" s="145">
        <v>17</v>
      </c>
      <c r="W36" s="145"/>
      <c r="X36" s="96"/>
    </row>
    <row r="37" ht="25" customHeight="1" spans="1:24">
      <c r="A37" s="140">
        <v>46015</v>
      </c>
      <c r="B37" s="141"/>
      <c r="C37" s="145">
        <v>14559</v>
      </c>
      <c r="D37" s="145">
        <v>14529</v>
      </c>
      <c r="E37" s="145"/>
      <c r="F37" s="145">
        <v>30</v>
      </c>
      <c r="G37" s="157">
        <f t="shared" si="2"/>
        <v>0.206058108386565</v>
      </c>
      <c r="H37" s="145">
        <v>27</v>
      </c>
      <c r="I37" s="145">
        <v>3</v>
      </c>
      <c r="J37" s="145"/>
      <c r="K37" s="145"/>
      <c r="L37" s="145"/>
      <c r="M37" s="122"/>
      <c r="N37" s="145">
        <v>15790</v>
      </c>
      <c r="O37" s="145">
        <v>11969</v>
      </c>
      <c r="P37" s="145"/>
      <c r="Q37" s="145">
        <v>3821</v>
      </c>
      <c r="R37" s="144">
        <f t="shared" si="3"/>
        <v>24.1988600379987</v>
      </c>
      <c r="S37" s="145">
        <v>28</v>
      </c>
      <c r="T37" s="145">
        <v>3595</v>
      </c>
      <c r="U37" s="145"/>
      <c r="V37" s="145">
        <v>198</v>
      </c>
      <c r="W37" s="145"/>
      <c r="X37" s="96"/>
    </row>
    <row r="38" ht="25" customHeight="1" spans="1:24">
      <c r="A38" s="140">
        <v>46016</v>
      </c>
      <c r="B38" s="141"/>
      <c r="C38" s="145">
        <v>14878</v>
      </c>
      <c r="D38" s="145">
        <v>14841</v>
      </c>
      <c r="E38" s="145"/>
      <c r="F38" s="145">
        <v>37</v>
      </c>
      <c r="G38" s="157">
        <f t="shared" si="2"/>
        <v>0.248689339965049</v>
      </c>
      <c r="H38" s="145">
        <v>32</v>
      </c>
      <c r="I38" s="145">
        <v>5</v>
      </c>
      <c r="J38" s="145"/>
      <c r="K38" s="145"/>
      <c r="L38" s="145"/>
      <c r="M38" s="122"/>
      <c r="N38" s="145">
        <v>18731</v>
      </c>
      <c r="O38" s="145">
        <v>11798</v>
      </c>
      <c r="P38" s="145"/>
      <c r="Q38" s="145">
        <v>1933</v>
      </c>
      <c r="R38" s="144">
        <f t="shared" si="3"/>
        <v>10.3197907212642</v>
      </c>
      <c r="S38" s="145">
        <v>3</v>
      </c>
      <c r="T38" s="145">
        <v>1901</v>
      </c>
      <c r="U38" s="145"/>
      <c r="V38" s="145">
        <v>19</v>
      </c>
      <c r="W38" s="145"/>
      <c r="X38" s="96"/>
    </row>
    <row r="39" ht="25" customHeight="1" spans="1:24">
      <c r="A39" s="140">
        <v>46017</v>
      </c>
      <c r="B39" s="141"/>
      <c r="C39" s="145">
        <v>16825</v>
      </c>
      <c r="D39" s="145">
        <v>16772</v>
      </c>
      <c r="E39" s="145"/>
      <c r="F39" s="145">
        <v>53</v>
      </c>
      <c r="G39" s="157">
        <f t="shared" si="2"/>
        <v>0.315007429420505</v>
      </c>
      <c r="H39" s="145">
        <v>52</v>
      </c>
      <c r="I39" s="145">
        <v>1</v>
      </c>
      <c r="J39" s="145"/>
      <c r="K39" s="145"/>
      <c r="L39" s="96"/>
      <c r="M39" s="185"/>
      <c r="N39" s="145">
        <v>18108</v>
      </c>
      <c r="O39" s="145">
        <v>16531</v>
      </c>
      <c r="P39" s="145"/>
      <c r="Q39" s="145">
        <v>1577</v>
      </c>
      <c r="R39" s="144">
        <f t="shared" si="3"/>
        <v>8.70885796333113</v>
      </c>
      <c r="S39" s="145">
        <v>11</v>
      </c>
      <c r="T39" s="145">
        <v>1537</v>
      </c>
      <c r="U39" s="145"/>
      <c r="V39" s="145">
        <v>29</v>
      </c>
      <c r="W39" s="145"/>
      <c r="X39" s="96"/>
    </row>
    <row r="40" ht="25" customHeight="1" spans="1:24">
      <c r="A40" s="140">
        <v>46018</v>
      </c>
      <c r="B40" s="141"/>
      <c r="C40" s="145">
        <v>10873</v>
      </c>
      <c r="D40" s="145">
        <v>10857</v>
      </c>
      <c r="E40" s="145"/>
      <c r="F40" s="145">
        <v>16</v>
      </c>
      <c r="G40" s="26">
        <f t="shared" si="2"/>
        <v>0.14715349949416</v>
      </c>
      <c r="H40" s="145">
        <v>15</v>
      </c>
      <c r="I40" s="145">
        <v>1</v>
      </c>
      <c r="J40" s="145"/>
      <c r="K40" s="145"/>
      <c r="L40" s="96"/>
      <c r="M40" s="185"/>
      <c r="N40" s="145">
        <v>13065</v>
      </c>
      <c r="O40" s="145">
        <v>11830</v>
      </c>
      <c r="P40" s="145"/>
      <c r="Q40" s="145">
        <v>1235</v>
      </c>
      <c r="R40" s="144">
        <f t="shared" si="3"/>
        <v>9.45273631840796</v>
      </c>
      <c r="S40" s="145">
        <v>32</v>
      </c>
      <c r="T40" s="145">
        <v>1183</v>
      </c>
      <c r="U40" s="145"/>
      <c r="V40" s="145">
        <v>20</v>
      </c>
      <c r="W40" s="145"/>
      <c r="X40" s="96"/>
    </row>
    <row r="41" customFormat="1" ht="25" customHeight="1" spans="1:24">
      <c r="A41" s="136" t="s">
        <v>41</v>
      </c>
      <c r="B41" s="137"/>
      <c r="C41" s="89">
        <f>SUM(C34:C40)</f>
        <v>84419</v>
      </c>
      <c r="D41" s="89">
        <f>SUM(D34:D40)</f>
        <v>84271</v>
      </c>
      <c r="E41" s="89">
        <f>SUM(E34:E40)</f>
        <v>0</v>
      </c>
      <c r="F41" s="89">
        <f>SUM(F34:F40)</f>
        <v>148</v>
      </c>
      <c r="G41" s="90">
        <f t="shared" si="2"/>
        <v>0.175315983368673</v>
      </c>
      <c r="H41" s="89">
        <f t="shared" ref="H41:L41" si="12">SUM(H34:H40)</f>
        <v>136</v>
      </c>
      <c r="I41" s="89">
        <f t="shared" si="12"/>
        <v>12</v>
      </c>
      <c r="J41" s="89">
        <f t="shared" si="12"/>
        <v>0</v>
      </c>
      <c r="K41" s="89">
        <f t="shared" si="12"/>
        <v>0</v>
      </c>
      <c r="L41" s="89">
        <f t="shared" si="12"/>
        <v>0</v>
      </c>
      <c r="M41" s="178"/>
      <c r="N41" s="89">
        <f t="shared" ref="N41:Q41" si="13">SUM(N34:N40)</f>
        <v>91309</v>
      </c>
      <c r="O41" s="89">
        <f t="shared" si="13"/>
        <v>73658</v>
      </c>
      <c r="P41" s="89">
        <f t="shared" si="13"/>
        <v>0</v>
      </c>
      <c r="Q41" s="89">
        <f t="shared" si="13"/>
        <v>12651</v>
      </c>
      <c r="R41" s="90">
        <f t="shared" si="3"/>
        <v>13.8551511899156</v>
      </c>
      <c r="S41" s="89">
        <f t="shared" ref="S41:X41" si="14">SUM(S34:S40)</f>
        <v>94</v>
      </c>
      <c r="T41" s="89">
        <f t="shared" si="14"/>
        <v>12212</v>
      </c>
      <c r="U41" s="89">
        <f t="shared" si="14"/>
        <v>0</v>
      </c>
      <c r="V41" s="89">
        <f t="shared" si="14"/>
        <v>335</v>
      </c>
      <c r="W41" s="204">
        <f t="shared" si="14"/>
        <v>0</v>
      </c>
      <c r="X41" s="89">
        <f t="shared" si="14"/>
        <v>0</v>
      </c>
    </row>
    <row r="42" ht="25" customHeight="1" spans="1:24">
      <c r="A42" s="138">
        <v>46019</v>
      </c>
      <c r="B42" s="139"/>
      <c r="C42" s="158"/>
      <c r="D42" s="159"/>
      <c r="E42" s="159"/>
      <c r="F42" s="159"/>
      <c r="G42" s="160" t="e">
        <f t="shared" si="2"/>
        <v>#DIV/0!</v>
      </c>
      <c r="H42" s="159"/>
      <c r="I42" s="159"/>
      <c r="J42" s="159"/>
      <c r="K42" s="159"/>
      <c r="L42" s="159"/>
      <c r="M42" s="186"/>
      <c r="N42" s="158"/>
      <c r="O42" s="159"/>
      <c r="P42" s="159"/>
      <c r="Q42" s="159"/>
      <c r="R42" s="205" t="e">
        <f t="shared" si="3"/>
        <v>#DIV/0!</v>
      </c>
      <c r="S42" s="159"/>
      <c r="T42" s="159"/>
      <c r="U42" s="159"/>
      <c r="V42" s="159"/>
      <c r="W42" s="158"/>
      <c r="X42" s="159"/>
    </row>
    <row r="43" ht="25" customHeight="1" spans="1:24">
      <c r="A43" s="140">
        <v>46020</v>
      </c>
      <c r="B43" s="141"/>
      <c r="C43" s="161">
        <v>16602</v>
      </c>
      <c r="D43" s="162">
        <v>16565</v>
      </c>
      <c r="E43" s="162"/>
      <c r="F43" s="162">
        <v>37</v>
      </c>
      <c r="G43" s="26">
        <f t="shared" si="2"/>
        <v>0.222864715094567</v>
      </c>
      <c r="H43" s="162">
        <v>28</v>
      </c>
      <c r="I43" s="162">
        <v>9</v>
      </c>
      <c r="J43" s="162"/>
      <c r="K43" s="162"/>
      <c r="L43" s="162"/>
      <c r="M43" s="185"/>
      <c r="N43" s="161">
        <v>12940</v>
      </c>
      <c r="O43" s="162">
        <v>10353</v>
      </c>
      <c r="P43" s="162"/>
      <c r="Q43" s="162">
        <v>2587</v>
      </c>
      <c r="R43" s="144">
        <f t="shared" si="3"/>
        <v>19.9922720247295</v>
      </c>
      <c r="S43" s="162">
        <v>23</v>
      </c>
      <c r="T43" s="162">
        <v>2553</v>
      </c>
      <c r="U43" s="162"/>
      <c r="V43" s="162">
        <v>11</v>
      </c>
      <c r="W43" s="161"/>
      <c r="X43" s="162"/>
    </row>
    <row r="44" ht="25" customHeight="1" spans="1:24">
      <c r="A44" s="140">
        <v>46021</v>
      </c>
      <c r="B44" s="141"/>
      <c r="C44" s="161">
        <v>11537</v>
      </c>
      <c r="D44" s="162">
        <v>11521</v>
      </c>
      <c r="E44" s="162"/>
      <c r="F44" s="162">
        <v>16</v>
      </c>
      <c r="G44" s="26">
        <f t="shared" si="2"/>
        <v>0.138684233336223</v>
      </c>
      <c r="H44" s="162">
        <v>9</v>
      </c>
      <c r="I44" s="162">
        <v>7</v>
      </c>
      <c r="J44" s="162"/>
      <c r="K44" s="162"/>
      <c r="L44" s="162"/>
      <c r="M44" s="185"/>
      <c r="N44" s="161">
        <v>15410</v>
      </c>
      <c r="O44" s="162">
        <v>10383</v>
      </c>
      <c r="P44" s="162"/>
      <c r="Q44" s="162">
        <v>5027</v>
      </c>
      <c r="R44" s="144">
        <f t="shared" si="3"/>
        <v>32.6216742375081</v>
      </c>
      <c r="S44" s="162">
        <v>33</v>
      </c>
      <c r="T44" s="162">
        <v>4994</v>
      </c>
      <c r="U44" s="162"/>
      <c r="V44" s="162"/>
      <c r="W44" s="161"/>
      <c r="X44" s="162"/>
    </row>
    <row r="45" ht="25" customHeight="1" spans="1:24">
      <c r="A45" s="140">
        <v>46022</v>
      </c>
      <c r="B45" s="141"/>
      <c r="C45" s="161">
        <v>13441</v>
      </c>
      <c r="D45" s="162">
        <v>13411</v>
      </c>
      <c r="E45" s="162"/>
      <c r="F45" s="162">
        <v>30</v>
      </c>
      <c r="G45" s="26">
        <f t="shared" si="2"/>
        <v>0.223197678744141</v>
      </c>
      <c r="H45" s="162">
        <v>26</v>
      </c>
      <c r="I45" s="162">
        <v>4</v>
      </c>
      <c r="J45" s="162"/>
      <c r="K45" s="162"/>
      <c r="L45" s="162"/>
      <c r="M45" s="185"/>
      <c r="N45" s="161">
        <v>8516</v>
      </c>
      <c r="O45" s="162">
        <v>5327</v>
      </c>
      <c r="P45" s="162"/>
      <c r="Q45" s="162">
        <v>3189</v>
      </c>
      <c r="R45" s="144">
        <f t="shared" si="3"/>
        <v>37.4471582902771</v>
      </c>
      <c r="S45" s="162">
        <v>5</v>
      </c>
      <c r="T45" s="162">
        <v>3184</v>
      </c>
      <c r="U45" s="162"/>
      <c r="V45" s="162"/>
      <c r="W45" s="161"/>
      <c r="X45" s="162"/>
    </row>
    <row r="46" customFormat="1" ht="25" customHeight="1" spans="1:24">
      <c r="A46" s="136" t="s">
        <v>44</v>
      </c>
      <c r="B46" s="137"/>
      <c r="C46" s="89">
        <f>SUM(C42:C45)</f>
        <v>41580</v>
      </c>
      <c r="D46" s="89">
        <f>SUM(D42:D45)</f>
        <v>41497</v>
      </c>
      <c r="E46" s="89">
        <f>SUM(E42:E45)</f>
        <v>0</v>
      </c>
      <c r="F46" s="89">
        <f>SUM(F42:F45)</f>
        <v>83</v>
      </c>
      <c r="G46" s="90">
        <f t="shared" si="2"/>
        <v>0.1996151996152</v>
      </c>
      <c r="H46" s="89">
        <f>SUM(H42:H45)</f>
        <v>63</v>
      </c>
      <c r="I46" s="89">
        <f>SUM(I42:I45)</f>
        <v>20</v>
      </c>
      <c r="J46" s="89">
        <f>SUM(J42:J45)</f>
        <v>0</v>
      </c>
      <c r="K46" s="89">
        <f>SUM(K42:K45)</f>
        <v>0</v>
      </c>
      <c r="L46" s="89">
        <f>SUM(L42:L45)</f>
        <v>0</v>
      </c>
      <c r="M46" s="178"/>
      <c r="N46" s="89">
        <f>SUM(N42:N45)</f>
        <v>36866</v>
      </c>
      <c r="O46" s="89">
        <f>SUM(O42:O45)</f>
        <v>26063</v>
      </c>
      <c r="P46" s="89">
        <f>SUM(P42:P45)</f>
        <v>0</v>
      </c>
      <c r="Q46" s="89">
        <f>SUM(Q42:Q45)</f>
        <v>10803</v>
      </c>
      <c r="R46" s="90">
        <f t="shared" si="3"/>
        <v>29.3034232083763</v>
      </c>
      <c r="S46" s="89">
        <f t="shared" ref="S46:X46" si="15">SUM(S42:S45)</f>
        <v>61</v>
      </c>
      <c r="T46" s="89">
        <f t="shared" si="15"/>
        <v>10731</v>
      </c>
      <c r="U46" s="89">
        <f t="shared" si="15"/>
        <v>0</v>
      </c>
      <c r="V46" s="89">
        <f t="shared" si="15"/>
        <v>11</v>
      </c>
      <c r="W46" s="204">
        <f t="shared" si="15"/>
        <v>0</v>
      </c>
      <c r="X46" s="89">
        <f t="shared" si="15"/>
        <v>0</v>
      </c>
    </row>
    <row r="47" ht="28" customHeight="1" spans="1:24">
      <c r="A47" s="163" t="s">
        <v>24</v>
      </c>
      <c r="B47" s="164"/>
      <c r="C47" s="165">
        <f>C46+C41+C33+C25+C17</f>
        <v>284748</v>
      </c>
      <c r="D47" s="107">
        <f t="shared" ref="C47:F47" si="16">D46+D41+D33+D25+D17</f>
        <v>283760</v>
      </c>
      <c r="E47" s="107">
        <f t="shared" si="16"/>
        <v>0</v>
      </c>
      <c r="F47" s="107">
        <f t="shared" si="16"/>
        <v>988</v>
      </c>
      <c r="G47" s="108">
        <f t="shared" si="2"/>
        <v>0.346973464256114</v>
      </c>
      <c r="H47" s="107">
        <f t="shared" ref="H47:L47" si="17">H46+H41+H33+H25+H17</f>
        <v>547</v>
      </c>
      <c r="I47" s="107">
        <f t="shared" si="17"/>
        <v>179</v>
      </c>
      <c r="J47" s="107">
        <f t="shared" si="17"/>
        <v>253</v>
      </c>
      <c r="K47" s="107">
        <f t="shared" si="17"/>
        <v>0</v>
      </c>
      <c r="L47" s="107">
        <f t="shared" si="17"/>
        <v>0</v>
      </c>
      <c r="M47" s="115"/>
      <c r="N47" s="165">
        <f t="shared" ref="N47:Q47" si="18">N46+N41+N33+N25+N17</f>
        <v>284265</v>
      </c>
      <c r="O47" s="107">
        <f t="shared" si="18"/>
        <v>247361</v>
      </c>
      <c r="P47" s="107">
        <f t="shared" si="18"/>
        <v>1446</v>
      </c>
      <c r="Q47" s="107">
        <f t="shared" si="18"/>
        <v>28942</v>
      </c>
      <c r="R47" s="108">
        <f t="shared" si="3"/>
        <v>10.1813448718625</v>
      </c>
      <c r="S47" s="107">
        <f t="shared" ref="S47:X47" si="19">S46+S41+S33+S25+S17</f>
        <v>363</v>
      </c>
      <c r="T47" s="107">
        <f t="shared" si="19"/>
        <v>27527</v>
      </c>
      <c r="U47" s="107">
        <f t="shared" si="19"/>
        <v>0</v>
      </c>
      <c r="V47" s="107">
        <f t="shared" si="19"/>
        <v>2559</v>
      </c>
      <c r="W47" s="165">
        <f t="shared" si="19"/>
        <v>0</v>
      </c>
      <c r="X47" s="107">
        <f t="shared" si="19"/>
        <v>0</v>
      </c>
    </row>
    <row r="48" ht="35" customHeight="1" spans="1:24">
      <c r="A48" s="166" t="s">
        <v>25</v>
      </c>
      <c r="B48" s="167"/>
      <c r="C48" s="167"/>
      <c r="D48" s="168">
        <f>D47/$C$47*100</f>
        <v>99.6530265357439</v>
      </c>
      <c r="E48" s="168">
        <f>E47/$C$47*100</f>
        <v>0</v>
      </c>
      <c r="F48" s="168">
        <f>F47/C47*100</f>
        <v>0.346973464256114</v>
      </c>
      <c r="G48" s="168"/>
      <c r="H48" s="168">
        <f>H47/C47*100</f>
        <v>0.192099681121553</v>
      </c>
      <c r="I48" s="168">
        <f>I47/C47*100</f>
        <v>0.0628626013176563</v>
      </c>
      <c r="J48" s="168">
        <f>J47/C47*100</f>
        <v>0.088850492365179</v>
      </c>
      <c r="K48" s="168"/>
      <c r="L48" s="187"/>
      <c r="M48" s="115"/>
      <c r="N48" s="188" t="s">
        <v>25</v>
      </c>
      <c r="O48" s="168">
        <f>O47/N47*100</f>
        <v>87.0177475243171</v>
      </c>
      <c r="P48" s="168">
        <f>P47/N47*100</f>
        <v>0.508680280723972</v>
      </c>
      <c r="Q48" s="168">
        <f>Q47/N47*100</f>
        <v>10.1813448718625</v>
      </c>
      <c r="R48" s="168"/>
      <c r="S48" s="168">
        <f>S47/N47*100</f>
        <v>0.127697746820748</v>
      </c>
      <c r="T48" s="168">
        <f>T47/N47*100</f>
        <v>9.68356990836016</v>
      </c>
      <c r="U48" s="168">
        <f>U47/N47*100</f>
        <v>0</v>
      </c>
      <c r="V48" s="168">
        <f>V47/N47*100</f>
        <v>0.9002163474223</v>
      </c>
      <c r="W48" s="188">
        <f>W47/N47*100</f>
        <v>0</v>
      </c>
      <c r="X48" s="168"/>
    </row>
    <row r="49" ht="60" customHeight="1" spans="1:24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5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</row>
    <row r="50" ht="74" customHeight="1" spans="2:16">
      <c r="B50" s="34"/>
      <c r="C50" s="34"/>
      <c r="D50" s="34"/>
      <c r="E50" s="34"/>
      <c r="P50" s="111"/>
    </row>
    <row r="51" spans="2:5">
      <c r="B51" s="34"/>
      <c r="C51" s="34"/>
      <c r="D51" s="34"/>
      <c r="E51" s="34"/>
    </row>
    <row r="53" ht="28.5" spans="3:12"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4" ht="28.5" spans="3:12"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7" spans="2:3">
      <c r="B57" s="36" t="s">
        <v>26</v>
      </c>
      <c r="C57" s="36"/>
    </row>
    <row r="58" spans="2:3">
      <c r="B58" s="37" t="s">
        <v>16</v>
      </c>
      <c r="C58" s="37"/>
    </row>
    <row r="59" spans="2:3">
      <c r="B59" s="37" t="s">
        <v>27</v>
      </c>
      <c r="C59" s="37"/>
    </row>
    <row r="60" spans="2:3">
      <c r="B60" s="37" t="s">
        <v>18</v>
      </c>
      <c r="C60" s="37"/>
    </row>
    <row r="61" spans="2:3">
      <c r="B61" s="37" t="s">
        <v>28</v>
      </c>
      <c r="C61" s="37"/>
    </row>
    <row r="62" spans="2:2">
      <c r="B62" s="40"/>
    </row>
    <row r="63" spans="2:3">
      <c r="B63" s="36" t="s">
        <v>29</v>
      </c>
      <c r="C63" s="36"/>
    </row>
    <row r="64" spans="2:3">
      <c r="B64" s="37" t="s">
        <v>18</v>
      </c>
      <c r="C64" s="37"/>
    </row>
    <row r="65" spans="2:3">
      <c r="B65" s="37" t="s">
        <v>21</v>
      </c>
      <c r="C65" s="37"/>
    </row>
    <row r="66" spans="2:3">
      <c r="B66" s="37" t="s">
        <v>22</v>
      </c>
      <c r="C66" s="37"/>
    </row>
    <row r="67" spans="2:3">
      <c r="B67" s="37" t="s">
        <v>23</v>
      </c>
      <c r="C67" s="37"/>
    </row>
    <row r="68" spans="2:3">
      <c r="B68" s="37" t="s">
        <v>19</v>
      </c>
      <c r="C68" s="37"/>
    </row>
    <row r="69" spans="2:3">
      <c r="B69" s="37" t="s">
        <v>28</v>
      </c>
      <c r="C69" s="37"/>
    </row>
  </sheetData>
  <mergeCells count="83">
    <mergeCell ref="V3:W3"/>
    <mergeCell ref="V4:W4"/>
    <mergeCell ref="C5:U5"/>
    <mergeCell ref="V5:X5"/>
    <mergeCell ref="A6:X6"/>
    <mergeCell ref="A7:L7"/>
    <mergeCell ref="N7:X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C48"/>
    <mergeCell ref="B57:C57"/>
    <mergeCell ref="B58:C58"/>
    <mergeCell ref="B59:C59"/>
    <mergeCell ref="B60:C60"/>
    <mergeCell ref="B61:C61"/>
    <mergeCell ref="B63:C63"/>
    <mergeCell ref="B64:C64"/>
    <mergeCell ref="B65:C65"/>
    <mergeCell ref="B66:C66"/>
    <mergeCell ref="B67:C67"/>
    <mergeCell ref="B68:C68"/>
    <mergeCell ref="B69:C69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1:X2"/>
    <mergeCell ref="X8:X10"/>
    <mergeCell ref="A1:B5"/>
    <mergeCell ref="C1:U4"/>
    <mergeCell ref="V1:W2"/>
    <mergeCell ref="A8:B10"/>
  </mergeCells>
  <pageMargins left="0.251388888888889" right="0.251388888888889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69"/>
  <sheetViews>
    <sheetView tabSelected="1" view="pageBreakPreview" zoomScale="80" zoomScalePageLayoutView="80" zoomScaleNormal="115" topLeftCell="A7" workbookViewId="0">
      <selection activeCell="W33" sqref="W33"/>
    </sheetView>
  </sheetViews>
  <sheetFormatPr defaultColWidth="9.14285714285714" defaultRowHeight="15"/>
  <cols>
    <col min="1" max="1" width="5.2952380952381" customWidth="1"/>
    <col min="2" max="2" width="12.7142857142857" customWidth="1"/>
    <col min="3" max="3" width="12.0380952380952" customWidth="1"/>
    <col min="4" max="4" width="14.9619047619048" customWidth="1"/>
    <col min="5" max="5" width="12.9333333333333" customWidth="1"/>
    <col min="6" max="6" width="12.8571428571429" customWidth="1"/>
    <col min="7" max="7" width="10.5714285714286" customWidth="1"/>
    <col min="8" max="8" width="10.247619047619" customWidth="1"/>
    <col min="9" max="9" width="11.4190476190476" customWidth="1"/>
    <col min="10" max="10" width="10.4285714285714" customWidth="1"/>
    <col min="11" max="11" width="9.74285714285714" customWidth="1"/>
    <col min="12" max="12" width="9.85714285714286" customWidth="1"/>
    <col min="13" max="13" width="3.25714285714286" style="75" customWidth="1"/>
    <col min="14" max="14" width="16.9619047619048" customWidth="1"/>
    <col min="15" max="15" width="12.4285714285714" customWidth="1"/>
    <col min="16" max="16" width="11.4285714285714" customWidth="1"/>
    <col min="17" max="17" width="12.847619047619" customWidth="1"/>
    <col min="18" max="18" width="10.5714285714286" customWidth="1"/>
    <col min="19" max="19" width="11.2571428571429" customWidth="1"/>
    <col min="20" max="20" width="11.4190476190476" customWidth="1"/>
    <col min="21" max="21" width="10.247619047619" customWidth="1"/>
    <col min="22" max="22" width="13.4380952380952" customWidth="1"/>
    <col min="23" max="23" width="16.6095238095238" customWidth="1"/>
    <col min="24" max="24" width="14.2857142857143" customWidth="1"/>
    <col min="25" max="29" width="6.71428571428571" customWidth="1"/>
  </cols>
  <sheetData>
    <row r="1" spans="1:24">
      <c r="A1" s="1"/>
      <c r="B1" s="2"/>
      <c r="C1" s="76" t="s">
        <v>47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16"/>
    </row>
    <row r="2" ht="23" customHeight="1" spans="1:24">
      <c r="A2" s="4"/>
      <c r="B2" s="5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117"/>
    </row>
    <row r="3" ht="26" customHeight="1" spans="1:24">
      <c r="A3" s="4"/>
      <c r="B3" s="5"/>
      <c r="C3" s="78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117"/>
    </row>
    <row r="4" ht="24" customHeight="1" spans="1:24">
      <c r="A4" s="4"/>
      <c r="B4" s="5"/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118"/>
    </row>
    <row r="5" ht="19" customHeight="1" spans="1:24">
      <c r="A5" s="8"/>
      <c r="B5" s="9"/>
      <c r="C5" s="82" t="s">
        <v>48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119"/>
    </row>
    <row r="6" ht="20" customHeight="1" spans="1:29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12"/>
      <c r="Z6" s="12"/>
      <c r="AA6" s="12"/>
      <c r="AB6" s="12"/>
      <c r="AC6" s="12"/>
    </row>
    <row r="7" ht="21" customHeight="1" spans="1:29">
      <c r="A7" s="84" t="s">
        <v>8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113"/>
      <c r="N7" s="84" t="s">
        <v>9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72"/>
      <c r="Z7" s="72"/>
      <c r="AA7" s="72"/>
      <c r="AB7" s="72"/>
      <c r="AC7" s="73"/>
    </row>
    <row r="8" spans="1:24">
      <c r="A8" s="85" t="s">
        <v>10</v>
      </c>
      <c r="B8" s="85"/>
      <c r="C8" s="86" t="s">
        <v>11</v>
      </c>
      <c r="D8" s="85" t="s">
        <v>12</v>
      </c>
      <c r="E8" s="85" t="s">
        <v>13</v>
      </c>
      <c r="F8" s="86" t="s">
        <v>14</v>
      </c>
      <c r="G8" s="86" t="s">
        <v>15</v>
      </c>
      <c r="H8" s="86" t="s">
        <v>16</v>
      </c>
      <c r="I8" s="86" t="s">
        <v>17</v>
      </c>
      <c r="J8" s="85" t="s">
        <v>18</v>
      </c>
      <c r="K8" s="85" t="s">
        <v>19</v>
      </c>
      <c r="L8" s="85" t="s">
        <v>20</v>
      </c>
      <c r="M8" s="113"/>
      <c r="N8" s="86" t="s">
        <v>11</v>
      </c>
      <c r="O8" s="86" t="s">
        <v>12</v>
      </c>
      <c r="P8" s="86" t="s">
        <v>13</v>
      </c>
      <c r="Q8" s="86" t="s">
        <v>14</v>
      </c>
      <c r="R8" s="86" t="s">
        <v>15</v>
      </c>
      <c r="S8" s="86" t="s">
        <v>18</v>
      </c>
      <c r="T8" s="86" t="s">
        <v>21</v>
      </c>
      <c r="U8" s="86" t="s">
        <v>22</v>
      </c>
      <c r="V8" s="86" t="s">
        <v>23</v>
      </c>
      <c r="W8" s="85" t="s">
        <v>19</v>
      </c>
      <c r="X8" s="85" t="s">
        <v>20</v>
      </c>
    </row>
    <row r="9" spans="1:24">
      <c r="A9" s="85"/>
      <c r="B9" s="85"/>
      <c r="C9" s="86"/>
      <c r="D9" s="85"/>
      <c r="E9" s="85"/>
      <c r="F9" s="86"/>
      <c r="G9" s="86"/>
      <c r="H9" s="86"/>
      <c r="I9" s="86"/>
      <c r="J9" s="85"/>
      <c r="K9" s="85"/>
      <c r="L9" s="85"/>
      <c r="M9" s="113"/>
      <c r="N9" s="86"/>
      <c r="O9" s="86"/>
      <c r="P9" s="86"/>
      <c r="Q9" s="86"/>
      <c r="R9" s="86"/>
      <c r="S9" s="86"/>
      <c r="T9" s="86"/>
      <c r="U9" s="86"/>
      <c r="V9" s="86"/>
      <c r="W9" s="85"/>
      <c r="X9" s="85"/>
    </row>
    <row r="10" spans="1:24">
      <c r="A10" s="85"/>
      <c r="B10" s="85"/>
      <c r="C10" s="86"/>
      <c r="D10" s="85"/>
      <c r="E10" s="85"/>
      <c r="F10" s="86"/>
      <c r="G10" s="86"/>
      <c r="H10" s="86"/>
      <c r="I10" s="86"/>
      <c r="J10" s="85"/>
      <c r="K10" s="85"/>
      <c r="L10" s="85"/>
      <c r="M10" s="113"/>
      <c r="N10" s="86"/>
      <c r="O10" s="86"/>
      <c r="P10" s="86"/>
      <c r="Q10" s="86"/>
      <c r="R10" s="86"/>
      <c r="S10" s="86"/>
      <c r="T10" s="86"/>
      <c r="U10" s="86"/>
      <c r="V10" s="86"/>
      <c r="W10" s="85"/>
      <c r="X10" s="85"/>
    </row>
    <row r="11" ht="18.75" spans="1:24">
      <c r="A11" s="87">
        <v>46023</v>
      </c>
      <c r="B11" s="87"/>
      <c r="C11" s="25">
        <v>7690</v>
      </c>
      <c r="D11" s="25">
        <v>7659</v>
      </c>
      <c r="E11" s="25"/>
      <c r="F11" s="25">
        <v>31</v>
      </c>
      <c r="G11" s="26">
        <f t="shared" ref="G11:G21" si="0">F11/C11*100</f>
        <v>0.403120936280884</v>
      </c>
      <c r="H11" s="25">
        <v>20</v>
      </c>
      <c r="I11" s="25">
        <v>11</v>
      </c>
      <c r="J11" s="25"/>
      <c r="K11" s="25"/>
      <c r="L11" s="25"/>
      <c r="M11" s="113"/>
      <c r="N11" s="25">
        <v>8000</v>
      </c>
      <c r="O11" s="25">
        <v>6686</v>
      </c>
      <c r="P11" s="25"/>
      <c r="Q11" s="25">
        <v>1314</v>
      </c>
      <c r="R11" s="26">
        <f>Q11/N11*100</f>
        <v>16.425</v>
      </c>
      <c r="S11" s="25">
        <v>8</v>
      </c>
      <c r="T11" s="25">
        <v>1300</v>
      </c>
      <c r="U11" s="25"/>
      <c r="V11" s="25">
        <v>6</v>
      </c>
      <c r="W11" s="25"/>
      <c r="X11" s="25"/>
    </row>
    <row r="12" ht="18.75" spans="1:24">
      <c r="A12" s="87">
        <v>46024</v>
      </c>
      <c r="B12" s="87"/>
      <c r="C12" s="25">
        <v>10000</v>
      </c>
      <c r="D12" s="25">
        <v>10001</v>
      </c>
      <c r="E12" s="25"/>
      <c r="F12" s="25">
        <v>8</v>
      </c>
      <c r="G12" s="26">
        <f t="shared" si="0"/>
        <v>0.08</v>
      </c>
      <c r="H12" s="25">
        <v>6</v>
      </c>
      <c r="I12" s="25">
        <v>2</v>
      </c>
      <c r="J12" s="25"/>
      <c r="K12" s="25"/>
      <c r="L12" s="25"/>
      <c r="M12" s="113"/>
      <c r="N12" s="25">
        <v>9659</v>
      </c>
      <c r="O12" s="25">
        <v>7942</v>
      </c>
      <c r="P12" s="25">
        <v>992</v>
      </c>
      <c r="Q12" s="25">
        <v>725</v>
      </c>
      <c r="R12" s="26">
        <f>Q12/N12*100</f>
        <v>7.50595299720468</v>
      </c>
      <c r="S12" s="25">
        <v>1</v>
      </c>
      <c r="T12" s="25">
        <v>724</v>
      </c>
      <c r="U12" s="25"/>
      <c r="V12" s="25"/>
      <c r="W12" s="25"/>
      <c r="X12" s="25"/>
    </row>
    <row r="13" ht="18.75" spans="1:24">
      <c r="A13" s="87">
        <v>46025</v>
      </c>
      <c r="B13" s="87"/>
      <c r="C13" s="25">
        <v>8304</v>
      </c>
      <c r="D13" s="25">
        <v>8293</v>
      </c>
      <c r="E13" s="25"/>
      <c r="F13" s="25">
        <v>11</v>
      </c>
      <c r="G13" s="26">
        <f t="shared" si="0"/>
        <v>0.132466281310212</v>
      </c>
      <c r="H13" s="25">
        <v>10</v>
      </c>
      <c r="I13" s="25">
        <v>1</v>
      </c>
      <c r="J13" s="25"/>
      <c r="K13" s="25"/>
      <c r="L13" s="25"/>
      <c r="M13" s="113"/>
      <c r="N13" s="25">
        <v>10010</v>
      </c>
      <c r="O13" s="25">
        <v>8311</v>
      </c>
      <c r="P13" s="25">
        <v>1578</v>
      </c>
      <c r="Q13" s="25">
        <v>121</v>
      </c>
      <c r="R13" s="26">
        <f>Q13/N13*100</f>
        <v>1.20879120879121</v>
      </c>
      <c r="S13" s="25"/>
      <c r="T13" s="25">
        <v>119</v>
      </c>
      <c r="U13" s="25"/>
      <c r="V13" s="25">
        <v>2</v>
      </c>
      <c r="W13" s="25"/>
      <c r="X13" s="25"/>
    </row>
    <row r="14" ht="25" customHeight="1" spans="1:24">
      <c r="A14" s="88" t="s">
        <v>38</v>
      </c>
      <c r="B14" s="88"/>
      <c r="C14" s="89">
        <f>SUM(C11:C13)</f>
        <v>25994</v>
      </c>
      <c r="D14" s="89">
        <f>SUM(D11:D13)</f>
        <v>25953</v>
      </c>
      <c r="E14" s="89">
        <f>SUM(E11:E13)</f>
        <v>0</v>
      </c>
      <c r="F14" s="89">
        <f>SUM(F11:F13)</f>
        <v>50</v>
      </c>
      <c r="G14" s="90">
        <f t="shared" si="0"/>
        <v>0.192352081249519</v>
      </c>
      <c r="H14" s="89">
        <f>SUM(H11:H13)</f>
        <v>36</v>
      </c>
      <c r="I14" s="89">
        <f>SUM(I11:I13)</f>
        <v>14</v>
      </c>
      <c r="J14" s="89">
        <f>SUM(J11:J13)</f>
        <v>0</v>
      </c>
      <c r="K14" s="89">
        <f>SUM(K11:K13)</f>
        <v>0</v>
      </c>
      <c r="L14" s="89">
        <f>SUM(L11:L13)</f>
        <v>0</v>
      </c>
      <c r="M14" s="113"/>
      <c r="N14" s="89">
        <f>SUM(N11:N13)</f>
        <v>27669</v>
      </c>
      <c r="O14" s="89">
        <f>SUM(O11:O13)</f>
        <v>22939</v>
      </c>
      <c r="P14" s="89">
        <f>SUM(P11:P13)</f>
        <v>2570</v>
      </c>
      <c r="Q14" s="89">
        <f>SUM(Q11:Q13)</f>
        <v>2160</v>
      </c>
      <c r="R14" s="90">
        <f t="shared" ref="R14:R47" si="1">Q14/N14*100</f>
        <v>7.80657053019625</v>
      </c>
      <c r="S14" s="89">
        <f t="shared" ref="S14:X14" si="2">SUM(S11:S13)</f>
        <v>9</v>
      </c>
      <c r="T14" s="89">
        <f t="shared" si="2"/>
        <v>2143</v>
      </c>
      <c r="U14" s="89">
        <f t="shared" si="2"/>
        <v>0</v>
      </c>
      <c r="V14" s="89">
        <f t="shared" si="2"/>
        <v>8</v>
      </c>
      <c r="W14" s="89">
        <f t="shared" si="2"/>
        <v>0</v>
      </c>
      <c r="X14" s="89">
        <f t="shared" si="2"/>
        <v>0</v>
      </c>
    </row>
    <row r="15" ht="25" customHeight="1" spans="1:24">
      <c r="A15" s="91">
        <v>46026</v>
      </c>
      <c r="B15" s="91"/>
      <c r="C15" s="92"/>
      <c r="D15" s="92"/>
      <c r="E15" s="92"/>
      <c r="F15" s="92"/>
      <c r="G15" s="93" t="e">
        <f t="shared" si="0"/>
        <v>#DIV/0!</v>
      </c>
      <c r="H15" s="92"/>
      <c r="I15" s="92"/>
      <c r="J15" s="92"/>
      <c r="K15" s="92"/>
      <c r="L15" s="92"/>
      <c r="M15" s="113"/>
      <c r="N15" s="92"/>
      <c r="O15" s="92"/>
      <c r="P15" s="92"/>
      <c r="Q15" s="92"/>
      <c r="R15" s="93" t="e">
        <f t="shared" si="1"/>
        <v>#DIV/0!</v>
      </c>
      <c r="S15" s="92"/>
      <c r="T15" s="92"/>
      <c r="U15" s="92"/>
      <c r="V15" s="92"/>
      <c r="W15" s="92"/>
      <c r="X15" s="92"/>
    </row>
    <row r="16" ht="25" customHeight="1" spans="1:24">
      <c r="A16" s="94">
        <v>46027</v>
      </c>
      <c r="B16" s="94"/>
      <c r="C16" s="25">
        <v>10585</v>
      </c>
      <c r="D16" s="25">
        <v>10535</v>
      </c>
      <c r="E16" s="25"/>
      <c r="F16" s="25">
        <v>50</v>
      </c>
      <c r="G16" s="26">
        <f t="shared" si="0"/>
        <v>0.472366556447803</v>
      </c>
      <c r="H16" s="25">
        <v>32</v>
      </c>
      <c r="I16" s="25">
        <v>16</v>
      </c>
      <c r="J16" s="25">
        <v>2</v>
      </c>
      <c r="K16" s="25"/>
      <c r="L16" s="25"/>
      <c r="M16" s="113"/>
      <c r="N16" s="25">
        <v>9618</v>
      </c>
      <c r="O16" s="25">
        <v>4806</v>
      </c>
      <c r="P16" s="25">
        <v>3267</v>
      </c>
      <c r="Q16" s="25">
        <v>1545</v>
      </c>
      <c r="R16" s="26">
        <f t="shared" si="1"/>
        <v>16.0636306924517</v>
      </c>
      <c r="S16" s="25">
        <v>4</v>
      </c>
      <c r="T16" s="25">
        <v>1541</v>
      </c>
      <c r="U16" s="25"/>
      <c r="V16" s="25"/>
      <c r="W16" s="25"/>
      <c r="X16" s="25"/>
    </row>
    <row r="17" ht="25" customHeight="1" spans="1:24">
      <c r="A17" s="94">
        <v>46028</v>
      </c>
      <c r="B17" s="94"/>
      <c r="C17" s="25">
        <v>13037</v>
      </c>
      <c r="D17" s="25">
        <v>13032</v>
      </c>
      <c r="E17" s="25"/>
      <c r="F17" s="25">
        <v>5</v>
      </c>
      <c r="G17" s="26">
        <f t="shared" si="0"/>
        <v>0.0383523816829025</v>
      </c>
      <c r="H17" s="25">
        <v>5</v>
      </c>
      <c r="I17" s="25"/>
      <c r="J17" s="25"/>
      <c r="K17" s="25"/>
      <c r="L17" s="25"/>
      <c r="M17" s="113"/>
      <c r="N17" s="25">
        <v>10993</v>
      </c>
      <c r="O17" s="25">
        <v>10993</v>
      </c>
      <c r="P17" s="25">
        <v>1992</v>
      </c>
      <c r="Q17" s="25">
        <v>584</v>
      </c>
      <c r="R17" s="26">
        <f t="shared" si="1"/>
        <v>5.31247157281907</v>
      </c>
      <c r="S17" s="25">
        <v>10</v>
      </c>
      <c r="T17" s="25">
        <v>574</v>
      </c>
      <c r="U17" s="25"/>
      <c r="V17" s="25"/>
      <c r="W17" s="25"/>
      <c r="X17" s="25"/>
    </row>
    <row r="18" ht="25" customHeight="1" spans="1:24">
      <c r="A18" s="94">
        <v>46029</v>
      </c>
      <c r="B18" s="94"/>
      <c r="C18" s="95">
        <v>10869</v>
      </c>
      <c r="D18" s="95">
        <v>10804</v>
      </c>
      <c r="E18" s="95"/>
      <c r="F18" s="95">
        <v>65</v>
      </c>
      <c r="G18" s="26">
        <f t="shared" si="0"/>
        <v>0.598031097617076</v>
      </c>
      <c r="H18" s="27">
        <v>16</v>
      </c>
      <c r="I18" s="27">
        <v>49</v>
      </c>
      <c r="J18" s="27"/>
      <c r="K18" s="27"/>
      <c r="L18" s="27"/>
      <c r="M18" s="113"/>
      <c r="N18" s="27">
        <v>11685</v>
      </c>
      <c r="O18" s="27">
        <v>9120</v>
      </c>
      <c r="P18" s="27">
        <v>1774</v>
      </c>
      <c r="Q18" s="27">
        <v>312</v>
      </c>
      <c r="R18" s="120">
        <f t="shared" si="1"/>
        <v>2.67008985879332</v>
      </c>
      <c r="S18" s="27">
        <v>11</v>
      </c>
      <c r="T18" s="27">
        <v>301</v>
      </c>
      <c r="U18" s="27"/>
      <c r="V18" s="27"/>
      <c r="W18" s="27">
        <v>479</v>
      </c>
      <c r="X18" s="27"/>
    </row>
    <row r="19" ht="25" customHeight="1" spans="1:24">
      <c r="A19" s="94">
        <v>46030</v>
      </c>
      <c r="B19" s="94"/>
      <c r="C19" s="27">
        <v>10114</v>
      </c>
      <c r="D19" s="27">
        <v>10097</v>
      </c>
      <c r="E19" s="27"/>
      <c r="F19" s="27">
        <v>17</v>
      </c>
      <c r="G19" s="26">
        <f t="shared" si="0"/>
        <v>0.168083844176389</v>
      </c>
      <c r="H19" s="27">
        <v>17</v>
      </c>
      <c r="I19" s="27"/>
      <c r="J19" s="27"/>
      <c r="K19" s="27"/>
      <c r="L19" s="27"/>
      <c r="M19" s="113"/>
      <c r="N19" s="27">
        <v>15156</v>
      </c>
      <c r="O19" s="27">
        <v>12105</v>
      </c>
      <c r="P19" s="27">
        <v>1700</v>
      </c>
      <c r="Q19" s="27">
        <v>826</v>
      </c>
      <c r="R19" s="26">
        <f t="shared" si="1"/>
        <v>5.44998680390604</v>
      </c>
      <c r="S19" s="27">
        <v>6</v>
      </c>
      <c r="T19" s="27">
        <v>816</v>
      </c>
      <c r="U19" s="27">
        <v>4</v>
      </c>
      <c r="V19" s="27">
        <v>525</v>
      </c>
      <c r="W19" s="27"/>
      <c r="X19" s="27"/>
    </row>
    <row r="20" ht="25" customHeight="1" spans="1:24">
      <c r="A20" s="94">
        <v>46031</v>
      </c>
      <c r="B20" s="94"/>
      <c r="C20" s="27">
        <v>14014</v>
      </c>
      <c r="D20" s="27">
        <v>13976</v>
      </c>
      <c r="E20" s="27"/>
      <c r="F20" s="27">
        <v>38</v>
      </c>
      <c r="G20" s="26">
        <f t="shared" si="0"/>
        <v>0.271157414014557</v>
      </c>
      <c r="H20" s="27">
        <v>29</v>
      </c>
      <c r="I20" s="27">
        <v>9</v>
      </c>
      <c r="J20" s="27"/>
      <c r="K20" s="27"/>
      <c r="L20" s="27"/>
      <c r="M20" s="113"/>
      <c r="N20" s="27">
        <v>16954</v>
      </c>
      <c r="O20" s="27">
        <v>14813</v>
      </c>
      <c r="P20" s="27">
        <v>1547</v>
      </c>
      <c r="Q20" s="27">
        <v>418</v>
      </c>
      <c r="R20" s="26">
        <f t="shared" si="1"/>
        <v>2.46549486846762</v>
      </c>
      <c r="S20" s="27">
        <v>2</v>
      </c>
      <c r="T20" s="27">
        <v>415</v>
      </c>
      <c r="U20" s="27"/>
      <c r="V20" s="27">
        <v>1</v>
      </c>
      <c r="W20" s="27">
        <v>176</v>
      </c>
      <c r="X20" s="27"/>
    </row>
    <row r="21" ht="25" customHeight="1" spans="1:24">
      <c r="A21" s="94">
        <v>46032</v>
      </c>
      <c r="B21" s="94"/>
      <c r="C21" s="96">
        <v>12916</v>
      </c>
      <c r="D21" s="96">
        <v>12889</v>
      </c>
      <c r="E21" s="96"/>
      <c r="F21" s="96">
        <v>27</v>
      </c>
      <c r="G21" s="97">
        <f t="shared" si="0"/>
        <v>0.209043047383091</v>
      </c>
      <c r="H21" s="96">
        <v>16</v>
      </c>
      <c r="I21" s="96">
        <v>10</v>
      </c>
      <c r="J21" s="96">
        <v>1</v>
      </c>
      <c r="K21" s="96"/>
      <c r="L21" s="96"/>
      <c r="M21" s="113"/>
      <c r="N21" s="96">
        <v>12892</v>
      </c>
      <c r="O21" s="96">
        <v>12187</v>
      </c>
      <c r="P21" s="96">
        <v>290</v>
      </c>
      <c r="Q21" s="96">
        <v>309</v>
      </c>
      <c r="R21" s="97">
        <f t="shared" si="1"/>
        <v>2.3968352466646</v>
      </c>
      <c r="S21" s="96">
        <v>9</v>
      </c>
      <c r="T21" s="96">
        <v>300</v>
      </c>
      <c r="U21" s="96"/>
      <c r="V21" s="96"/>
      <c r="W21" s="121">
        <v>106</v>
      </c>
      <c r="X21" s="96"/>
    </row>
    <row r="22" customFormat="1" ht="25" customHeight="1" spans="1:24">
      <c r="A22" s="88" t="s">
        <v>39</v>
      </c>
      <c r="B22" s="88"/>
      <c r="C22" s="98">
        <f t="shared" ref="C22:F22" si="3">SUM(C15:C21)</f>
        <v>71535</v>
      </c>
      <c r="D22" s="98">
        <f t="shared" si="3"/>
        <v>71333</v>
      </c>
      <c r="E22" s="98">
        <f t="shared" si="3"/>
        <v>0</v>
      </c>
      <c r="F22" s="98">
        <f t="shared" si="3"/>
        <v>202</v>
      </c>
      <c r="G22" s="99">
        <f t="shared" ref="G14:G47" si="4">F22/C22*100</f>
        <v>0.282379254910184</v>
      </c>
      <c r="H22" s="98">
        <f t="shared" ref="H22:L22" si="5">SUM(H15:H21)</f>
        <v>115</v>
      </c>
      <c r="I22" s="98">
        <f t="shared" si="5"/>
        <v>84</v>
      </c>
      <c r="J22" s="98">
        <f t="shared" si="5"/>
        <v>3</v>
      </c>
      <c r="K22" s="98">
        <f t="shared" si="5"/>
        <v>0</v>
      </c>
      <c r="L22" s="98">
        <f t="shared" si="5"/>
        <v>0</v>
      </c>
      <c r="M22" s="113"/>
      <c r="N22" s="98">
        <f t="shared" ref="N22:Q22" si="6">SUM(N15:N21)</f>
        <v>77298</v>
      </c>
      <c r="O22" s="98">
        <f t="shared" si="6"/>
        <v>64024</v>
      </c>
      <c r="P22" s="98">
        <f t="shared" si="6"/>
        <v>10570</v>
      </c>
      <c r="Q22" s="98">
        <f t="shared" si="6"/>
        <v>3994</v>
      </c>
      <c r="R22" s="99">
        <f t="shared" si="1"/>
        <v>5.16701596419054</v>
      </c>
      <c r="S22" s="98">
        <f t="shared" ref="S22:X22" si="7">SUM(S15:S21)</f>
        <v>42</v>
      </c>
      <c r="T22" s="98">
        <f t="shared" si="7"/>
        <v>3947</v>
      </c>
      <c r="U22" s="98">
        <f t="shared" si="7"/>
        <v>4</v>
      </c>
      <c r="V22" s="98">
        <f t="shared" si="7"/>
        <v>526</v>
      </c>
      <c r="W22" s="98">
        <f t="shared" si="7"/>
        <v>761</v>
      </c>
      <c r="X22" s="98">
        <f t="shared" si="7"/>
        <v>0</v>
      </c>
    </row>
    <row r="23" ht="25" customHeight="1" spans="1:24">
      <c r="A23" s="91">
        <v>46033</v>
      </c>
      <c r="B23" s="91"/>
      <c r="C23" s="100"/>
      <c r="D23" s="100"/>
      <c r="E23" s="100"/>
      <c r="F23" s="100"/>
      <c r="G23" s="101" t="e">
        <f t="shared" si="4"/>
        <v>#DIV/0!</v>
      </c>
      <c r="H23" s="100"/>
      <c r="I23" s="100"/>
      <c r="J23" s="100"/>
      <c r="K23" s="100"/>
      <c r="L23" s="100"/>
      <c r="M23" s="113"/>
      <c r="N23" s="100"/>
      <c r="O23" s="100"/>
      <c r="P23" s="100"/>
      <c r="Q23" s="100"/>
      <c r="R23" s="101" t="e">
        <f t="shared" si="1"/>
        <v>#DIV/0!</v>
      </c>
      <c r="S23" s="100"/>
      <c r="T23" s="100"/>
      <c r="U23" s="100"/>
      <c r="V23" s="100"/>
      <c r="W23" s="100"/>
      <c r="X23" s="100"/>
    </row>
    <row r="24" ht="25" customHeight="1" spans="1:24">
      <c r="A24" s="94">
        <v>46034</v>
      </c>
      <c r="B24" s="94"/>
      <c r="C24" s="102">
        <v>15439</v>
      </c>
      <c r="D24" s="102">
        <v>15391</v>
      </c>
      <c r="E24" s="102"/>
      <c r="F24" s="102">
        <v>48</v>
      </c>
      <c r="G24" s="97">
        <f t="shared" si="4"/>
        <v>0.310900965088412</v>
      </c>
      <c r="H24" s="102">
        <v>40</v>
      </c>
      <c r="I24" s="102">
        <v>7</v>
      </c>
      <c r="J24" s="102">
        <v>1</v>
      </c>
      <c r="K24" s="102"/>
      <c r="L24" s="102"/>
      <c r="M24" s="113"/>
      <c r="N24" s="102">
        <v>11300</v>
      </c>
      <c r="O24" s="102">
        <v>10497</v>
      </c>
      <c r="P24" s="102">
        <v>305</v>
      </c>
      <c r="Q24" s="102">
        <v>332</v>
      </c>
      <c r="R24" s="97">
        <f t="shared" si="1"/>
        <v>2.93805309734513</v>
      </c>
      <c r="S24" s="102">
        <v>7</v>
      </c>
      <c r="T24" s="102">
        <v>325</v>
      </c>
      <c r="U24" s="102"/>
      <c r="V24" s="102"/>
      <c r="W24" s="102">
        <v>166</v>
      </c>
      <c r="X24" s="102"/>
    </row>
    <row r="25" ht="25" customHeight="1" spans="1:24">
      <c r="A25" s="94">
        <v>46035</v>
      </c>
      <c r="B25" s="94"/>
      <c r="C25" s="102">
        <v>13217</v>
      </c>
      <c r="D25" s="102">
        <v>13207</v>
      </c>
      <c r="E25" s="102"/>
      <c r="F25" s="102">
        <v>10</v>
      </c>
      <c r="G25" s="97">
        <f t="shared" si="4"/>
        <v>0.0756601346750397</v>
      </c>
      <c r="H25" s="102">
        <v>7</v>
      </c>
      <c r="I25" s="102">
        <v>3</v>
      </c>
      <c r="J25" s="102"/>
      <c r="K25" s="102"/>
      <c r="L25" s="102"/>
      <c r="M25" s="113"/>
      <c r="N25" s="102">
        <v>14709</v>
      </c>
      <c r="O25" s="102">
        <v>14472</v>
      </c>
      <c r="P25" s="102"/>
      <c r="Q25" s="102">
        <v>131</v>
      </c>
      <c r="R25" s="97">
        <f t="shared" si="1"/>
        <v>0.890611190427629</v>
      </c>
      <c r="S25" s="102">
        <v>4</v>
      </c>
      <c r="T25" s="102">
        <v>122</v>
      </c>
      <c r="U25" s="102"/>
      <c r="V25" s="102">
        <v>5</v>
      </c>
      <c r="W25" s="102">
        <v>106</v>
      </c>
      <c r="X25" s="102"/>
    </row>
    <row r="26" ht="25" customHeight="1" spans="1:24">
      <c r="A26" s="94">
        <v>46036</v>
      </c>
      <c r="B26" s="94"/>
      <c r="C26" s="96">
        <v>12899</v>
      </c>
      <c r="D26" s="96">
        <v>12866</v>
      </c>
      <c r="E26" s="96"/>
      <c r="F26" s="96">
        <v>33</v>
      </c>
      <c r="G26" s="97">
        <f t="shared" si="4"/>
        <v>0.255833785564772</v>
      </c>
      <c r="H26" s="96">
        <v>26</v>
      </c>
      <c r="I26" s="96">
        <v>6</v>
      </c>
      <c r="J26" s="96"/>
      <c r="K26" s="96"/>
      <c r="L26" s="96"/>
      <c r="M26" s="113"/>
      <c r="N26" s="102">
        <v>12802</v>
      </c>
      <c r="O26" s="102">
        <v>11768</v>
      </c>
      <c r="P26" s="96">
        <v>720</v>
      </c>
      <c r="Q26" s="96">
        <v>306</v>
      </c>
      <c r="R26" s="97">
        <f t="shared" si="1"/>
        <v>2.3902515231995</v>
      </c>
      <c r="S26" s="96">
        <v>14</v>
      </c>
      <c r="T26" s="96">
        <v>263</v>
      </c>
      <c r="U26" s="96"/>
      <c r="V26" s="96"/>
      <c r="W26" s="96">
        <v>9</v>
      </c>
      <c r="X26" s="96"/>
    </row>
    <row r="27" ht="25" customHeight="1" spans="1:24">
      <c r="A27" s="94">
        <v>46037</v>
      </c>
      <c r="B27" s="94"/>
      <c r="C27" s="102">
        <v>12155</v>
      </c>
      <c r="D27" s="102">
        <v>12107</v>
      </c>
      <c r="E27" s="102"/>
      <c r="F27" s="102">
        <v>48</v>
      </c>
      <c r="G27" s="97">
        <f t="shared" si="4"/>
        <v>0.39489921842863</v>
      </c>
      <c r="H27" s="102">
        <v>40</v>
      </c>
      <c r="I27" s="102">
        <v>8</v>
      </c>
      <c r="J27" s="102"/>
      <c r="K27" s="102"/>
      <c r="L27" s="102"/>
      <c r="M27" s="113"/>
      <c r="N27" s="102">
        <v>13185</v>
      </c>
      <c r="O27" s="102">
        <v>12186</v>
      </c>
      <c r="P27" s="102">
        <v>301</v>
      </c>
      <c r="Q27" s="102">
        <v>298</v>
      </c>
      <c r="R27" s="97">
        <f t="shared" si="1"/>
        <v>2.26014410314752</v>
      </c>
      <c r="S27" s="102">
        <v>11</v>
      </c>
      <c r="T27" s="102">
        <v>217</v>
      </c>
      <c r="U27" s="102"/>
      <c r="V27" s="102"/>
      <c r="W27" s="102">
        <v>70</v>
      </c>
      <c r="X27" s="102"/>
    </row>
    <row r="28" ht="25" customHeight="1" spans="1:24">
      <c r="A28" s="94">
        <v>46038</v>
      </c>
      <c r="B28" s="94"/>
      <c r="C28" s="96">
        <v>15338</v>
      </c>
      <c r="D28" s="96">
        <v>15310</v>
      </c>
      <c r="E28" s="96"/>
      <c r="F28" s="96">
        <v>28</v>
      </c>
      <c r="G28" s="97">
        <f t="shared" si="4"/>
        <v>0.182553136002086</v>
      </c>
      <c r="H28" s="96">
        <v>13</v>
      </c>
      <c r="I28" s="96">
        <v>7</v>
      </c>
      <c r="J28" s="96">
        <v>8</v>
      </c>
      <c r="K28" s="96"/>
      <c r="L28" s="96"/>
      <c r="M28" s="113"/>
      <c r="N28" s="96">
        <v>11062</v>
      </c>
      <c r="O28" s="96">
        <v>9656</v>
      </c>
      <c r="P28" s="96">
        <v>1196</v>
      </c>
      <c r="Q28" s="96">
        <v>210</v>
      </c>
      <c r="R28" s="97">
        <f t="shared" si="1"/>
        <v>1.89839088772374</v>
      </c>
      <c r="S28" s="96">
        <v>2</v>
      </c>
      <c r="T28" s="96">
        <v>207</v>
      </c>
      <c r="U28" s="96"/>
      <c r="V28" s="96"/>
      <c r="W28" s="96">
        <v>1</v>
      </c>
      <c r="X28" s="96"/>
    </row>
    <row r="29" ht="25" customHeight="1" spans="1:24">
      <c r="A29" s="94">
        <v>46039</v>
      </c>
      <c r="B29" s="94"/>
      <c r="C29" s="96">
        <v>11494</v>
      </c>
      <c r="D29" s="96">
        <v>11469</v>
      </c>
      <c r="E29" s="96"/>
      <c r="F29" s="96">
        <v>25</v>
      </c>
      <c r="G29" s="97">
        <f t="shared" si="4"/>
        <v>0.217504785105272</v>
      </c>
      <c r="H29" s="96">
        <v>14</v>
      </c>
      <c r="I29" s="96">
        <v>11</v>
      </c>
      <c r="J29" s="96"/>
      <c r="K29" s="96"/>
      <c r="L29" s="96"/>
      <c r="M29" s="113"/>
      <c r="N29" s="96">
        <v>10262</v>
      </c>
      <c r="O29" s="96">
        <v>10222</v>
      </c>
      <c r="P29" s="96"/>
      <c r="Q29" s="96">
        <v>40</v>
      </c>
      <c r="R29" s="97">
        <f t="shared" si="1"/>
        <v>0.389787565776652</v>
      </c>
      <c r="S29" s="96">
        <v>8</v>
      </c>
      <c r="T29" s="96">
        <v>32</v>
      </c>
      <c r="U29" s="96"/>
      <c r="V29" s="96"/>
      <c r="W29" s="96"/>
      <c r="X29" s="96"/>
    </row>
    <row r="30" customFormat="1" ht="25" customHeight="1" spans="1:24">
      <c r="A30" s="88" t="s">
        <v>40</v>
      </c>
      <c r="B30" s="88"/>
      <c r="C30" s="98">
        <f t="shared" ref="C30:F30" si="8">SUM(C23:C29)</f>
        <v>80542</v>
      </c>
      <c r="D30" s="98">
        <f t="shared" si="8"/>
        <v>80350</v>
      </c>
      <c r="E30" s="98">
        <f t="shared" si="8"/>
        <v>0</v>
      </c>
      <c r="F30" s="98">
        <f t="shared" si="8"/>
        <v>192</v>
      </c>
      <c r="G30" s="99">
        <f t="shared" si="4"/>
        <v>0.238384942017829</v>
      </c>
      <c r="H30" s="98">
        <f t="shared" ref="H30:L30" si="9">SUM(H23:H29)</f>
        <v>140</v>
      </c>
      <c r="I30" s="98">
        <f t="shared" si="9"/>
        <v>42</v>
      </c>
      <c r="J30" s="98">
        <f t="shared" si="9"/>
        <v>9</v>
      </c>
      <c r="K30" s="98">
        <f t="shared" si="9"/>
        <v>0</v>
      </c>
      <c r="L30" s="98">
        <f t="shared" si="9"/>
        <v>0</v>
      </c>
      <c r="M30" s="113"/>
      <c r="N30" s="98">
        <f>SUM(N23:N29)</f>
        <v>73320</v>
      </c>
      <c r="O30" s="98">
        <f t="shared" ref="O30:Q30" si="10">SUM(O24:O29)</f>
        <v>68801</v>
      </c>
      <c r="P30" s="98">
        <f t="shared" si="10"/>
        <v>2522</v>
      </c>
      <c r="Q30" s="98">
        <f t="shared" si="10"/>
        <v>1317</v>
      </c>
      <c r="R30" s="99">
        <f t="shared" si="1"/>
        <v>1.7962356792144</v>
      </c>
      <c r="S30" s="98">
        <f t="shared" ref="S30:X30" si="11">SUM(S23:S29)</f>
        <v>46</v>
      </c>
      <c r="T30" s="98">
        <f t="shared" si="11"/>
        <v>1166</v>
      </c>
      <c r="U30" s="98">
        <f t="shared" si="11"/>
        <v>0</v>
      </c>
      <c r="V30" s="98">
        <f t="shared" si="11"/>
        <v>5</v>
      </c>
      <c r="W30" s="98">
        <f t="shared" si="11"/>
        <v>352</v>
      </c>
      <c r="X30" s="98">
        <f t="shared" si="11"/>
        <v>0</v>
      </c>
    </row>
    <row r="31" s="74" customFormat="1" ht="25" customHeight="1" spans="1:24">
      <c r="A31" s="103">
        <v>46040</v>
      </c>
      <c r="B31" s="103"/>
      <c r="C31" s="104"/>
      <c r="D31" s="104"/>
      <c r="E31" s="104"/>
      <c r="F31" s="104"/>
      <c r="G31" s="105" t="e">
        <f t="shared" si="4"/>
        <v>#DIV/0!</v>
      </c>
      <c r="H31" s="104"/>
      <c r="I31" s="104"/>
      <c r="J31" s="104"/>
      <c r="K31" s="104"/>
      <c r="L31" s="104"/>
      <c r="M31" s="113"/>
      <c r="N31" s="104"/>
      <c r="O31" s="104"/>
      <c r="P31" s="104"/>
      <c r="Q31" s="104"/>
      <c r="R31" s="105" t="e">
        <f t="shared" si="1"/>
        <v>#DIV/0!</v>
      </c>
      <c r="S31" s="104"/>
      <c r="T31" s="104"/>
      <c r="U31" s="104"/>
      <c r="V31" s="104"/>
      <c r="W31" s="104"/>
      <c r="X31" s="104"/>
    </row>
    <row r="32" ht="25" customHeight="1" spans="1:24">
      <c r="A32" s="94">
        <v>46041</v>
      </c>
      <c r="B32" s="94"/>
      <c r="C32" s="96">
        <v>12313</v>
      </c>
      <c r="D32" s="96">
        <v>12282</v>
      </c>
      <c r="E32" s="96"/>
      <c r="F32" s="96">
        <v>31</v>
      </c>
      <c r="G32" s="26">
        <f t="shared" si="4"/>
        <v>0.251766425728904</v>
      </c>
      <c r="H32" s="96">
        <v>11</v>
      </c>
      <c r="I32" s="96">
        <v>20</v>
      </c>
      <c r="J32" s="96"/>
      <c r="K32" s="96"/>
      <c r="L32" s="96"/>
      <c r="M32" s="113"/>
      <c r="N32" s="96">
        <v>11724</v>
      </c>
      <c r="O32" s="96">
        <v>11691</v>
      </c>
      <c r="P32" s="96"/>
      <c r="Q32" s="96">
        <v>33</v>
      </c>
      <c r="R32" s="26">
        <f t="shared" si="1"/>
        <v>0.281473899692938</v>
      </c>
      <c r="S32" s="96">
        <v>2</v>
      </c>
      <c r="T32" s="96">
        <v>25</v>
      </c>
      <c r="U32" s="96"/>
      <c r="V32" s="96">
        <v>5</v>
      </c>
      <c r="W32" s="96">
        <v>1</v>
      </c>
      <c r="X32" s="122"/>
    </row>
    <row r="33" ht="25" customHeight="1" spans="1:24">
      <c r="A33" s="94">
        <v>46042</v>
      </c>
      <c r="B33" s="94"/>
      <c r="C33" s="96">
        <v>11317</v>
      </c>
      <c r="D33" s="96">
        <v>11289</v>
      </c>
      <c r="E33" s="96"/>
      <c r="F33" s="96">
        <v>28</v>
      </c>
      <c r="G33" s="26">
        <f t="shared" si="4"/>
        <v>0.247415392771936</v>
      </c>
      <c r="H33" s="96">
        <v>15</v>
      </c>
      <c r="I33" s="96">
        <v>12</v>
      </c>
      <c r="J33" s="96">
        <v>1</v>
      </c>
      <c r="K33" s="96"/>
      <c r="L33" s="96"/>
      <c r="M33" s="113"/>
      <c r="N33" s="96">
        <v>12358</v>
      </c>
      <c r="O33" s="96">
        <v>11337</v>
      </c>
      <c r="P33" s="96">
        <v>802</v>
      </c>
      <c r="Q33" s="96">
        <v>219</v>
      </c>
      <c r="R33" s="26">
        <f t="shared" si="1"/>
        <v>1.77213141284998</v>
      </c>
      <c r="S33" s="96">
        <v>4</v>
      </c>
      <c r="T33" s="96">
        <v>200</v>
      </c>
      <c r="U33" s="96"/>
      <c r="V33" s="96">
        <v>5</v>
      </c>
      <c r="W33" s="96">
        <v>10</v>
      </c>
      <c r="X33" s="96"/>
    </row>
    <row r="34" ht="25" customHeight="1" spans="1:24">
      <c r="A34" s="94">
        <v>46043</v>
      </c>
      <c r="B34" s="94"/>
      <c r="C34" s="96">
        <v>14909</v>
      </c>
      <c r="D34" s="96">
        <v>14836</v>
      </c>
      <c r="E34" s="96"/>
      <c r="F34" s="96">
        <v>73</v>
      </c>
      <c r="G34" s="26">
        <f t="shared" si="4"/>
        <v>0.489637131933731</v>
      </c>
      <c r="H34" s="96">
        <v>41</v>
      </c>
      <c r="I34" s="96">
        <v>32</v>
      </c>
      <c r="J34" s="96"/>
      <c r="K34" s="96"/>
      <c r="L34" s="96"/>
      <c r="M34" s="113"/>
      <c r="N34" s="96">
        <v>15391</v>
      </c>
      <c r="O34" s="96">
        <v>14687</v>
      </c>
      <c r="P34" s="96">
        <v>356</v>
      </c>
      <c r="Q34" s="96">
        <v>348</v>
      </c>
      <c r="R34" s="26">
        <f t="shared" si="1"/>
        <v>2.26106165941134</v>
      </c>
      <c r="S34" s="96">
        <v>13</v>
      </c>
      <c r="T34" s="96">
        <v>331</v>
      </c>
      <c r="U34" s="96"/>
      <c r="V34" s="96">
        <v>3</v>
      </c>
      <c r="W34" s="96">
        <v>1</v>
      </c>
      <c r="X34" s="96"/>
    </row>
    <row r="35" ht="25" customHeight="1" spans="1:24">
      <c r="A35" s="94">
        <v>46044</v>
      </c>
      <c r="B35" s="94"/>
      <c r="C35" s="96">
        <v>14777</v>
      </c>
      <c r="D35" s="96">
        <v>14721</v>
      </c>
      <c r="E35" s="96"/>
      <c r="F35" s="96">
        <v>56</v>
      </c>
      <c r="G35" s="26">
        <f t="shared" si="4"/>
        <v>0.378967314069162</v>
      </c>
      <c r="H35" s="96">
        <v>32</v>
      </c>
      <c r="I35" s="96">
        <v>24</v>
      </c>
      <c r="J35" s="96"/>
      <c r="K35" s="96"/>
      <c r="L35" s="96"/>
      <c r="M35" s="113"/>
      <c r="N35" s="96">
        <v>12586</v>
      </c>
      <c r="O35" s="96">
        <v>12497</v>
      </c>
      <c r="P35" s="96"/>
      <c r="Q35" s="96">
        <v>89</v>
      </c>
      <c r="R35" s="26">
        <f t="shared" si="1"/>
        <v>0.707134911806769</v>
      </c>
      <c r="S35" s="96">
        <v>13</v>
      </c>
      <c r="T35" s="96">
        <v>54</v>
      </c>
      <c r="U35" s="96"/>
      <c r="V35" s="96">
        <v>20</v>
      </c>
      <c r="W35" s="96">
        <v>2</v>
      </c>
      <c r="X35" s="96"/>
    </row>
    <row r="36" ht="25" customHeight="1" spans="1:24">
      <c r="A36" s="94">
        <v>46045</v>
      </c>
      <c r="B36" s="94"/>
      <c r="C36" s="96">
        <v>10267</v>
      </c>
      <c r="D36" s="96">
        <v>10236</v>
      </c>
      <c r="E36" s="96"/>
      <c r="F36" s="96">
        <v>31</v>
      </c>
      <c r="G36" s="26">
        <f t="shared" si="4"/>
        <v>0.301938248758157</v>
      </c>
      <c r="H36" s="96">
        <v>17</v>
      </c>
      <c r="I36" s="96">
        <v>13</v>
      </c>
      <c r="J36" s="96">
        <v>1</v>
      </c>
      <c r="K36" s="96"/>
      <c r="L36" s="96"/>
      <c r="M36" s="113"/>
      <c r="N36" s="96">
        <v>11557</v>
      </c>
      <c r="O36" s="96">
        <v>11021</v>
      </c>
      <c r="P36" s="96">
        <v>354</v>
      </c>
      <c r="Q36" s="96">
        <v>182</v>
      </c>
      <c r="R36" s="26">
        <f t="shared" si="1"/>
        <v>1.5748031496063</v>
      </c>
      <c r="S36" s="96">
        <v>21</v>
      </c>
      <c r="T36" s="96">
        <v>147</v>
      </c>
      <c r="U36" s="96">
        <v>1</v>
      </c>
      <c r="V36" s="96">
        <v>13</v>
      </c>
      <c r="W36" s="96"/>
      <c r="X36" s="96"/>
    </row>
    <row r="37" ht="25" customHeight="1" spans="1:24">
      <c r="A37" s="94">
        <v>46046</v>
      </c>
      <c r="B37" s="94"/>
      <c r="C37" s="96">
        <v>13468</v>
      </c>
      <c r="D37" s="96">
        <v>13428</v>
      </c>
      <c r="E37" s="96"/>
      <c r="F37" s="96">
        <v>40</v>
      </c>
      <c r="G37" s="26">
        <f t="shared" si="4"/>
        <v>0.297000297000297</v>
      </c>
      <c r="H37" s="96">
        <v>29</v>
      </c>
      <c r="I37" s="96">
        <v>11</v>
      </c>
      <c r="J37" s="96"/>
      <c r="K37" s="96"/>
      <c r="L37" s="96"/>
      <c r="M37" s="113"/>
      <c r="N37" s="96">
        <v>15327</v>
      </c>
      <c r="O37" s="96">
        <v>15158</v>
      </c>
      <c r="P37" s="96"/>
      <c r="Q37" s="96">
        <v>169</v>
      </c>
      <c r="R37" s="26">
        <f t="shared" si="1"/>
        <v>1.10262934690416</v>
      </c>
      <c r="S37" s="96">
        <v>16</v>
      </c>
      <c r="T37" s="96">
        <v>102</v>
      </c>
      <c r="U37" s="96">
        <v>27</v>
      </c>
      <c r="V37" s="96">
        <v>23</v>
      </c>
      <c r="W37" s="96">
        <v>1</v>
      </c>
      <c r="X37" s="96"/>
    </row>
    <row r="38" customFormat="1" ht="25" customHeight="1" spans="1:24">
      <c r="A38" s="88" t="s">
        <v>41</v>
      </c>
      <c r="B38" s="88"/>
      <c r="C38" s="89">
        <f>SUM(C31:C37)</f>
        <v>77051</v>
      </c>
      <c r="D38" s="89">
        <f>SUM(D31:D37)</f>
        <v>76792</v>
      </c>
      <c r="E38" s="89">
        <f>SUM(E31:E37)</f>
        <v>0</v>
      </c>
      <c r="F38" s="89">
        <f>SUM(F31:F37)</f>
        <v>259</v>
      </c>
      <c r="G38" s="90">
        <f t="shared" si="4"/>
        <v>0.336140997521122</v>
      </c>
      <c r="H38" s="89">
        <f t="shared" ref="H38:L38" si="12">SUM(H31:H37)</f>
        <v>145</v>
      </c>
      <c r="I38" s="89">
        <f t="shared" si="12"/>
        <v>112</v>
      </c>
      <c r="J38" s="89">
        <f t="shared" si="12"/>
        <v>2</v>
      </c>
      <c r="K38" s="89">
        <f t="shared" si="12"/>
        <v>0</v>
      </c>
      <c r="L38" s="89">
        <f t="shared" si="12"/>
        <v>0</v>
      </c>
      <c r="M38" s="113"/>
      <c r="N38" s="89">
        <f t="shared" ref="N38:Q38" si="13">SUM(N31:N37)</f>
        <v>78943</v>
      </c>
      <c r="O38" s="89">
        <f t="shared" si="13"/>
        <v>76391</v>
      </c>
      <c r="P38" s="89">
        <f t="shared" si="13"/>
        <v>1512</v>
      </c>
      <c r="Q38" s="89">
        <f t="shared" si="13"/>
        <v>1040</v>
      </c>
      <c r="R38" s="90">
        <f t="shared" si="1"/>
        <v>1.31740622981138</v>
      </c>
      <c r="S38" s="89">
        <f t="shared" ref="S38:X38" si="14">SUM(S31:S37)</f>
        <v>69</v>
      </c>
      <c r="T38" s="89">
        <f t="shared" si="14"/>
        <v>859</v>
      </c>
      <c r="U38" s="89">
        <f t="shared" si="14"/>
        <v>28</v>
      </c>
      <c r="V38" s="89">
        <f t="shared" si="14"/>
        <v>69</v>
      </c>
      <c r="W38" s="89">
        <f t="shared" si="14"/>
        <v>15</v>
      </c>
      <c r="X38" s="89">
        <f t="shared" si="14"/>
        <v>0</v>
      </c>
    </row>
    <row r="39" ht="25" customHeight="1" spans="1:24">
      <c r="A39" s="91">
        <v>46047</v>
      </c>
      <c r="B39" s="91"/>
      <c r="C39" s="92"/>
      <c r="D39" s="92"/>
      <c r="E39" s="92"/>
      <c r="F39" s="92"/>
      <c r="G39" s="93" t="e">
        <f t="shared" si="4"/>
        <v>#DIV/0!</v>
      </c>
      <c r="H39" s="92"/>
      <c r="I39" s="92"/>
      <c r="J39" s="92"/>
      <c r="K39" s="92"/>
      <c r="L39" s="92"/>
      <c r="M39" s="113"/>
      <c r="N39" s="92"/>
      <c r="O39" s="92"/>
      <c r="P39" s="92"/>
      <c r="Q39" s="92"/>
      <c r="R39" s="93" t="e">
        <f t="shared" si="1"/>
        <v>#DIV/0!</v>
      </c>
      <c r="S39" s="92"/>
      <c r="T39" s="92"/>
      <c r="U39" s="92"/>
      <c r="V39" s="92"/>
      <c r="W39" s="92"/>
      <c r="X39" s="92"/>
    </row>
    <row r="40" ht="25" customHeight="1" spans="1:24">
      <c r="A40" s="94">
        <v>46048</v>
      </c>
      <c r="B40" s="94"/>
      <c r="C40" s="25"/>
      <c r="D40" s="25"/>
      <c r="E40" s="25"/>
      <c r="F40" s="25"/>
      <c r="G40" s="26" t="e">
        <f t="shared" si="4"/>
        <v>#DIV/0!</v>
      </c>
      <c r="H40" s="25"/>
      <c r="I40" s="25"/>
      <c r="J40" s="25"/>
      <c r="K40" s="25"/>
      <c r="L40" s="25"/>
      <c r="M40" s="113"/>
      <c r="N40" s="25"/>
      <c r="O40" s="25"/>
      <c r="P40" s="25"/>
      <c r="Q40" s="25"/>
      <c r="R40" s="26" t="e">
        <f t="shared" si="1"/>
        <v>#DIV/0!</v>
      </c>
      <c r="S40" s="25"/>
      <c r="T40" s="25"/>
      <c r="U40" s="25"/>
      <c r="V40" s="25"/>
      <c r="W40" s="25"/>
      <c r="X40" s="25"/>
    </row>
    <row r="41" ht="25" customHeight="1" spans="1:24">
      <c r="A41" s="94">
        <v>46049</v>
      </c>
      <c r="B41" s="94"/>
      <c r="C41" s="25">
        <v>17410</v>
      </c>
      <c r="D41" s="25">
        <v>17351</v>
      </c>
      <c r="E41" s="25"/>
      <c r="F41" s="25">
        <v>59</v>
      </c>
      <c r="G41" s="26">
        <f t="shared" si="4"/>
        <v>0.338885697874785</v>
      </c>
      <c r="H41" s="25">
        <v>44</v>
      </c>
      <c r="I41" s="25">
        <v>15</v>
      </c>
      <c r="J41" s="25"/>
      <c r="K41" s="25"/>
      <c r="L41" s="25"/>
      <c r="M41" s="113"/>
      <c r="N41" s="25">
        <v>15596</v>
      </c>
      <c r="O41" s="25">
        <v>15435</v>
      </c>
      <c r="P41" s="25"/>
      <c r="Q41" s="25">
        <v>161</v>
      </c>
      <c r="R41" s="26">
        <f t="shared" si="1"/>
        <v>1.03231597845601</v>
      </c>
      <c r="S41" s="25">
        <v>11</v>
      </c>
      <c r="T41" s="25">
        <v>103</v>
      </c>
      <c r="U41" s="25"/>
      <c r="V41" s="25">
        <v>47</v>
      </c>
      <c r="W41" s="25"/>
      <c r="X41" s="25"/>
    </row>
    <row r="42" ht="25" customHeight="1" spans="1:24">
      <c r="A42" s="94">
        <v>46050</v>
      </c>
      <c r="B42" s="94"/>
      <c r="C42" s="25"/>
      <c r="D42" s="25"/>
      <c r="E42" s="25"/>
      <c r="F42" s="25"/>
      <c r="G42" s="26" t="e">
        <f t="shared" si="4"/>
        <v>#DIV/0!</v>
      </c>
      <c r="H42" s="25"/>
      <c r="I42" s="25"/>
      <c r="J42" s="25"/>
      <c r="K42" s="25"/>
      <c r="L42" s="25"/>
      <c r="M42" s="113"/>
      <c r="N42" s="25"/>
      <c r="O42" s="25"/>
      <c r="P42" s="25"/>
      <c r="Q42" s="25"/>
      <c r="R42" s="26" t="e">
        <f t="shared" si="1"/>
        <v>#DIV/0!</v>
      </c>
      <c r="S42" s="25"/>
      <c r="T42" s="25"/>
      <c r="U42" s="25"/>
      <c r="V42" s="25"/>
      <c r="W42" s="25"/>
      <c r="X42" s="25"/>
    </row>
    <row r="43" ht="25" customHeight="1" spans="1:24">
      <c r="A43" s="94">
        <v>46051</v>
      </c>
      <c r="B43" s="94"/>
      <c r="C43" s="25"/>
      <c r="D43" s="25"/>
      <c r="E43" s="25"/>
      <c r="F43" s="25"/>
      <c r="G43" s="26" t="e">
        <f t="shared" si="4"/>
        <v>#DIV/0!</v>
      </c>
      <c r="H43" s="25"/>
      <c r="I43" s="25"/>
      <c r="J43" s="25"/>
      <c r="K43" s="25"/>
      <c r="L43" s="25"/>
      <c r="M43" s="113"/>
      <c r="N43" s="25"/>
      <c r="O43" s="25"/>
      <c r="P43" s="25"/>
      <c r="Q43" s="25"/>
      <c r="R43" s="26" t="e">
        <f t="shared" si="1"/>
        <v>#DIV/0!</v>
      </c>
      <c r="S43" s="25"/>
      <c r="T43" s="25"/>
      <c r="U43" s="25"/>
      <c r="V43" s="25"/>
      <c r="W43" s="25"/>
      <c r="X43" s="25"/>
    </row>
    <row r="44" ht="25" customHeight="1" spans="1:24">
      <c r="A44" s="94">
        <v>46052</v>
      </c>
      <c r="B44" s="94"/>
      <c r="C44" s="25"/>
      <c r="D44" s="25"/>
      <c r="E44" s="25"/>
      <c r="F44" s="25"/>
      <c r="G44" s="26" t="e">
        <f t="shared" si="4"/>
        <v>#DIV/0!</v>
      </c>
      <c r="H44" s="25"/>
      <c r="I44" s="25"/>
      <c r="J44" s="25"/>
      <c r="K44" s="25"/>
      <c r="L44" s="25"/>
      <c r="M44" s="113"/>
      <c r="N44" s="25"/>
      <c r="O44" s="25"/>
      <c r="P44" s="25"/>
      <c r="Q44" s="25"/>
      <c r="R44" s="26" t="e">
        <f t="shared" si="1"/>
        <v>#DIV/0!</v>
      </c>
      <c r="S44" s="25"/>
      <c r="T44" s="25"/>
      <c r="U44" s="25"/>
      <c r="V44" s="25"/>
      <c r="W44" s="25"/>
      <c r="X44" s="25"/>
    </row>
    <row r="45" ht="25" customHeight="1" spans="1:24">
      <c r="A45" s="94">
        <v>46053</v>
      </c>
      <c r="B45" s="94"/>
      <c r="C45" s="25"/>
      <c r="D45" s="25"/>
      <c r="E45" s="25"/>
      <c r="F45" s="25"/>
      <c r="G45" s="26" t="e">
        <f t="shared" si="4"/>
        <v>#DIV/0!</v>
      </c>
      <c r="H45" s="25"/>
      <c r="I45" s="25"/>
      <c r="J45" s="25"/>
      <c r="K45" s="25"/>
      <c r="L45" s="25"/>
      <c r="M45" s="113"/>
      <c r="N45" s="25"/>
      <c r="O45" s="25"/>
      <c r="P45" s="25"/>
      <c r="Q45" s="25"/>
      <c r="R45" s="26" t="e">
        <f t="shared" si="1"/>
        <v>#DIV/0!</v>
      </c>
      <c r="S45" s="25"/>
      <c r="T45" s="25"/>
      <c r="U45" s="25"/>
      <c r="V45" s="25"/>
      <c r="W45" s="25"/>
      <c r="X45" s="25"/>
    </row>
    <row r="46" customFormat="1" ht="25" customHeight="1" spans="1:24">
      <c r="A46" s="88" t="s">
        <v>44</v>
      </c>
      <c r="B46" s="88"/>
      <c r="C46" s="89">
        <f>SUM(C39:C45)</f>
        <v>17410</v>
      </c>
      <c r="D46" s="89">
        <f>SUM(D39:D45)</f>
        <v>17351</v>
      </c>
      <c r="E46" s="89">
        <f>SUM(E39:E45)</f>
        <v>0</v>
      </c>
      <c r="F46" s="89">
        <f>SUM(F39:F45)</f>
        <v>59</v>
      </c>
      <c r="G46" s="90">
        <f t="shared" si="4"/>
        <v>0.338885697874785</v>
      </c>
      <c r="H46" s="89">
        <f>SUM(H39:H45)</f>
        <v>44</v>
      </c>
      <c r="I46" s="89">
        <f>SUM(I39:I45)</f>
        <v>15</v>
      </c>
      <c r="J46" s="89">
        <f>SUM(J39:J45)</f>
        <v>0</v>
      </c>
      <c r="K46" s="89">
        <f>SUM(K39:K45)</f>
        <v>0</v>
      </c>
      <c r="L46" s="89">
        <f>SUM(L39:L45)</f>
        <v>0</v>
      </c>
      <c r="M46" s="113"/>
      <c r="N46" s="89">
        <f>SUM(N39:N45)</f>
        <v>15596</v>
      </c>
      <c r="O46" s="89">
        <f>SUM(O39:O45)</f>
        <v>15435</v>
      </c>
      <c r="P46" s="89">
        <f>SUM(P39:P45)</f>
        <v>0</v>
      </c>
      <c r="Q46" s="89">
        <f>SUM(Q39:Q45)</f>
        <v>161</v>
      </c>
      <c r="R46" s="90">
        <f t="shared" si="1"/>
        <v>1.03231597845601</v>
      </c>
      <c r="S46" s="89">
        <f t="shared" ref="S46:X46" si="15">SUM(S39:S45)</f>
        <v>11</v>
      </c>
      <c r="T46" s="89">
        <f t="shared" si="15"/>
        <v>103</v>
      </c>
      <c r="U46" s="89">
        <f t="shared" si="15"/>
        <v>0</v>
      </c>
      <c r="V46" s="89">
        <f t="shared" si="15"/>
        <v>47</v>
      </c>
      <c r="W46" s="89">
        <f t="shared" si="15"/>
        <v>0</v>
      </c>
      <c r="X46" s="89">
        <f t="shared" si="15"/>
        <v>0</v>
      </c>
    </row>
    <row r="47" ht="28" customHeight="1" spans="1:24">
      <c r="A47" s="106" t="s">
        <v>24</v>
      </c>
      <c r="B47" s="106"/>
      <c r="C47" s="107">
        <f t="shared" ref="C47:F47" si="16">C46+C38+C30+C22+C14</f>
        <v>272532</v>
      </c>
      <c r="D47" s="107">
        <f t="shared" si="16"/>
        <v>271779</v>
      </c>
      <c r="E47" s="107">
        <f t="shared" si="16"/>
        <v>0</v>
      </c>
      <c r="F47" s="107">
        <f t="shared" si="16"/>
        <v>762</v>
      </c>
      <c r="G47" s="108">
        <f t="shared" si="4"/>
        <v>0.279600193738717</v>
      </c>
      <c r="H47" s="107">
        <f t="shared" ref="H47:L47" si="17">H46+H38+H30+H22+H14</f>
        <v>480</v>
      </c>
      <c r="I47" s="107">
        <f t="shared" si="17"/>
        <v>267</v>
      </c>
      <c r="J47" s="107">
        <f t="shared" si="17"/>
        <v>14</v>
      </c>
      <c r="K47" s="107">
        <f t="shared" si="17"/>
        <v>0</v>
      </c>
      <c r="L47" s="107">
        <f t="shared" si="17"/>
        <v>0</v>
      </c>
      <c r="M47" s="113"/>
      <c r="N47" s="107">
        <f t="shared" ref="N47:Q47" si="18">N46+N38+N30+N22+N14</f>
        <v>272826</v>
      </c>
      <c r="O47" s="107">
        <f t="shared" si="18"/>
        <v>247590</v>
      </c>
      <c r="P47" s="107">
        <f t="shared" si="18"/>
        <v>17174</v>
      </c>
      <c r="Q47" s="107">
        <f t="shared" si="18"/>
        <v>8672</v>
      </c>
      <c r="R47" s="108">
        <f t="shared" si="1"/>
        <v>3.17858268640086</v>
      </c>
      <c r="S47" s="107">
        <f t="shared" ref="S47:X47" si="19">S46+S38+S30+S22+S14</f>
        <v>177</v>
      </c>
      <c r="T47" s="107">
        <f t="shared" si="19"/>
        <v>8218</v>
      </c>
      <c r="U47" s="107">
        <f t="shared" si="19"/>
        <v>32</v>
      </c>
      <c r="V47" s="107">
        <f t="shared" si="19"/>
        <v>655</v>
      </c>
      <c r="W47" s="107">
        <f t="shared" si="19"/>
        <v>1128</v>
      </c>
      <c r="X47" s="107">
        <f t="shared" si="19"/>
        <v>0</v>
      </c>
    </row>
    <row r="48" ht="35" customHeight="1" spans="1:24">
      <c r="A48" s="109" t="s">
        <v>25</v>
      </c>
      <c r="B48" s="109"/>
      <c r="C48" s="109"/>
      <c r="D48" s="110">
        <f>D47/$C$47*100</f>
        <v>99.7237021707543</v>
      </c>
      <c r="E48" s="110">
        <f>E47/$C$47*100</f>
        <v>0</v>
      </c>
      <c r="F48" s="110">
        <f>F47/C47*100</f>
        <v>0.279600193738717</v>
      </c>
      <c r="G48" s="110"/>
      <c r="H48" s="110">
        <f>H47/C47*100</f>
        <v>0.176126106292105</v>
      </c>
      <c r="I48" s="110">
        <f>I47/C47*100</f>
        <v>0.0979701466249835</v>
      </c>
      <c r="J48" s="110">
        <f>J47/C47*100</f>
        <v>0.00513701143351973</v>
      </c>
      <c r="K48" s="110"/>
      <c r="L48" s="114"/>
      <c r="M48" s="113"/>
      <c r="N48" s="110" t="s">
        <v>25</v>
      </c>
      <c r="O48" s="110">
        <f>O47/N47*100</f>
        <v>90.7501484462625</v>
      </c>
      <c r="P48" s="110">
        <f>P47/N47*100</f>
        <v>6.29485459596959</v>
      </c>
      <c r="Q48" s="110">
        <f>Q47/N47*100</f>
        <v>3.17858268640086</v>
      </c>
      <c r="R48" s="110"/>
      <c r="S48" s="110">
        <f>S47/N47*100</f>
        <v>0.064876514701678</v>
      </c>
      <c r="T48" s="110">
        <f>T47/N47*100</f>
        <v>3.01217625886096</v>
      </c>
      <c r="U48" s="110">
        <f>U47/N47*100</f>
        <v>0.0117290874036932</v>
      </c>
      <c r="V48" s="110">
        <f>V47/N47*100</f>
        <v>0.240079757794345</v>
      </c>
      <c r="W48" s="110">
        <f>W47/N47*100</f>
        <v>0.413450330980185</v>
      </c>
      <c r="X48" s="110"/>
    </row>
    <row r="49" ht="60" customHeight="1" spans="1:24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5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</row>
    <row r="50" ht="74" customHeight="1" spans="2:16">
      <c r="B50" s="34"/>
      <c r="C50" s="34"/>
      <c r="D50" s="34"/>
      <c r="E50" s="34"/>
      <c r="P50" s="111"/>
    </row>
    <row r="51" spans="2:5">
      <c r="B51" s="34"/>
      <c r="C51" s="34"/>
      <c r="D51" s="34"/>
      <c r="E51" s="34"/>
    </row>
    <row r="53" ht="28.5" spans="3:12"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4" ht="28.5" spans="3:12"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7" spans="2:3">
      <c r="B57" s="36" t="s">
        <v>26</v>
      </c>
      <c r="C57" s="36"/>
    </row>
    <row r="58" spans="2:3">
      <c r="B58" s="37" t="s">
        <v>16</v>
      </c>
      <c r="C58" s="37"/>
    </row>
    <row r="59" spans="2:3">
      <c r="B59" s="37" t="s">
        <v>27</v>
      </c>
      <c r="C59" s="37"/>
    </row>
    <row r="60" spans="2:3">
      <c r="B60" s="37" t="s">
        <v>18</v>
      </c>
      <c r="C60" s="37"/>
    </row>
    <row r="61" spans="2:3">
      <c r="B61" s="37" t="s">
        <v>28</v>
      </c>
      <c r="C61" s="37"/>
    </row>
    <row r="62" spans="2:2">
      <c r="B62" s="40"/>
    </row>
    <row r="63" spans="2:3">
      <c r="B63" s="36" t="s">
        <v>29</v>
      </c>
      <c r="C63" s="36"/>
    </row>
    <row r="64" spans="2:3">
      <c r="B64" s="37" t="s">
        <v>18</v>
      </c>
      <c r="C64" s="37"/>
    </row>
    <row r="65" spans="2:3">
      <c r="B65" s="37" t="s">
        <v>21</v>
      </c>
      <c r="C65" s="37"/>
    </row>
    <row r="66" spans="2:3">
      <c r="B66" s="37" t="s">
        <v>22</v>
      </c>
      <c r="C66" s="37"/>
    </row>
    <row r="67" spans="2:3">
      <c r="B67" s="37" t="s">
        <v>23</v>
      </c>
      <c r="C67" s="37"/>
    </row>
    <row r="68" spans="2:3">
      <c r="B68" s="37" t="s">
        <v>19</v>
      </c>
      <c r="C68" s="37"/>
    </row>
    <row r="69" spans="2:3">
      <c r="B69" s="37" t="s">
        <v>28</v>
      </c>
      <c r="C69" s="37"/>
    </row>
  </sheetData>
  <mergeCells count="79">
    <mergeCell ref="C5:X5"/>
    <mergeCell ref="A6:X6"/>
    <mergeCell ref="A7:L7"/>
    <mergeCell ref="N7:X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C48"/>
    <mergeCell ref="B57:C57"/>
    <mergeCell ref="B58:C58"/>
    <mergeCell ref="B59:C59"/>
    <mergeCell ref="B60:C60"/>
    <mergeCell ref="B61:C61"/>
    <mergeCell ref="B63:C63"/>
    <mergeCell ref="B64:C64"/>
    <mergeCell ref="B65:C65"/>
    <mergeCell ref="B66:C66"/>
    <mergeCell ref="B67:C67"/>
    <mergeCell ref="B68:C68"/>
    <mergeCell ref="B69:C69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7:M48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A1:B5"/>
    <mergeCell ref="A8:B10"/>
    <mergeCell ref="C1:X4"/>
  </mergeCells>
  <pageMargins left="0.251388888888889" right="0.272222222222222" top="0.251388888888889" bottom="0.251388888888889" header="0.298611111111111" footer="0.298611111111111"/>
  <pageSetup paperSize="9" scale="51" fitToHeight="0" orientation="landscape" horizontalDpi="6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45"/>
  <sheetViews>
    <sheetView view="pageLayout" zoomScale="85" zoomScaleSheetLayoutView="70" zoomScaleNormal="100" topLeftCell="A10" workbookViewId="0">
      <selection activeCell="O28" sqref="O28"/>
    </sheetView>
  </sheetViews>
  <sheetFormatPr defaultColWidth="9.14285714285714" defaultRowHeight="15"/>
  <cols>
    <col min="1" max="1" width="5.2952380952381" customWidth="1"/>
    <col min="2" max="2" width="11.4380952380952" customWidth="1"/>
    <col min="3" max="3" width="9.71428571428571" customWidth="1"/>
    <col min="4" max="4" width="10.7428571428571" customWidth="1"/>
    <col min="5" max="12" width="9.71428571428571" customWidth="1"/>
    <col min="13" max="13" width="3.25714285714286" customWidth="1"/>
    <col min="14" max="21" width="9.71428571428571" customWidth="1"/>
    <col min="22" max="22" width="12.2666666666667" customWidth="1"/>
    <col min="23" max="23" width="4.42857142857143" customWidth="1"/>
    <col min="24" max="25" width="9.71428571428571" customWidth="1"/>
    <col min="26" max="31" width="6.71428571428571" customWidth="1"/>
  </cols>
  <sheetData>
    <row r="1" spans="1:25">
      <c r="A1" s="1"/>
      <c r="B1" s="2"/>
      <c r="C1" s="3" t="s">
        <v>47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0"/>
      <c r="V1" s="51" t="s">
        <v>1</v>
      </c>
      <c r="W1" s="52"/>
      <c r="X1" s="53" t="s">
        <v>2</v>
      </c>
      <c r="Y1" s="53"/>
    </row>
    <row r="2" ht="23" customHeight="1" spans="1:2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54"/>
      <c r="V2" s="55"/>
      <c r="W2" s="56"/>
      <c r="X2" s="53"/>
      <c r="Y2" s="53"/>
    </row>
    <row r="3" ht="26" customHeight="1" spans="1:2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54"/>
      <c r="V3" s="57" t="s">
        <v>3</v>
      </c>
      <c r="W3" s="58"/>
      <c r="X3" s="53" t="s">
        <v>4</v>
      </c>
      <c r="Y3" s="53"/>
    </row>
    <row r="4" ht="24" customHeight="1" spans="1:25">
      <c r="A4" s="4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9"/>
      <c r="V4" s="57" t="s">
        <v>49</v>
      </c>
      <c r="W4" s="58"/>
      <c r="X4" s="60">
        <v>45633</v>
      </c>
      <c r="Y4" s="60"/>
    </row>
    <row r="5" ht="19" customHeight="1" spans="1:25">
      <c r="A5" s="8"/>
      <c r="B5" s="9"/>
      <c r="C5" s="10" t="s">
        <v>50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61"/>
      <c r="V5" s="62" t="s">
        <v>7</v>
      </c>
      <c r="W5" s="62"/>
      <c r="X5" s="62"/>
      <c r="Y5" s="71"/>
    </row>
    <row r="6" ht="20" customHeight="1" spans="1:31">
      <c r="A6" s="11"/>
      <c r="B6" s="1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ht="21" customHeight="1" spans="1:31">
      <c r="A7" s="13" t="s">
        <v>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41"/>
      <c r="M7" s="42"/>
      <c r="N7" s="17" t="s">
        <v>9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72"/>
      <c r="AA7" s="72"/>
      <c r="AB7" s="72"/>
      <c r="AC7" s="72"/>
      <c r="AD7" s="72"/>
      <c r="AE7" s="73"/>
    </row>
    <row r="8" spans="1:25">
      <c r="A8" s="15" t="s">
        <v>51</v>
      </c>
      <c r="B8" s="16"/>
      <c r="C8" s="17" t="s">
        <v>11</v>
      </c>
      <c r="D8" s="18" t="s">
        <v>12</v>
      </c>
      <c r="E8" s="18" t="s">
        <v>13</v>
      </c>
      <c r="F8" s="17" t="s">
        <v>14</v>
      </c>
      <c r="G8" s="17" t="s">
        <v>15</v>
      </c>
      <c r="H8" s="17" t="s">
        <v>16</v>
      </c>
      <c r="I8" s="17" t="s">
        <v>17</v>
      </c>
      <c r="J8" s="18" t="s">
        <v>18</v>
      </c>
      <c r="K8" s="18" t="s">
        <v>19</v>
      </c>
      <c r="L8" s="18" t="s">
        <v>20</v>
      </c>
      <c r="M8" s="43"/>
      <c r="N8" s="17" t="s">
        <v>11</v>
      </c>
      <c r="O8" s="17" t="s">
        <v>12</v>
      </c>
      <c r="P8" s="17" t="s">
        <v>13</v>
      </c>
      <c r="Q8" s="17" t="s">
        <v>14</v>
      </c>
      <c r="R8" s="17" t="s">
        <v>15</v>
      </c>
      <c r="S8" s="17" t="s">
        <v>18</v>
      </c>
      <c r="T8" s="17" t="s">
        <v>21</v>
      </c>
      <c r="U8" s="17" t="s">
        <v>22</v>
      </c>
      <c r="V8" s="17" t="s">
        <v>23</v>
      </c>
      <c r="W8" s="15" t="s">
        <v>19</v>
      </c>
      <c r="X8" s="16"/>
      <c r="Y8" s="18" t="s">
        <v>20</v>
      </c>
    </row>
    <row r="9" spans="1:25">
      <c r="A9" s="19"/>
      <c r="B9" s="20"/>
      <c r="C9" s="17"/>
      <c r="D9" s="18"/>
      <c r="E9" s="18"/>
      <c r="F9" s="17"/>
      <c r="G9" s="17"/>
      <c r="H9" s="17"/>
      <c r="I9" s="17"/>
      <c r="J9" s="18"/>
      <c r="K9" s="18"/>
      <c r="L9" s="18"/>
      <c r="M9" s="43"/>
      <c r="N9" s="17"/>
      <c r="O9" s="17"/>
      <c r="P9" s="17"/>
      <c r="Q9" s="17"/>
      <c r="R9" s="17"/>
      <c r="S9" s="17"/>
      <c r="T9" s="17"/>
      <c r="U9" s="17"/>
      <c r="V9" s="17"/>
      <c r="W9" s="19"/>
      <c r="X9" s="20"/>
      <c r="Y9" s="18"/>
    </row>
    <row r="10" spans="1:25">
      <c r="A10" s="21"/>
      <c r="B10" s="22"/>
      <c r="C10" s="17"/>
      <c r="D10" s="18"/>
      <c r="E10" s="18"/>
      <c r="F10" s="17"/>
      <c r="G10" s="17"/>
      <c r="H10" s="17"/>
      <c r="I10" s="17"/>
      <c r="J10" s="18"/>
      <c r="K10" s="18"/>
      <c r="L10" s="18"/>
      <c r="M10" s="43"/>
      <c r="N10" s="17"/>
      <c r="O10" s="17"/>
      <c r="P10" s="17"/>
      <c r="Q10" s="17"/>
      <c r="R10" s="17"/>
      <c r="S10" s="17"/>
      <c r="T10" s="17"/>
      <c r="U10" s="17"/>
      <c r="V10" s="17"/>
      <c r="W10" s="21"/>
      <c r="X10" s="22"/>
      <c r="Y10" s="18"/>
    </row>
    <row r="11" ht="25" customHeight="1" spans="1:25">
      <c r="A11" s="23" t="s">
        <v>52</v>
      </c>
      <c r="B11" s="24"/>
      <c r="C11" s="25">
        <f>'APRIL 25'!C37</f>
        <v>216095</v>
      </c>
      <c r="D11" s="25">
        <f>'APRIL 25'!D37</f>
        <v>214182</v>
      </c>
      <c r="E11" s="25">
        <f>'APRIL 25'!E37</f>
        <v>0</v>
      </c>
      <c r="F11" s="25">
        <f>'APRIL 25'!F37</f>
        <v>1910</v>
      </c>
      <c r="G11" s="26">
        <f t="shared" ref="G11:G22" si="0">F11/C11*100</f>
        <v>0.883870519910225</v>
      </c>
      <c r="H11" s="25">
        <f>'APRIL 25'!H37</f>
        <v>1064</v>
      </c>
      <c r="I11" s="25">
        <f>'APRIL 25'!I37</f>
        <v>141</v>
      </c>
      <c r="J11" s="25">
        <f>'APRIL 25'!J37</f>
        <v>705</v>
      </c>
      <c r="K11" s="25">
        <f>'APRIL 25'!K37</f>
        <v>0</v>
      </c>
      <c r="L11" s="25"/>
      <c r="M11" s="44"/>
      <c r="N11" s="25">
        <f>'APRIL 25'!N37</f>
        <v>214182</v>
      </c>
      <c r="O11" s="25">
        <f>'APRIL 25'!O37</f>
        <v>196555</v>
      </c>
      <c r="P11" s="25">
        <f>'APRIL 25'!P37</f>
        <v>9836</v>
      </c>
      <c r="Q11" s="25">
        <f>'APRIL 25'!Q37</f>
        <v>4181</v>
      </c>
      <c r="R11" s="26">
        <f t="shared" ref="R11:R40" si="1">Q11/N11*100</f>
        <v>1.95207813915268</v>
      </c>
      <c r="S11" s="25">
        <f>'APRIL 25'!S37</f>
        <v>1566</v>
      </c>
      <c r="T11" s="25">
        <f>'APRIL 25'!T37</f>
        <v>305</v>
      </c>
      <c r="U11" s="25">
        <f>'APRIL 25'!U37</f>
        <v>0</v>
      </c>
      <c r="V11" s="25">
        <f>'APRIL 25'!V37</f>
        <v>2417</v>
      </c>
      <c r="W11" s="63">
        <f>'APRIL 25'!W37</f>
        <v>18</v>
      </c>
      <c r="X11" s="64"/>
      <c r="Y11" s="25"/>
    </row>
    <row r="12" ht="25" customHeight="1" spans="1:25">
      <c r="A12" s="23" t="s">
        <v>53</v>
      </c>
      <c r="B12" s="24"/>
      <c r="C12" s="25">
        <f>' MAY 25'!C40</f>
        <v>248704</v>
      </c>
      <c r="D12" s="25">
        <f>' MAY 25'!E40</f>
        <v>246523</v>
      </c>
      <c r="E12" s="25">
        <f>' MAY 25'!F40</f>
        <v>0</v>
      </c>
      <c r="F12" s="25">
        <f>' MAY 25'!G40</f>
        <v>2181</v>
      </c>
      <c r="G12" s="26">
        <f t="shared" si="0"/>
        <v>0.876946088522903</v>
      </c>
      <c r="H12" s="25">
        <f>' MAY 25'!I40</f>
        <v>1394</v>
      </c>
      <c r="I12" s="25">
        <f>' MAY 25'!J40</f>
        <v>429</v>
      </c>
      <c r="J12" s="25">
        <f>' MAY 25'!K40</f>
        <v>360</v>
      </c>
      <c r="K12" s="25">
        <f>' MAY 25'!L40</f>
        <v>0</v>
      </c>
      <c r="L12" s="25"/>
      <c r="M12" s="44"/>
      <c r="N12" s="25">
        <f>' MAY 25'!P40</f>
        <v>249524</v>
      </c>
      <c r="O12" s="25">
        <f>' MAY 25'!Q40</f>
        <v>247146</v>
      </c>
      <c r="P12" s="25">
        <f>' MAY 25'!R40</f>
        <v>2619</v>
      </c>
      <c r="Q12" s="25">
        <f>' MAY 25'!S40</f>
        <v>2288</v>
      </c>
      <c r="R12" s="26">
        <f t="shared" si="1"/>
        <v>0.916945864926821</v>
      </c>
      <c r="S12" s="25">
        <f>' MAY 25'!U40</f>
        <v>1108</v>
      </c>
      <c r="T12" s="25">
        <f>' MAY 25'!V40</f>
        <v>18</v>
      </c>
      <c r="U12" s="25">
        <f>' MAY 25'!W40</f>
        <v>0</v>
      </c>
      <c r="V12" s="25">
        <f>' MAY 25'!X40</f>
        <v>1085</v>
      </c>
      <c r="W12" s="63">
        <f>' MAY 25'!Y40</f>
        <v>86</v>
      </c>
      <c r="X12" s="64"/>
      <c r="Y12" s="25"/>
    </row>
    <row r="13" ht="25" customHeight="1" spans="1:25">
      <c r="A13" s="23" t="s">
        <v>54</v>
      </c>
      <c r="B13" s="24"/>
      <c r="C13" s="27">
        <f>'JUNE 2025'!C41</f>
        <v>281210</v>
      </c>
      <c r="D13" s="27">
        <f>'JUNE 2025'!E41</f>
        <v>279119</v>
      </c>
      <c r="E13" s="27">
        <f>'JUNE 2025'!F41</f>
        <v>0</v>
      </c>
      <c r="F13" s="27">
        <f>'JUNE 2025'!G41</f>
        <v>2101</v>
      </c>
      <c r="G13" s="26">
        <f t="shared" si="0"/>
        <v>0.747128480495004</v>
      </c>
      <c r="H13" s="27">
        <f>'JUNE 2025'!I41</f>
        <v>785</v>
      </c>
      <c r="I13" s="27">
        <f>'JUNE 2025'!J41</f>
        <v>457</v>
      </c>
      <c r="J13" s="27">
        <f>'JUNE 2025'!K41</f>
        <v>848</v>
      </c>
      <c r="K13" s="27">
        <f>'JUNE 2025'!L41</f>
        <v>0</v>
      </c>
      <c r="L13" s="25"/>
      <c r="M13" s="44"/>
      <c r="N13" s="27">
        <f>'JUNE 2025'!O41</f>
        <v>283904</v>
      </c>
      <c r="O13" s="27">
        <f>'JUNE 2025'!Q41</f>
        <v>275849</v>
      </c>
      <c r="P13" s="27">
        <f>'JUNE 2025'!R41</f>
        <v>0</v>
      </c>
      <c r="Q13" s="27">
        <f>'JUNE 2025'!S41</f>
        <v>8101</v>
      </c>
      <c r="R13" s="26">
        <f t="shared" si="1"/>
        <v>2.85342932822362</v>
      </c>
      <c r="S13" s="27">
        <f>'JUNE 2025'!U41</f>
        <v>2540</v>
      </c>
      <c r="T13" s="27">
        <f>'JUNE 2025'!V41</f>
        <v>9</v>
      </c>
      <c r="U13" s="27">
        <f>'JUNE 2025'!W41</f>
        <v>2</v>
      </c>
      <c r="V13" s="27">
        <f>'JUNE 2025'!X41</f>
        <v>2685</v>
      </c>
      <c r="W13" s="65">
        <f>'JUNE 2025'!Y41</f>
        <v>2807</v>
      </c>
      <c r="X13" s="66"/>
      <c r="Y13" s="25"/>
    </row>
    <row r="14" ht="25" customHeight="1" spans="1:25">
      <c r="A14" s="23" t="s">
        <v>55</v>
      </c>
      <c r="B14" s="24"/>
      <c r="C14" s="27">
        <f>'JULY 2025'!C47</f>
        <v>313744</v>
      </c>
      <c r="D14" s="27">
        <f>'JULY 2025'!E47</f>
        <v>312810</v>
      </c>
      <c r="E14" s="27">
        <f>'JULY 2025'!F47</f>
        <v>0</v>
      </c>
      <c r="F14" s="27">
        <f>'JULY 2025'!G47</f>
        <v>925</v>
      </c>
      <c r="G14" s="26">
        <f t="shared" si="0"/>
        <v>0.294826355245041</v>
      </c>
      <c r="H14" s="27">
        <f>'JULY 2025'!I47</f>
        <v>668</v>
      </c>
      <c r="I14" s="27">
        <f>'JULY 2025'!J47</f>
        <v>83</v>
      </c>
      <c r="J14" s="27">
        <f>'JULY 2025'!K47</f>
        <v>144</v>
      </c>
      <c r="K14" s="27">
        <f>'JULY 2025'!L47</f>
        <v>0</v>
      </c>
      <c r="L14" s="25"/>
      <c r="M14" s="44"/>
      <c r="N14" s="27">
        <f>'JULY 2025'!O47</f>
        <v>262537</v>
      </c>
      <c r="O14" s="27">
        <f>'JULY 2025'!Q47</f>
        <v>309977</v>
      </c>
      <c r="P14" s="27">
        <f>'JULY 2025'!R47</f>
        <v>0</v>
      </c>
      <c r="Q14" s="27">
        <f>'JULY 2025'!S47</f>
        <v>1575</v>
      </c>
      <c r="R14" s="26">
        <f t="shared" si="1"/>
        <v>0.599915440490293</v>
      </c>
      <c r="S14" s="27">
        <f>'JULY 2025'!U47</f>
        <v>989</v>
      </c>
      <c r="T14" s="27">
        <f>'JULY 2025'!V47</f>
        <v>28</v>
      </c>
      <c r="U14" s="27">
        <f>'JULY 2025'!W47</f>
        <v>2</v>
      </c>
      <c r="V14" s="27">
        <f>'JULY 2025'!X47</f>
        <v>386</v>
      </c>
      <c r="W14" s="65">
        <f>'JULY 2025'!Y47</f>
        <v>171</v>
      </c>
      <c r="X14" s="66"/>
      <c r="Y14" s="25"/>
    </row>
    <row r="15" ht="25" customHeight="1" spans="1:25">
      <c r="A15" s="23" t="s">
        <v>56</v>
      </c>
      <c r="B15" s="24"/>
      <c r="C15" s="27">
        <f>'AUGUST 2025'!C47</f>
        <v>253579</v>
      </c>
      <c r="D15" s="27">
        <f>'AUGUST 2025'!E47</f>
        <v>242707</v>
      </c>
      <c r="E15" s="27">
        <f>'AUGUST 2025'!F47</f>
        <v>0</v>
      </c>
      <c r="F15" s="27">
        <f>'AUGUST 2025'!G47</f>
        <v>684</v>
      </c>
      <c r="G15" s="26">
        <f t="shared" si="0"/>
        <v>0.269738424711826</v>
      </c>
      <c r="H15" s="27">
        <f>'AUGUST 2025'!I47</f>
        <v>468</v>
      </c>
      <c r="I15" s="27">
        <f>'AUGUST 2025'!J47</f>
        <v>101</v>
      </c>
      <c r="J15" s="27">
        <f>'AUGUST 2025'!K47</f>
        <v>66</v>
      </c>
      <c r="K15" s="27">
        <f>'AUGUST 2025'!L47</f>
        <v>0</v>
      </c>
      <c r="L15" s="27"/>
      <c r="M15" s="27"/>
      <c r="N15" s="27">
        <f>'AUGUST 2025'!O47</f>
        <v>341595</v>
      </c>
      <c r="O15" s="27">
        <f>'AUGUST 2025'!Q47</f>
        <v>241078</v>
      </c>
      <c r="P15" s="27">
        <f>'AUGUST 2025'!R47</f>
        <v>0</v>
      </c>
      <c r="Q15" s="27">
        <f>'AUGUST 2025'!S47</f>
        <v>3342</v>
      </c>
      <c r="R15" s="26">
        <f t="shared" si="1"/>
        <v>0.978351556667984</v>
      </c>
      <c r="S15" s="27">
        <f>'AUGUST 2025'!U47</f>
        <v>567</v>
      </c>
      <c r="T15" s="27">
        <f>'AUGUST 2025'!V47</f>
        <v>1</v>
      </c>
      <c r="U15" s="27">
        <f>'AUGUST 2025'!W47</f>
        <v>10</v>
      </c>
      <c r="V15" s="27">
        <f>'AUGUST 2025'!X47</f>
        <v>2482</v>
      </c>
      <c r="W15" s="65">
        <f>'AUGUST 2025'!Y47</f>
        <v>282</v>
      </c>
      <c r="X15" s="66"/>
      <c r="Y15" s="27"/>
    </row>
    <row r="16" ht="25" customHeight="1" spans="1:25">
      <c r="A16" s="23" t="s">
        <v>57</v>
      </c>
      <c r="B16" s="24"/>
      <c r="C16" s="27">
        <f>'SEPTEMBER 2025'!C46</f>
        <v>311913</v>
      </c>
      <c r="D16" s="27">
        <f>'SEPTEMBER 2025'!D46</f>
        <v>310951</v>
      </c>
      <c r="E16" s="27">
        <f>'SEPTEMBER 2025'!E46</f>
        <v>0</v>
      </c>
      <c r="F16" s="27">
        <f>'SEPTEMBER 2025'!F46</f>
        <v>979</v>
      </c>
      <c r="G16" s="26">
        <f t="shared" si="0"/>
        <v>0.313869572605182</v>
      </c>
      <c r="H16" s="27">
        <f>'SEPTEMBER 2025'!H46</f>
        <v>783</v>
      </c>
      <c r="I16" s="27">
        <f>'SEPTEMBER 2025'!I46</f>
        <v>137</v>
      </c>
      <c r="J16" s="27">
        <f>'SEPTEMBER 2025'!J46</f>
        <v>42</v>
      </c>
      <c r="K16" s="27">
        <f>'SEPTEMBER 2025'!K46</f>
        <v>0</v>
      </c>
      <c r="L16" s="25"/>
      <c r="M16" s="44"/>
      <c r="N16" s="27">
        <f>'SEPTEMBER 2025'!N46</f>
        <v>299919</v>
      </c>
      <c r="O16" s="27">
        <f>'SEPTEMBER 2025'!P46</f>
        <v>304532</v>
      </c>
      <c r="P16" s="27">
        <f>'SEPTEMBER 2025'!Q46</f>
        <v>0</v>
      </c>
      <c r="Q16" s="27">
        <f>'SEPTEMBER 2025'!R46</f>
        <v>5390</v>
      </c>
      <c r="R16" s="26">
        <f t="shared" si="1"/>
        <v>1.79715189767904</v>
      </c>
      <c r="S16" s="27">
        <f>'SEPTEMBER 2025'!T46</f>
        <v>515</v>
      </c>
      <c r="T16" s="27">
        <f>'SEPTEMBER 2025'!U46</f>
        <v>1560</v>
      </c>
      <c r="U16" s="27">
        <f>'SEPTEMBER 2025'!V46</f>
        <v>3</v>
      </c>
      <c r="V16" s="27">
        <f>'SEPTEMBER 2025'!W46</f>
        <v>2833</v>
      </c>
      <c r="W16" s="65">
        <f>'SEPTEMBER 2025'!X46</f>
        <v>479</v>
      </c>
      <c r="X16" s="66"/>
      <c r="Y16" s="25"/>
    </row>
    <row r="17" ht="25" customHeight="1" spans="1:25">
      <c r="A17" s="23" t="s">
        <v>58</v>
      </c>
      <c r="B17" s="24"/>
      <c r="C17" s="27">
        <f>'OCTOBER 2025'!C47</f>
        <v>127877</v>
      </c>
      <c r="D17" s="27">
        <f>'OCTOBER 2025'!D47</f>
        <v>125973</v>
      </c>
      <c r="E17" s="27">
        <f>'OCTOBER 2025'!E47</f>
        <v>0</v>
      </c>
      <c r="F17" s="27">
        <f>'OCTOBER 2025'!F47</f>
        <v>1632</v>
      </c>
      <c r="G17" s="26">
        <f t="shared" si="0"/>
        <v>1.27622637378106</v>
      </c>
      <c r="H17" s="27">
        <f>'OCTOBER 2025'!H47</f>
        <v>1217</v>
      </c>
      <c r="I17" s="27">
        <f>'OCTOBER 2025'!I47</f>
        <v>334</v>
      </c>
      <c r="J17" s="27">
        <f>'OCTOBER 2025'!J47</f>
        <v>79</v>
      </c>
      <c r="K17" s="27">
        <f>'OCTOBER 2025'!K47</f>
        <v>0</v>
      </c>
      <c r="L17" s="25"/>
      <c r="M17" s="44"/>
      <c r="N17" s="27">
        <f>'OCTOBER 2025'!N47</f>
        <v>128599</v>
      </c>
      <c r="O17" s="27">
        <f>'OCTOBER 2025'!P47</f>
        <v>126113</v>
      </c>
      <c r="P17" s="27">
        <f>'OCTOBER 2025'!Q47</f>
        <v>0</v>
      </c>
      <c r="Q17" s="27">
        <f>'OCTOBER 2025'!R47</f>
        <v>1677</v>
      </c>
      <c r="R17" s="26">
        <f t="shared" si="1"/>
        <v>1.30405368626506</v>
      </c>
      <c r="S17" s="27">
        <f>'OCTOBER 2025'!T47</f>
        <v>376</v>
      </c>
      <c r="T17" s="27">
        <f>'OCTOBER 2025'!U47</f>
        <v>61</v>
      </c>
      <c r="U17" s="27">
        <f>'OCTOBER 2025'!V47</f>
        <v>3</v>
      </c>
      <c r="V17" s="27">
        <f>'OCTOBER 2025'!W47</f>
        <v>1188</v>
      </c>
      <c r="W17" s="65">
        <f>'OCTOBER 2025'!X47</f>
        <v>49</v>
      </c>
      <c r="X17" s="64"/>
      <c r="Y17" s="25"/>
    </row>
    <row r="18" ht="25" customHeight="1" spans="1:25">
      <c r="A18" s="23" t="s">
        <v>59</v>
      </c>
      <c r="B18" s="24"/>
      <c r="C18" s="25"/>
      <c r="D18" s="25"/>
      <c r="E18" s="25"/>
      <c r="F18" s="25"/>
      <c r="G18" s="26" t="e">
        <f t="shared" si="0"/>
        <v>#DIV/0!</v>
      </c>
      <c r="H18" s="25"/>
      <c r="I18" s="25"/>
      <c r="J18" s="25"/>
      <c r="K18" s="25"/>
      <c r="L18" s="25"/>
      <c r="M18" s="44"/>
      <c r="N18" s="25"/>
      <c r="O18" s="25"/>
      <c r="P18" s="25"/>
      <c r="Q18" s="25"/>
      <c r="R18" s="26" t="e">
        <f t="shared" si="1"/>
        <v>#DIV/0!</v>
      </c>
      <c r="S18" s="25"/>
      <c r="T18" s="25"/>
      <c r="U18" s="25"/>
      <c r="V18" s="25"/>
      <c r="W18" s="63"/>
      <c r="X18" s="64"/>
      <c r="Y18" s="25"/>
    </row>
    <row r="19" ht="25" customHeight="1" spans="1:25">
      <c r="A19" s="23" t="s">
        <v>60</v>
      </c>
      <c r="B19" s="24"/>
      <c r="C19" s="25"/>
      <c r="D19" s="25"/>
      <c r="E19" s="25"/>
      <c r="F19" s="25"/>
      <c r="G19" s="26" t="e">
        <f t="shared" si="0"/>
        <v>#DIV/0!</v>
      </c>
      <c r="H19" s="25"/>
      <c r="I19" s="25"/>
      <c r="J19" s="25"/>
      <c r="K19" s="25"/>
      <c r="L19" s="25"/>
      <c r="M19" s="44"/>
      <c r="N19" s="25"/>
      <c r="O19" s="25"/>
      <c r="P19" s="25"/>
      <c r="Q19" s="25"/>
      <c r="R19" s="26" t="e">
        <f t="shared" si="1"/>
        <v>#DIV/0!</v>
      </c>
      <c r="S19" s="25"/>
      <c r="T19" s="25"/>
      <c r="U19" s="25"/>
      <c r="V19" s="25"/>
      <c r="W19" s="63"/>
      <c r="X19" s="64"/>
      <c r="Y19" s="25"/>
    </row>
    <row r="20" ht="25" customHeight="1" spans="1:25">
      <c r="A20" s="23" t="s">
        <v>61</v>
      </c>
      <c r="B20" s="24"/>
      <c r="C20" s="25"/>
      <c r="D20" s="25"/>
      <c r="E20" s="25"/>
      <c r="F20" s="25"/>
      <c r="G20" s="26" t="e">
        <f t="shared" si="0"/>
        <v>#DIV/0!</v>
      </c>
      <c r="H20" s="25"/>
      <c r="I20" s="25"/>
      <c r="J20" s="25"/>
      <c r="K20" s="25"/>
      <c r="L20" s="25"/>
      <c r="M20" s="44"/>
      <c r="N20" s="25"/>
      <c r="O20" s="25"/>
      <c r="P20" s="25"/>
      <c r="Q20" s="25"/>
      <c r="R20" s="26" t="e">
        <f t="shared" si="1"/>
        <v>#DIV/0!</v>
      </c>
      <c r="S20" s="25"/>
      <c r="T20" s="25"/>
      <c r="U20" s="25"/>
      <c r="V20" s="25"/>
      <c r="W20" s="63"/>
      <c r="X20" s="64"/>
      <c r="Y20" s="25"/>
    </row>
    <row r="21" ht="25" customHeight="1" spans="1:25">
      <c r="A21" s="23" t="s">
        <v>62</v>
      </c>
      <c r="B21" s="24"/>
      <c r="C21" s="25"/>
      <c r="D21" s="25"/>
      <c r="E21" s="25"/>
      <c r="F21" s="25"/>
      <c r="G21" s="26" t="e">
        <f t="shared" si="0"/>
        <v>#DIV/0!</v>
      </c>
      <c r="H21" s="25"/>
      <c r="I21" s="25"/>
      <c r="J21" s="25"/>
      <c r="K21" s="25"/>
      <c r="L21" s="25"/>
      <c r="M21" s="44"/>
      <c r="N21" s="25"/>
      <c r="O21" s="25"/>
      <c r="P21" s="25"/>
      <c r="Q21" s="25"/>
      <c r="R21" s="26" t="e">
        <f t="shared" si="1"/>
        <v>#DIV/0!</v>
      </c>
      <c r="S21" s="25"/>
      <c r="T21" s="25"/>
      <c r="U21" s="25"/>
      <c r="V21" s="25"/>
      <c r="W21" s="63"/>
      <c r="X21" s="64"/>
      <c r="Y21" s="25"/>
    </row>
    <row r="22" ht="25" customHeight="1" spans="1:25">
      <c r="A22" s="23" t="s">
        <v>63</v>
      </c>
      <c r="B22" s="24"/>
      <c r="C22" s="25"/>
      <c r="D22" s="25"/>
      <c r="E22" s="25"/>
      <c r="F22" s="25"/>
      <c r="G22" s="26" t="e">
        <f t="shared" si="0"/>
        <v>#DIV/0!</v>
      </c>
      <c r="H22" s="25"/>
      <c r="I22" s="25"/>
      <c r="J22" s="25"/>
      <c r="K22" s="25"/>
      <c r="L22" s="25"/>
      <c r="M22" s="44"/>
      <c r="N22" s="25"/>
      <c r="O22" s="25"/>
      <c r="P22" s="25"/>
      <c r="Q22" s="25"/>
      <c r="R22" s="26" t="e">
        <f t="shared" si="1"/>
        <v>#DIV/0!</v>
      </c>
      <c r="S22" s="25"/>
      <c r="T22" s="25"/>
      <c r="U22" s="25"/>
      <c r="V22" s="25"/>
      <c r="W22" s="63"/>
      <c r="X22" s="64"/>
      <c r="Y22" s="25"/>
    </row>
    <row r="23" ht="28" customHeight="1" spans="1:25">
      <c r="A23" s="28" t="s">
        <v>24</v>
      </c>
      <c r="B23" s="28"/>
      <c r="C23" s="29">
        <f>SUM(C11:C22)</f>
        <v>1753122</v>
      </c>
      <c r="D23" s="29">
        <f>SUM(D11:D22)</f>
        <v>1732265</v>
      </c>
      <c r="E23" s="29"/>
      <c r="F23" s="29">
        <f>SUM(F11:F22)</f>
        <v>10412</v>
      </c>
      <c r="G23" s="28"/>
      <c r="H23" s="29">
        <f>SUM(H11:H22)</f>
        <v>6379</v>
      </c>
      <c r="I23" s="29">
        <f>SUM(I11:I22)</f>
        <v>1682</v>
      </c>
      <c r="J23" s="29">
        <f>SUM(J11:J22)</f>
        <v>2244</v>
      </c>
      <c r="K23" s="29">
        <f>SUM(K11:K22)</f>
        <v>0</v>
      </c>
      <c r="L23" s="45"/>
      <c r="M23" s="46"/>
      <c r="N23" s="29">
        <f>SUM(N11:N22)</f>
        <v>1780260</v>
      </c>
      <c r="O23" s="29">
        <f>SUM(O11:O22)</f>
        <v>1701250</v>
      </c>
      <c r="P23" s="29">
        <f>SUM(P11:P22)</f>
        <v>12455</v>
      </c>
      <c r="Q23" s="29">
        <f>SUM(Q11:Q22)</f>
        <v>26554</v>
      </c>
      <c r="R23" s="29"/>
      <c r="S23" s="29">
        <f>SUM(S11:S22)</f>
        <v>7661</v>
      </c>
      <c r="T23" s="29">
        <f>SUM(T11:T22)</f>
        <v>1982</v>
      </c>
      <c r="U23" s="29">
        <f>SUM(U11:U22)</f>
        <v>20</v>
      </c>
      <c r="V23" s="29">
        <f>SUM(V11:V22)</f>
        <v>13076</v>
      </c>
      <c r="W23" s="67">
        <f>SUM(W11:X22)</f>
        <v>3892</v>
      </c>
      <c r="X23" s="68"/>
      <c r="Y23" s="45"/>
    </row>
    <row r="24" ht="35" customHeight="1" spans="1:25">
      <c r="A24" s="30" t="s">
        <v>25</v>
      </c>
      <c r="B24" s="31"/>
      <c r="C24" s="32"/>
      <c r="D24" s="33">
        <f>D23/C23*100</f>
        <v>98.8102938643175</v>
      </c>
      <c r="E24" s="33"/>
      <c r="F24" s="33">
        <f>F23/C23*100</f>
        <v>0.593911889760097</v>
      </c>
      <c r="G24" s="33"/>
      <c r="H24" s="33">
        <f>H23/C23*100</f>
        <v>0.363865150286175</v>
      </c>
      <c r="I24" s="33">
        <f>I23/C23*100</f>
        <v>0.0959431231825281</v>
      </c>
      <c r="J24" s="47">
        <f>J23/C23*100</f>
        <v>0.128000219037808</v>
      </c>
      <c r="K24" s="47"/>
      <c r="L24" s="47"/>
      <c r="M24" s="48"/>
      <c r="N24" s="49"/>
      <c r="O24" s="47">
        <f>O23/N23*100</f>
        <v>95.561884219159</v>
      </c>
      <c r="P24" s="47">
        <f>P23/N23*100</f>
        <v>0.699616909889567</v>
      </c>
      <c r="Q24" s="47">
        <f>Q23/N23*100</f>
        <v>1.49157988159033</v>
      </c>
      <c r="R24" s="47"/>
      <c r="S24" s="47">
        <f>S23/N23*100</f>
        <v>0.430330401177356</v>
      </c>
      <c r="T24" s="47">
        <f>T23/N23*100</f>
        <v>0.111332052621527</v>
      </c>
      <c r="U24" s="47">
        <f>U23/N23*100</f>
        <v>0.00112343140889533</v>
      </c>
      <c r="V24" s="47"/>
      <c r="W24" s="69">
        <f>W23/N23*100</f>
        <v>0.218619752171031</v>
      </c>
      <c r="X24" s="70"/>
      <c r="Y24" s="47"/>
    </row>
    <row r="26" spans="2:5">
      <c r="B26" s="34"/>
      <c r="C26" s="34"/>
      <c r="D26" s="34"/>
      <c r="E26" s="34"/>
    </row>
    <row r="27" spans="2:5">
      <c r="B27" s="34"/>
      <c r="C27" s="34"/>
      <c r="D27" s="34"/>
      <c r="E27" s="34"/>
    </row>
    <row r="29" ht="28.5" spans="3:12"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ht="28.5" spans="3:12"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3" spans="2:3">
      <c r="B33" s="36" t="s">
        <v>26</v>
      </c>
      <c r="C33" s="36"/>
    </row>
    <row r="34" spans="2:3">
      <c r="B34" s="37" t="s">
        <v>16</v>
      </c>
      <c r="C34" s="38">
        <f>H23</f>
        <v>6379</v>
      </c>
    </row>
    <row r="35" spans="2:3">
      <c r="B35" s="37" t="s">
        <v>27</v>
      </c>
      <c r="C35" s="38">
        <f>I23</f>
        <v>1682</v>
      </c>
    </row>
    <row r="36" spans="2:3">
      <c r="B36" s="37" t="s">
        <v>18</v>
      </c>
      <c r="C36" s="38">
        <f>J23</f>
        <v>2244</v>
      </c>
    </row>
    <row r="37" spans="2:3">
      <c r="B37" s="37" t="s">
        <v>28</v>
      </c>
      <c r="C37" s="39">
        <f>SUM(C34:C36)</f>
        <v>10305</v>
      </c>
    </row>
    <row r="38" spans="2:2">
      <c r="B38" s="40"/>
    </row>
    <row r="39" spans="2:3">
      <c r="B39" s="36" t="s">
        <v>29</v>
      </c>
      <c r="C39" s="36"/>
    </row>
    <row r="40" spans="2:3">
      <c r="B40" s="37" t="s">
        <v>18</v>
      </c>
      <c r="C40" s="38">
        <f>S23</f>
        <v>7661</v>
      </c>
    </row>
    <row r="41" spans="2:3">
      <c r="B41" s="37" t="s">
        <v>21</v>
      </c>
      <c r="C41" s="38">
        <f>T23</f>
        <v>1982</v>
      </c>
    </row>
    <row r="42" spans="2:3">
      <c r="B42" s="37" t="s">
        <v>22</v>
      </c>
      <c r="C42" s="38">
        <f>U23</f>
        <v>20</v>
      </c>
    </row>
    <row r="43" spans="2:3">
      <c r="B43" s="37" t="s">
        <v>23</v>
      </c>
      <c r="C43" s="38">
        <f>V23</f>
        <v>13076</v>
      </c>
    </row>
    <row r="44" spans="2:3">
      <c r="B44" s="37" t="s">
        <v>19</v>
      </c>
      <c r="C44" s="38">
        <f>W23</f>
        <v>3892</v>
      </c>
    </row>
    <row r="45" spans="2:3">
      <c r="B45" s="37" t="s">
        <v>28</v>
      </c>
      <c r="C45" s="39">
        <f>SUM(C40:C44)</f>
        <v>26631</v>
      </c>
    </row>
  </sheetData>
  <mergeCells count="64">
    <mergeCell ref="V3:W3"/>
    <mergeCell ref="X3:Y3"/>
    <mergeCell ref="V4:W4"/>
    <mergeCell ref="X4:Y4"/>
    <mergeCell ref="C5:U5"/>
    <mergeCell ref="V5:Y5"/>
    <mergeCell ref="A7:L7"/>
    <mergeCell ref="N7:Y7"/>
    <mergeCell ref="A11:B11"/>
    <mergeCell ref="W11:X11"/>
    <mergeCell ref="A12:B12"/>
    <mergeCell ref="W12:X12"/>
    <mergeCell ref="A13:B13"/>
    <mergeCell ref="W13:X13"/>
    <mergeCell ref="A14:B14"/>
    <mergeCell ref="W14:X14"/>
    <mergeCell ref="A15:B15"/>
    <mergeCell ref="W15:X15"/>
    <mergeCell ref="A16:B16"/>
    <mergeCell ref="W16:X16"/>
    <mergeCell ref="A17:B17"/>
    <mergeCell ref="W17:X17"/>
    <mergeCell ref="A18:B18"/>
    <mergeCell ref="W18:X18"/>
    <mergeCell ref="A19:B19"/>
    <mergeCell ref="W19:X19"/>
    <mergeCell ref="A20:B20"/>
    <mergeCell ref="W20:X20"/>
    <mergeCell ref="A21:B21"/>
    <mergeCell ref="W21:X21"/>
    <mergeCell ref="A22:B22"/>
    <mergeCell ref="W22:X22"/>
    <mergeCell ref="A23:B23"/>
    <mergeCell ref="W23:X23"/>
    <mergeCell ref="A24:C24"/>
    <mergeCell ref="W24:X24"/>
    <mergeCell ref="B33:C33"/>
    <mergeCell ref="B39:C39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Y8:Y10"/>
    <mergeCell ref="A1:B5"/>
    <mergeCell ref="V1:W2"/>
    <mergeCell ref="X1:Y2"/>
    <mergeCell ref="A8:B10"/>
    <mergeCell ref="W8:X10"/>
    <mergeCell ref="C1:U4"/>
  </mergeCells>
  <pageMargins left="0.251388888888889" right="0.251388888888889" top="0.251388888888889" bottom="0.251388888888889" header="0.298611111111111" footer="0.298611111111111"/>
  <pageSetup paperSize="9" scale="61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APRIL 25</vt:lpstr>
      <vt:lpstr> MAY 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YEARLY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PC-134</cp:lastModifiedBy>
  <dcterms:created xsi:type="dcterms:W3CDTF">2025-02-05T05:59:00Z</dcterms:created>
  <dcterms:modified xsi:type="dcterms:W3CDTF">2026-01-28T04:17:49Z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214E9B9D716C4270BF3E3D215AD41C61_13</vt:lpwstr>
  </property>
  <property fmtid="{D5CDD505-2E9C-101B-9397-08002B2CF9AE}" pid="3" name="KSOProductBuildVer">
    <vt:lpwstr>1033-12.2.0.21179</vt:lpwstr>
  </property>
</Properties>
</file>