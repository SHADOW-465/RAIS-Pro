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firstSheet="1" activeTab="9"/>
  </bookViews>
  <sheets>
    <sheet name="APRIL 25" sheetId="1" r:id="rId1"/>
    <sheet name="MAY 25" sheetId="10" r:id="rId2"/>
    <sheet name="JUNE 25" sheetId="21" r:id="rId3"/>
    <sheet name="JULY 25" sheetId="22" r:id="rId4"/>
    <sheet name="AUGUST 25" sheetId="23" r:id="rId5"/>
    <sheet name="SEPTEMBER 25" sheetId="24" r:id="rId6"/>
    <sheet name="OCTOBER 25" sheetId="25" r:id="rId7"/>
    <sheet name="NOVEMBER 25" sheetId="26" r:id="rId8"/>
    <sheet name="DECEMBER 25" sheetId="28" r:id="rId9"/>
    <sheet name="JANUARY 26" sheetId="29" r:id="rId10"/>
    <sheet name="YEARLY 2025-26" sheetId="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<sst xmlns="http://schemas.openxmlformats.org/spreadsheetml/2006/main" count="376" uniqueCount="61">
  <si>
    <r>
      <rPr>
        <b/>
        <sz val="20"/>
        <color theme="1"/>
        <rFont val="Times New Roman"/>
        <charset val="134"/>
      </rPr>
      <t>DISPOSAFE HEALTH AND LIFE CARE LIMITED</t>
    </r>
    <r>
      <rPr>
        <b/>
        <sz val="18"/>
        <color theme="1"/>
        <rFont val="Times New Roman"/>
        <charset val="134"/>
      </rPr>
      <t xml:space="preserve">
Plot No.37A, Sector-06, Ballabgarh (Faridabad) Haryana India 121006</t>
    </r>
  </si>
  <si>
    <t>ASSEMBLY SECTION DAILY REJECTION REPORT FOR APRIL 25</t>
  </si>
  <si>
    <t>DATE</t>
  </si>
  <si>
    <t>VISUAL
QTY</t>
  </si>
  <si>
    <t>VISUAL 
ACPT QTY</t>
  </si>
  <si>
    <t>REJ
QTY</t>
  </si>
  <si>
    <t>REJ
%</t>
  </si>
  <si>
    <t>BALLOON
CHKD QTY</t>
  </si>
  <si>
    <t>BALLOON
ACPT QTY</t>
  </si>
  <si>
    <t>VALVE INT
CHKD QTY</t>
  </si>
  <si>
    <t>VALVE INTY
ACPT QTY</t>
  </si>
  <si>
    <t>VALVE INTY
REJ Qty</t>
  </si>
  <si>
    <t>FINAL CHECKED QTY</t>
  </si>
  <si>
    <t>FINAL REJECTION</t>
  </si>
  <si>
    <t>TOTAL REJ QTY</t>
  </si>
  <si>
    <t>FINAL REJ %</t>
  </si>
  <si>
    <t>VISUAL CHECKED QTY</t>
  </si>
  <si>
    <t>VISUAL REJ QTY</t>
  </si>
  <si>
    <t>VISUAL REJ %</t>
  </si>
  <si>
    <t>WEEK 1</t>
  </si>
  <si>
    <t>SUNDAY</t>
  </si>
  <si>
    <t>WEEK 2</t>
  </si>
  <si>
    <t>WEEK 3</t>
  </si>
  <si>
    <t>WEEK 4</t>
  </si>
  <si>
    <t>WEEK 5</t>
  </si>
  <si>
    <t>Total</t>
  </si>
  <si>
    <r>
      <rPr>
        <b/>
        <sz val="22"/>
        <color theme="1"/>
        <rFont val="Times New Roman"/>
        <charset val="134"/>
      </rPr>
      <t>DISPOSAFE HEALTH AND LIFE CARE LIMITED</t>
    </r>
    <r>
      <rPr>
        <b/>
        <sz val="18"/>
        <color theme="1"/>
        <rFont val="Times New Roman"/>
        <charset val="134"/>
      </rPr>
      <t xml:space="preserve">
Plot No.37A, Sector-06, Ballabgarh (Faridabad) Haryana India 121006</t>
    </r>
  </si>
  <si>
    <t>ASSEMBLY SECTION DAILY REJECTION REPORT FOR MAY 25</t>
  </si>
  <si>
    <t>ASSEMBLY SECTION DAILY REJECTION REPORT FOR JUNE 25</t>
  </si>
  <si>
    <t>W. REPORT</t>
  </si>
  <si>
    <t>ASSEMBLY SECTION DAILY REJECTION REPORT FOR JULY 25</t>
  </si>
  <si>
    <t>ASSEMBLY SECTION DAILY REJECTION REPORT FOR AUGUST 2025</t>
  </si>
  <si>
    <t>Final Rej %</t>
  </si>
  <si>
    <t>HOLIDAY</t>
  </si>
  <si>
    <t>ASSEMBLY SECTION DAILY REJECTION REPORT FOR SEPTEMBER 2025</t>
  </si>
  <si>
    <t>ASSEMBLY SECTION DAILY REJECTION REPORT FOR OCTOBER 2025</t>
  </si>
  <si>
    <t>VIJAYA DASHMI</t>
  </si>
  <si>
    <t>HAPPY DIWALI</t>
  </si>
  <si>
    <t>TOTAL</t>
  </si>
  <si>
    <t>ASSEMBLY SECTION DAILY REJECTION REPORT FOR NOVEMBER 2025</t>
  </si>
  <si>
    <t>EYE PUNCHING QTY</t>
  </si>
  <si>
    <t>EYE PUNCHING ACPT</t>
  </si>
  <si>
    <t>ASSEMBLY SECTION DAILY REJECTION REPORT FOR DECEMBER 2025</t>
  </si>
  <si>
    <t>ASSEMBLY SECTION DAILY REJECTION REPORT FOR JANUARY 2026</t>
  </si>
  <si>
    <t>FINAL ACPT QTY</t>
  </si>
  <si>
    <t>ASSEMBLY SECTION YEARLY  REJECTION REPORT FOR 2025-26</t>
  </si>
  <si>
    <t>MONTH</t>
  </si>
  <si>
    <t>REJ QTY</t>
  </si>
  <si>
    <t>TOTAL
REJ%</t>
  </si>
  <si>
    <t>APRIL 25</t>
  </si>
  <si>
    <t>MAY 25</t>
  </si>
  <si>
    <t>JUNE 25</t>
  </si>
  <si>
    <t>JULY 25</t>
  </si>
  <si>
    <t>AUGUST 25</t>
  </si>
  <si>
    <t>SEPTEMBER 25</t>
  </si>
  <si>
    <t>OCTOBER 25</t>
  </si>
  <si>
    <t>NOVEMBER 25</t>
  </si>
  <si>
    <t>DECEMBER 25</t>
  </si>
  <si>
    <t>JANUARY 26</t>
  </si>
  <si>
    <t>FEBRUARY 26</t>
  </si>
  <si>
    <t>MARCH 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</si>
</sst>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0.00_ "/>
    <numFmt numFmtId="182" formatCode="0.000_ "/>
  </numFmts>
  <fonts count="3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2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11"/>
      <color theme="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1"/>
      <name val="Calibri"/>
      <charset val="0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20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5DDFF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3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8" fillId="0" borderId="32" applyNumberFormat="0" applyFill="0" applyAlignment="0" applyProtection="0">
      <alignment vertical="center"/>
    </xf>
    <xf numFmtId="0" fontId="19" fillId="0" borderId="3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6" borderId="34" applyNumberFormat="0" applyAlignment="0" applyProtection="0">
      <alignment vertical="center"/>
    </xf>
    <xf numFmtId="0" fontId="21" fillId="17" borderId="35" applyNumberFormat="0" applyAlignment="0" applyProtection="0">
      <alignment vertical="center"/>
    </xf>
    <xf numFmtId="0" fontId="22" fillId="17" borderId="34" applyNumberFormat="0" applyAlignment="0" applyProtection="0">
      <alignment vertical="center"/>
    </xf>
    <xf numFmtId="0" fontId="23" fillId="18" borderId="36" applyNumberFormat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</cellStyleXfs>
  <cellXfs count="238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9" fontId="5" fillId="0" borderId="1" xfId="6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49" fontId="5" fillId="4" borderId="1" xfId="6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2" fontId="0" fillId="4" borderId="1" xfId="0" applyNumberFormat="1" applyFont="1" applyFill="1" applyBorder="1" applyAlignment="1">
      <alignment horizontal="center" vertical="center"/>
    </xf>
    <xf numFmtId="1" fontId="0" fillId="4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49" fontId="6" fillId="4" borderId="1" xfId="6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49" fontId="0" fillId="0" borderId="0" xfId="0" applyNumberFormat="1" applyBorder="1"/>
    <xf numFmtId="0" fontId="0" fillId="0" borderId="0" xfId="0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 wrapText="1"/>
    </xf>
    <xf numFmtId="0" fontId="0" fillId="0" borderId="0" xfId="0" applyFill="1"/>
    <xf numFmtId="0" fontId="0" fillId="0" borderId="0" xfId="0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180" fontId="0" fillId="0" borderId="11" xfId="0" applyNumberFormat="1" applyFill="1" applyBorder="1" applyAlignment="1"/>
    <xf numFmtId="1" fontId="0" fillId="0" borderId="1" xfId="0" applyNumberFormat="1" applyFill="1" applyBorder="1" applyAlignment="1">
      <alignment horizontal="center" vertical="center"/>
    </xf>
    <xf numFmtId="181" fontId="0" fillId="7" borderId="1" xfId="0" applyNumberFormat="1" applyFont="1" applyFill="1" applyBorder="1" applyAlignment="1">
      <alignment horizontal="center" vertical="center"/>
    </xf>
    <xf numFmtId="180" fontId="1" fillId="8" borderId="11" xfId="0" applyNumberFormat="1" applyFont="1" applyFill="1" applyBorder="1" applyAlignment="1">
      <alignment horizontal="center"/>
    </xf>
    <xf numFmtId="1" fontId="1" fillId="8" borderId="1" xfId="0" applyNumberFormat="1" applyFont="1" applyFill="1" applyBorder="1" applyAlignment="1">
      <alignment horizontal="center"/>
    </xf>
    <xf numFmtId="181" fontId="0" fillId="5" borderId="1" xfId="0" applyNumberFormat="1" applyFill="1" applyBorder="1" applyAlignment="1">
      <alignment horizontal="center"/>
    </xf>
    <xf numFmtId="180" fontId="0" fillId="9" borderId="11" xfId="0" applyNumberFormat="1" applyFill="1" applyBorder="1"/>
    <xf numFmtId="180" fontId="0" fillId="9" borderId="1" xfId="0" applyNumberFormat="1" applyFill="1" applyBorder="1"/>
    <xf numFmtId="1" fontId="0" fillId="9" borderId="1" xfId="0" applyNumberFormat="1" applyFont="1" applyFill="1" applyBorder="1" applyAlignment="1">
      <alignment horizontal="center"/>
    </xf>
    <xf numFmtId="180" fontId="0" fillId="0" borderId="11" xfId="0" applyNumberFormat="1" applyBorder="1" applyAlignment="1">
      <alignment horizontal="right" vertical="center"/>
    </xf>
    <xf numFmtId="181" fontId="0" fillId="7" borderId="1" xfId="0" applyNumberForma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180" fontId="0" fillId="0" borderId="11" xfId="0" applyNumberFormat="1" applyFill="1" applyBorder="1"/>
    <xf numFmtId="180" fontId="9" fillId="9" borderId="11" xfId="0" applyNumberFormat="1" applyFont="1" applyFill="1" applyBorder="1"/>
    <xf numFmtId="180" fontId="9" fillId="9" borderId="1" xfId="0" applyNumberFormat="1" applyFont="1" applyFill="1" applyBorder="1"/>
    <xf numFmtId="180" fontId="0" fillId="7" borderId="11" xfId="0" applyNumberFormat="1" applyFill="1" applyBorder="1"/>
    <xf numFmtId="1" fontId="0" fillId="7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/>
    </xf>
    <xf numFmtId="180" fontId="0" fillId="0" borderId="11" xfId="0" applyNumberFormat="1" applyBorder="1"/>
    <xf numFmtId="1" fontId="0" fillId="0" borderId="1" xfId="0" applyNumberFormat="1" applyBorder="1" applyAlignment="1">
      <alignment horizontal="center"/>
    </xf>
    <xf numFmtId="0" fontId="1" fillId="10" borderId="11" xfId="0" applyFont="1" applyFill="1" applyBorder="1" applyAlignment="1">
      <alignment horizontal="center" vertical="center"/>
    </xf>
    <xf numFmtId="1" fontId="1" fillId="10" borderId="1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81" fontId="0" fillId="9" borderId="1" xfId="0" applyNumberFormat="1" applyFill="1" applyBorder="1" applyAlignment="1">
      <alignment horizont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/>
    </xf>
    <xf numFmtId="1" fontId="4" fillId="6" borderId="2" xfId="0" applyNumberFormat="1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1" fontId="4" fillId="6" borderId="3" xfId="0" applyNumberFormat="1" applyFont="1" applyFill="1" applyBorder="1" applyAlignment="1">
      <alignment horizontal="center" vertical="center" wrapText="1"/>
    </xf>
    <xf numFmtId="1" fontId="0" fillId="0" borderId="16" xfId="0" applyNumberForma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1" fillId="8" borderId="16" xfId="0" applyNumberFormat="1" applyFont="1" applyFill="1" applyBorder="1" applyAlignment="1">
      <alignment horizontal="center"/>
    </xf>
    <xf numFmtId="1" fontId="0" fillId="9" borderId="16" xfId="0" applyNumberFormat="1" applyFill="1" applyBorder="1" applyAlignment="1">
      <alignment horizontal="center"/>
    </xf>
    <xf numFmtId="0" fontId="1" fillId="11" borderId="15" xfId="0" applyFont="1" applyFill="1" applyBorder="1" applyAlignment="1">
      <alignment horizontal="center"/>
    </xf>
    <xf numFmtId="1" fontId="1" fillId="0" borderId="17" xfId="0" applyNumberFormat="1" applyFont="1" applyBorder="1" applyAlignment="1">
      <alignment horizontal="center" vertical="center"/>
    </xf>
    <xf numFmtId="2" fontId="1" fillId="0" borderId="18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1" fontId="0" fillId="7" borderId="1" xfId="0" applyNumberFormat="1" applyFont="1" applyFill="1" applyBorder="1" applyAlignment="1">
      <alignment horizontal="center"/>
    </xf>
    <xf numFmtId="1" fontId="0" fillId="7" borderId="16" xfId="0" applyNumberFormat="1" applyFill="1" applyBorder="1" applyAlignment="1">
      <alignment horizontal="center"/>
    </xf>
    <xf numFmtId="1" fontId="1" fillId="12" borderId="17" xfId="0" applyNumberFormat="1" applyFont="1" applyFill="1" applyBorder="1" applyAlignment="1">
      <alignment horizontal="center" vertical="center"/>
    </xf>
    <xf numFmtId="1" fontId="1" fillId="12" borderId="3" xfId="0" applyNumberFormat="1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" fontId="1" fillId="0" borderId="21" xfId="0" applyNumberFormat="1" applyFont="1" applyBorder="1" applyAlignment="1">
      <alignment horizontal="center" vertical="center"/>
    </xf>
    <xf numFmtId="1" fontId="1" fillId="0" borderId="22" xfId="0" applyNumberFormat="1" applyFont="1" applyBorder="1" applyAlignment="1">
      <alignment horizontal="center" vertical="center"/>
    </xf>
    <xf numFmtId="180" fontId="0" fillId="0" borderId="0" xfId="0" applyNumberFormat="1"/>
    <xf numFmtId="1" fontId="0" fillId="0" borderId="0" xfId="0" applyNumberFormat="1"/>
    <xf numFmtId="1" fontId="0" fillId="0" borderId="13" xfId="0" applyNumberFormat="1" applyBorder="1"/>
    <xf numFmtId="1" fontId="1" fillId="7" borderId="21" xfId="0" applyNumberFormat="1" applyFont="1" applyFill="1" applyBorder="1" applyAlignment="1">
      <alignment horizontal="center" vertical="center"/>
    </xf>
    <xf numFmtId="1" fontId="1" fillId="7" borderId="22" xfId="0" applyNumberFormat="1" applyFont="1" applyFill="1" applyBorder="1" applyAlignment="1">
      <alignment horizontal="center" vertical="center"/>
    </xf>
    <xf numFmtId="1" fontId="1" fillId="0" borderId="17" xfId="0" applyNumberFormat="1" applyFont="1" applyFill="1" applyBorder="1" applyAlignment="1">
      <alignment horizontal="center" vertical="center"/>
    </xf>
    <xf numFmtId="2" fontId="1" fillId="0" borderId="18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80" fontId="0" fillId="0" borderId="1" xfId="0" applyNumberFormat="1" applyFill="1" applyBorder="1" applyAlignment="1"/>
    <xf numFmtId="180" fontId="0" fillId="10" borderId="1" xfId="0" applyNumberFormat="1" applyFill="1" applyBorder="1" applyAlignment="1"/>
    <xf numFmtId="181" fontId="1" fillId="10" borderId="16" xfId="0" applyNumberFormat="1" applyFont="1" applyFill="1" applyBorder="1" applyAlignment="1">
      <alignment horizontal="center"/>
    </xf>
    <xf numFmtId="181" fontId="1" fillId="10" borderId="23" xfId="0" applyNumberFormat="1" applyFont="1" applyFill="1" applyBorder="1" applyAlignment="1">
      <alignment horizontal="center"/>
    </xf>
    <xf numFmtId="180" fontId="1" fillId="8" borderId="1" xfId="0" applyNumberFormat="1" applyFont="1" applyFill="1" applyBorder="1" applyAlignment="1">
      <alignment horizontal="center"/>
    </xf>
    <xf numFmtId="180" fontId="0" fillId="0" borderId="1" xfId="0" applyNumberFormat="1" applyBorder="1" applyAlignment="1">
      <alignment horizontal="right" vertical="center"/>
    </xf>
    <xf numFmtId="180" fontId="0" fillId="0" borderId="1" xfId="0" applyNumberFormat="1" applyFill="1" applyBorder="1"/>
    <xf numFmtId="180" fontId="0" fillId="10" borderId="1" xfId="0" applyNumberFormat="1" applyFill="1" applyBorder="1"/>
    <xf numFmtId="181" fontId="10" fillId="10" borderId="4" xfId="0" applyNumberFormat="1" applyFont="1" applyFill="1" applyBorder="1" applyAlignment="1">
      <alignment horizontal="center" vertical="center"/>
    </xf>
    <xf numFmtId="181" fontId="10" fillId="10" borderId="6" xfId="0" applyNumberFormat="1" applyFont="1" applyFill="1" applyBorder="1" applyAlignment="1">
      <alignment horizontal="center" vertical="center"/>
    </xf>
    <xf numFmtId="181" fontId="10" fillId="10" borderId="7" xfId="0" applyNumberFormat="1" applyFont="1" applyFill="1" applyBorder="1" applyAlignment="1">
      <alignment horizontal="center" vertical="center"/>
    </xf>
    <xf numFmtId="181" fontId="10" fillId="10" borderId="0" xfId="0" applyNumberFormat="1" applyFont="1" applyFill="1" applyAlignment="1">
      <alignment horizontal="center" vertical="center"/>
    </xf>
    <xf numFmtId="181" fontId="10" fillId="10" borderId="24" xfId="0" applyNumberFormat="1" applyFont="1" applyFill="1" applyBorder="1" applyAlignment="1">
      <alignment horizontal="center" vertical="center"/>
    </xf>
    <xf numFmtId="181" fontId="10" fillId="10" borderId="25" xfId="0" applyNumberFormat="1" applyFont="1" applyFill="1" applyBorder="1" applyAlignment="1">
      <alignment horizontal="center" vertical="center"/>
    </xf>
    <xf numFmtId="180" fontId="0" fillId="0" borderId="1" xfId="0" applyNumberFormat="1" applyBorder="1"/>
    <xf numFmtId="1" fontId="0" fillId="0" borderId="1" xfId="0" applyNumberForma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1" fontId="0" fillId="0" borderId="16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1" fontId="1" fillId="10" borderId="21" xfId="0" applyNumberFormat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/>
    </xf>
    <xf numFmtId="1" fontId="1" fillId="12" borderId="27" xfId="0" applyNumberFormat="1" applyFont="1" applyFill="1" applyBorder="1" applyAlignment="1">
      <alignment horizontal="center" vertical="center"/>
    </xf>
    <xf numFmtId="1" fontId="1" fillId="0" borderId="27" xfId="0" applyNumberFormat="1" applyFont="1" applyBorder="1" applyAlignment="1">
      <alignment horizontal="center" vertical="center"/>
    </xf>
    <xf numFmtId="2" fontId="1" fillId="0" borderId="28" xfId="0" applyNumberFormat="1" applyFont="1" applyBorder="1" applyAlignment="1">
      <alignment horizontal="center" vertical="center"/>
    </xf>
    <xf numFmtId="180" fontId="0" fillId="9" borderId="11" xfId="0" applyNumberFormat="1" applyFill="1" applyBorder="1" applyAlignment="1"/>
    <xf numFmtId="1" fontId="0" fillId="9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/>
    </xf>
    <xf numFmtId="180" fontId="0" fillId="13" borderId="11" xfId="0" applyNumberFormat="1" applyFill="1" applyBorder="1"/>
    <xf numFmtId="1" fontId="1" fillId="13" borderId="16" xfId="0" applyNumberFormat="1" applyFont="1" applyFill="1" applyBorder="1" applyAlignment="1">
      <alignment horizontal="center"/>
    </xf>
    <xf numFmtId="1" fontId="1" fillId="13" borderId="23" xfId="0" applyNumberFormat="1" applyFont="1" applyFill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82" fontId="0" fillId="9" borderId="1" xfId="0" applyNumberFormat="1" applyFill="1" applyBorder="1" applyAlignment="1">
      <alignment horizontal="center"/>
    </xf>
    <xf numFmtId="2" fontId="1" fillId="0" borderId="16" xfId="0" applyNumberFormat="1" applyFont="1" applyFill="1" applyBorder="1" applyAlignment="1">
      <alignment horizontal="center"/>
    </xf>
    <xf numFmtId="1" fontId="1" fillId="9" borderId="7" xfId="0" applyNumberFormat="1" applyFont="1" applyFill="1" applyBorder="1" applyAlignment="1">
      <alignment horizontal="center" vertical="center"/>
    </xf>
    <xf numFmtId="1" fontId="1" fillId="12" borderId="1" xfId="0" applyNumberFormat="1" applyFont="1" applyFill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1" fontId="1" fillId="13" borderId="29" xfId="0" applyNumberFormat="1" applyFont="1" applyFill="1" applyBorder="1" applyAlignment="1">
      <alignment horizontal="center"/>
    </xf>
    <xf numFmtId="1" fontId="1" fillId="9" borderId="16" xfId="0" applyNumberFormat="1" applyFont="1" applyFill="1" applyBorder="1" applyAlignment="1">
      <alignment horizontal="center" vertical="center"/>
    </xf>
    <xf numFmtId="1" fontId="1" fillId="12" borderId="16" xfId="0" applyNumberFormat="1" applyFont="1" applyFill="1" applyBorder="1" applyAlignment="1">
      <alignment horizontal="center" vertical="center"/>
    </xf>
    <xf numFmtId="2" fontId="1" fillId="9" borderId="16" xfId="0" applyNumberFormat="1" applyFont="1" applyFill="1" applyBorder="1" applyAlignment="1">
      <alignment horizontal="center"/>
    </xf>
    <xf numFmtId="1" fontId="1" fillId="9" borderId="1" xfId="0" applyNumberFormat="1" applyFont="1" applyFill="1" applyBorder="1" applyAlignment="1">
      <alignment horizontal="center" vertical="center"/>
    </xf>
    <xf numFmtId="180" fontId="0" fillId="9" borderId="11" xfId="0" applyNumberFormat="1" applyFill="1" applyBorder="1" applyAlignment="1">
      <alignment vertical="center"/>
    </xf>
    <xf numFmtId="182" fontId="0" fillId="7" borderId="1" xfId="0" applyNumberFormat="1" applyFill="1" applyBorder="1" applyAlignment="1">
      <alignment horizontal="center"/>
    </xf>
    <xf numFmtId="181" fontId="1" fillId="10" borderId="21" xfId="0" applyNumberFormat="1" applyFont="1" applyFill="1" applyBorder="1" applyAlignment="1">
      <alignment horizontal="center"/>
    </xf>
    <xf numFmtId="1" fontId="3" fillId="0" borderId="10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1" fontId="8" fillId="5" borderId="1" xfId="0" applyNumberFormat="1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4" fillId="6" borderId="5" xfId="0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/>
    </xf>
    <xf numFmtId="181" fontId="1" fillId="8" borderId="1" xfId="0" applyNumberFormat="1" applyFont="1" applyFill="1" applyBorder="1" applyAlignment="1">
      <alignment horizontal="center" vertical="center"/>
    </xf>
    <xf numFmtId="1" fontId="1" fillId="12" borderId="2" xfId="0" applyNumberFormat="1" applyFont="1" applyFill="1" applyBorder="1" applyAlignment="1">
      <alignment horizontal="center" vertical="center"/>
    </xf>
    <xf numFmtId="0" fontId="1" fillId="12" borderId="17" xfId="0" applyNumberFormat="1" applyFont="1" applyFill="1" applyBorder="1" applyAlignment="1">
      <alignment horizontal="center" vertical="center"/>
    </xf>
    <xf numFmtId="0" fontId="1" fillId="12" borderId="3" xfId="0" applyNumberFormat="1" applyFont="1" applyFill="1" applyBorder="1" applyAlignment="1">
      <alignment horizontal="center" vertical="center"/>
    </xf>
    <xf numFmtId="2" fontId="1" fillId="10" borderId="21" xfId="0" applyNumberFormat="1" applyFont="1" applyFill="1" applyBorder="1" applyAlignment="1">
      <alignment horizontal="center" vertical="center"/>
    </xf>
    <xf numFmtId="0" fontId="1" fillId="12" borderId="27" xfId="0" applyNumberFormat="1" applyFont="1" applyFill="1" applyBorder="1" applyAlignment="1">
      <alignment horizontal="center" vertical="center"/>
    </xf>
    <xf numFmtId="180" fontId="0" fillId="14" borderId="11" xfId="0" applyNumberFormat="1" applyFill="1" applyBorder="1" applyAlignment="1">
      <alignment horizontal="center"/>
    </xf>
    <xf numFmtId="180" fontId="0" fillId="14" borderId="1" xfId="0" applyNumberFormat="1" applyFill="1" applyBorder="1" applyAlignment="1">
      <alignment horizontal="center"/>
    </xf>
    <xf numFmtId="0" fontId="1" fillId="8" borderId="1" xfId="0" applyNumberFormat="1" applyFont="1" applyFill="1" applyBorder="1" applyAlignment="1">
      <alignment horizontal="center"/>
    </xf>
    <xf numFmtId="180" fontId="0" fillId="14" borderId="11" xfId="0" applyNumberFormat="1" applyFill="1" applyBorder="1" applyAlignment="1"/>
    <xf numFmtId="0" fontId="0" fillId="14" borderId="1" xfId="0" applyFill="1" applyBorder="1" applyAlignment="1">
      <alignment horizontal="center"/>
    </xf>
    <xf numFmtId="181" fontId="0" fillId="14" borderId="1" xfId="0" applyNumberFormat="1" applyFill="1" applyBorder="1" applyAlignment="1">
      <alignment horizontal="center"/>
    </xf>
    <xf numFmtId="0" fontId="1" fillId="10" borderId="21" xfId="0" applyNumberFormat="1" applyFont="1" applyFill="1" applyBorder="1" applyAlignment="1">
      <alignment horizontal="center" vertical="center"/>
    </xf>
    <xf numFmtId="1" fontId="0" fillId="14" borderId="1" xfId="0" applyNumberFormat="1" applyFill="1" applyBorder="1" applyAlignment="1">
      <alignment horizontal="center"/>
    </xf>
    <xf numFmtId="0" fontId="0" fillId="14" borderId="1" xfId="0" applyNumberForma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80" fontId="0" fillId="14" borderId="15" xfId="0" applyNumberFormat="1" applyFill="1" applyBorder="1" applyAlignment="1">
      <alignment horizont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17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1" fillId="12" borderId="1" xfId="0" applyNumberFormat="1" applyFont="1" applyFill="1" applyBorder="1" applyAlignment="1">
      <alignment horizontal="center" vertical="center"/>
    </xf>
    <xf numFmtId="2" fontId="1" fillId="0" borderId="15" xfId="0" applyNumberFormat="1" applyFont="1" applyFill="1" applyBorder="1" applyAlignment="1">
      <alignment horizontal="center" vertical="center"/>
    </xf>
    <xf numFmtId="180" fontId="0" fillId="14" borderId="1" xfId="0" applyNumberFormat="1" applyFill="1" applyBorder="1" applyAlignment="1"/>
    <xf numFmtId="180" fontId="0" fillId="14" borderId="15" xfId="0" applyNumberFormat="1" applyFill="1" applyBorder="1" applyAlignment="1"/>
    <xf numFmtId="0" fontId="1" fillId="12" borderId="1" xfId="0" applyFont="1" applyFill="1" applyBorder="1" applyAlignment="1">
      <alignment horizontal="center" vertical="center"/>
    </xf>
    <xf numFmtId="0" fontId="1" fillId="12" borderId="21" xfId="0" applyFont="1" applyFill="1" applyBorder="1" applyAlignment="1">
      <alignment horizontal="center" vertical="center"/>
    </xf>
    <xf numFmtId="2" fontId="1" fillId="0" borderId="22" xfId="0" applyNumberFormat="1" applyFont="1" applyBorder="1" applyAlignment="1">
      <alignment horizontal="center" vertical="center"/>
    </xf>
    <xf numFmtId="180" fontId="0" fillId="8" borderId="1" xfId="0" applyNumberFormat="1" applyFill="1" applyBorder="1" applyAlignment="1">
      <alignment horizontal="center"/>
    </xf>
    <xf numFmtId="181" fontId="1" fillId="5" borderId="1" xfId="0" applyNumberFormat="1" applyFont="1" applyFill="1" applyBorder="1" applyAlignment="1">
      <alignment horizontal="center"/>
    </xf>
    <xf numFmtId="180" fontId="1" fillId="14" borderId="1" xfId="0" applyNumberFormat="1" applyFont="1" applyFill="1" applyBorder="1" applyAlignment="1">
      <alignment horizontal="center"/>
    </xf>
    <xf numFmtId="0" fontId="1" fillId="10" borderId="1" xfId="0" applyNumberFormat="1" applyFont="1" applyFill="1" applyBorder="1" applyAlignment="1">
      <alignment horizontal="center" vertical="center"/>
    </xf>
    <xf numFmtId="181" fontId="1" fillId="10" borderId="1" xfId="0" applyNumberFormat="1" applyFont="1" applyFill="1" applyBorder="1" applyAlignment="1">
      <alignment horizontal="center"/>
    </xf>
    <xf numFmtId="1" fontId="1" fillId="14" borderId="1" xfId="0" applyNumberFormat="1" applyFont="1" applyFill="1" applyBorder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1" fontId="1" fillId="10" borderId="1" xfId="0" applyNumberFormat="1" applyFont="1" applyFill="1" applyBorder="1" applyAlignment="1">
      <alignment horizontal="center"/>
    </xf>
    <xf numFmtId="0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181" fontId="1" fillId="1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18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81" fontId="0" fillId="7" borderId="1" xfId="0" applyNumberFormat="1" applyFill="1" applyBorder="1" applyAlignment="1">
      <alignment horizontal="center" vertical="center"/>
    </xf>
    <xf numFmtId="180" fontId="1" fillId="8" borderId="1" xfId="0" applyNumberFormat="1" applyFont="1" applyFill="1" applyBorder="1" applyAlignment="1">
      <alignment horizontal="center" vertical="center"/>
    </xf>
    <xf numFmtId="0" fontId="1" fillId="8" borderId="1" xfId="0" applyNumberFormat="1" applyFont="1" applyFill="1" applyBorder="1" applyAlignment="1">
      <alignment horizontal="center" vertical="center"/>
    </xf>
    <xf numFmtId="181" fontId="1" fillId="5" borderId="1" xfId="0" applyNumberFormat="1" applyFont="1" applyFill="1" applyBorder="1" applyAlignment="1">
      <alignment horizontal="center" vertical="center"/>
    </xf>
    <xf numFmtId="180" fontId="1" fillId="14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/>
    </xf>
    <xf numFmtId="1" fontId="1" fillId="14" borderId="1" xfId="0" applyNumberFormat="1" applyFont="1" applyFill="1" applyBorder="1" applyAlignment="1">
      <alignment horizontal="center" vertical="center"/>
    </xf>
    <xf numFmtId="1" fontId="0" fillId="0" borderId="16" xfId="0" applyNumberFormat="1" applyFill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2" fontId="1" fillId="0" borderId="3" xfId="0" applyNumberFormat="1" applyFont="1" applyFill="1" applyBorder="1" applyAlignment="1">
      <alignment horizontal="center" vertical="center"/>
    </xf>
    <xf numFmtId="2" fontId="1" fillId="1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A9A3BF"/>
      <color rgb="0001FF37"/>
      <color rgb="0055DD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YEARLY TOTAL REJ % 2025-26</a:t>
            </a:r>
            <a:endParaRPr lang="en-IN" altLang="en-US"/>
          </a:p>
        </c:rich>
      </c:tx>
      <c:layout>
        <c:manualLayout>
          <c:xMode val="edge"/>
          <c:yMode val="edge"/>
          <c:x val="0.398092105263158"/>
          <c:y val="0.01736111111111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2025-26'!$Q$4</c:f>
              <c:strCache>
                <c:ptCount val="1"/>
                <c:pt idx="0">
                  <c:v>TOTAL
REJ%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'YEARLY 2025-26'!$A$5:$A$19</c15:sqref>
                  </c15:fullRef>
                </c:ext>
              </c:extLst>
              <c:f>'YEARLY 2025-26'!$A$6:$A$17</c:f>
              <c:strCache>
                <c:ptCount val="12"/>
                <c:pt idx="0" c:formatCode="@">
                  <c:v>APRIL 25</c:v>
                </c:pt>
                <c:pt idx="1" c:formatCode="@">
                  <c:v>MAY 25</c:v>
                </c:pt>
                <c:pt idx="2" c:formatCode="@">
                  <c:v>JUNE 25</c:v>
                </c:pt>
                <c:pt idx="3" c:formatCode="@">
                  <c:v>JULY 25</c:v>
                </c:pt>
                <c:pt idx="4" c:formatCode="@">
                  <c:v>AUGUST 25</c:v>
                </c:pt>
                <c:pt idx="5" c:formatCode="@">
                  <c:v>SEPTEMBER 25</c:v>
                </c:pt>
                <c:pt idx="6" c:formatCode="@">
                  <c:v>OCTOBER 25</c:v>
                </c:pt>
                <c:pt idx="7" c:formatCode="@">
                  <c:v>NOVEMBER 25</c:v>
                </c:pt>
                <c:pt idx="8" c:formatCode="@">
                  <c:v>DECEMBER 25</c:v>
                </c:pt>
                <c:pt idx="9" c:formatCode="@">
                  <c:v>JANUARY 26</c:v>
                </c:pt>
                <c:pt idx="10" c:formatCode="@">
                  <c:v>FEBRUARY 26</c:v>
                </c:pt>
                <c:pt idx="11" c:formatCode="@">
                  <c:v>MARCH 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'YEARLY 2025-26'!$Q$5:$Q$19</c15:sqref>
                  </c15:fullRef>
                </c:ext>
              </c:extLst>
              <c:f>'YEARLY 2025-26'!$Q$6:$Q$17</c:f>
              <c:numCache>
                <c:formatCode>0.00</c:formatCode>
                <c:ptCount val="12"/>
                <c:pt idx="0">
                  <c:v>11.510315842508</c:v>
                </c:pt>
                <c:pt idx="1">
                  <c:v>9.11644518277944</c:v>
                </c:pt>
                <c:pt idx="2">
                  <c:v>9.2722457969569</c:v>
                </c:pt>
                <c:pt idx="3">
                  <c:v>6.30992012088251</c:v>
                </c:pt>
                <c:pt idx="4">
                  <c:v>5.79641493221495</c:v>
                </c:pt>
                <c:pt idx="5">
                  <c:v>8.2197486179298</c:v>
                </c:pt>
                <c:pt idx="6">
                  <c:v>9.87006043149588</c:v>
                </c:pt>
                <c:pt idx="7" c:formatCode="0">
                  <c:v>0</c:v>
                </c:pt>
                <c:pt idx="8">
                  <c:v>16.0424535797544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105666676"/>
        <c:axId val="706241093"/>
      </c:barChart>
      <c:catAx>
        <c:axId val="10566667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MONTH WISE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6241093"/>
        <c:crosses val="autoZero"/>
        <c:auto val="1"/>
        <c:lblAlgn val="ctr"/>
        <c:lblOffset val="100"/>
        <c:noMultiLvlLbl val="0"/>
      </c:catAx>
      <c:valAx>
        <c:axId val="7062410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REJ IN %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6666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8595b79-b03b-44c0-a70c-0eacb1ab351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183515</xdr:colOff>
      <xdr:row>0</xdr:row>
      <xdr:rowOff>75565</xdr:rowOff>
    </xdr:from>
    <xdr:to>
      <xdr:col>1</xdr:col>
      <xdr:colOff>545465</xdr:colOff>
      <xdr:row>1</xdr:row>
      <xdr:rowOff>749300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3515" y="75565"/>
          <a:ext cx="1085850" cy="8642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145415</xdr:colOff>
      <xdr:row>0</xdr:row>
      <xdr:rowOff>66040</xdr:rowOff>
    </xdr:from>
    <xdr:to>
      <xdr:col>2</xdr:col>
      <xdr:colOff>18415</xdr:colOff>
      <xdr:row>1</xdr:row>
      <xdr:rowOff>767715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415" y="66040"/>
          <a:ext cx="1120775" cy="892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145415</xdr:colOff>
      <xdr:row>0</xdr:row>
      <xdr:rowOff>66040</xdr:rowOff>
    </xdr:from>
    <xdr:to>
      <xdr:col>2</xdr:col>
      <xdr:colOff>37465</xdr:colOff>
      <xdr:row>1</xdr:row>
      <xdr:rowOff>767715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415" y="66040"/>
          <a:ext cx="1120775" cy="8921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145415</xdr:colOff>
      <xdr:row>0</xdr:row>
      <xdr:rowOff>66040</xdr:rowOff>
    </xdr:from>
    <xdr:to>
      <xdr:col>2</xdr:col>
      <xdr:colOff>18415</xdr:colOff>
      <xdr:row>1</xdr:row>
      <xdr:rowOff>767715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415" y="66040"/>
          <a:ext cx="1120775" cy="8921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145415</xdr:colOff>
      <xdr:row>0</xdr:row>
      <xdr:rowOff>66040</xdr:rowOff>
    </xdr:from>
    <xdr:to>
      <xdr:col>2</xdr:col>
      <xdr:colOff>18415</xdr:colOff>
      <xdr:row>1</xdr:row>
      <xdr:rowOff>767715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415" y="66040"/>
          <a:ext cx="1120775" cy="8921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145415</xdr:colOff>
      <xdr:row>0</xdr:row>
      <xdr:rowOff>66040</xdr:rowOff>
    </xdr:from>
    <xdr:to>
      <xdr:col>2</xdr:col>
      <xdr:colOff>18415</xdr:colOff>
      <xdr:row>1</xdr:row>
      <xdr:rowOff>767715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415" y="66040"/>
          <a:ext cx="1120775" cy="8921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145415</xdr:colOff>
      <xdr:row>0</xdr:row>
      <xdr:rowOff>66040</xdr:rowOff>
    </xdr:from>
    <xdr:to>
      <xdr:col>2</xdr:col>
      <xdr:colOff>18415</xdr:colOff>
      <xdr:row>1</xdr:row>
      <xdr:rowOff>767715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415" y="66040"/>
          <a:ext cx="1120775" cy="8921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145415</xdr:colOff>
      <xdr:row>0</xdr:row>
      <xdr:rowOff>66040</xdr:rowOff>
    </xdr:from>
    <xdr:to>
      <xdr:col>1</xdr:col>
      <xdr:colOff>523240</xdr:colOff>
      <xdr:row>1</xdr:row>
      <xdr:rowOff>767715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415" y="66040"/>
          <a:ext cx="1120775" cy="8921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145415</xdr:colOff>
      <xdr:row>0</xdr:row>
      <xdr:rowOff>66040</xdr:rowOff>
    </xdr:from>
    <xdr:to>
      <xdr:col>1</xdr:col>
      <xdr:colOff>523240</xdr:colOff>
      <xdr:row>1</xdr:row>
      <xdr:rowOff>767715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415" y="66040"/>
          <a:ext cx="1120775" cy="8921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145415</xdr:colOff>
      <xdr:row>0</xdr:row>
      <xdr:rowOff>66040</xdr:rowOff>
    </xdr:from>
    <xdr:to>
      <xdr:col>1</xdr:col>
      <xdr:colOff>523240</xdr:colOff>
      <xdr:row>1</xdr:row>
      <xdr:rowOff>767715</xdr:rowOff>
    </xdr:to>
    <xdr:pic>
      <xdr:nvPicPr>
        <xdr:cNvPr id="2" name="Picture 1" descr="Disposafe_logo without b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415" y="66040"/>
          <a:ext cx="1120775" cy="8921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168275</xdr:colOff>
      <xdr:row>35</xdr:row>
      <xdr:rowOff>154305</xdr:rowOff>
    </xdr:from>
    <xdr:to>
      <xdr:col>16</xdr:col>
      <xdr:colOff>749935</xdr:colOff>
      <xdr:row>72</xdr:row>
      <xdr:rowOff>139700</xdr:rowOff>
    </xdr:to>
    <xdr:graphicFrame>
      <xdr:nvGraphicFramePr>
        <xdr:cNvPr id="2" name="Chart 1"/>
        <xdr:cNvGraphicFramePr/>
      </xdr:nvGraphicFramePr>
      <xdr:xfrm>
        <a:off x="168275" y="9047480"/>
        <a:ext cx="11127740" cy="7033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135890</xdr:colOff>
      <xdr:row>0</xdr:row>
      <xdr:rowOff>113665</xdr:rowOff>
    </xdr:from>
    <xdr:to>
      <xdr:col>1</xdr:col>
      <xdr:colOff>281305</xdr:colOff>
      <xdr:row>1</xdr:row>
      <xdr:rowOff>728980</xdr:rowOff>
    </xdr:to>
    <xdr:pic>
      <xdr:nvPicPr>
        <xdr:cNvPr id="3" name="Picture 2" descr="Disposafe_logo without b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5890" y="113665"/>
          <a:ext cx="1012190" cy="910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41"/>
  <sheetViews>
    <sheetView zoomScalePageLayoutView="85" topLeftCell="A4" workbookViewId="0">
      <pane ySplit="2" topLeftCell="A6" activePane="bottomLeft" state="frozen"/>
      <selection/>
      <selection pane="bottomLeft" activeCell="A1" sqref="A1:B2"/>
    </sheetView>
  </sheetViews>
  <sheetFormatPr defaultColWidth="9" defaultRowHeight="15"/>
  <cols>
    <col min="1" max="1" width="10.8571428571429"/>
    <col min="3" max="3" width="11.2666666666667" customWidth="1"/>
    <col min="4" max="4" width="13.2952380952381" customWidth="1"/>
    <col min="5" max="5" width="12.9714285714286" customWidth="1"/>
    <col min="6" max="6" width="9.57142857142857" customWidth="1"/>
    <col min="7" max="7" width="9.42857142857143" customWidth="1"/>
    <col min="9" max="9" width="12.8571428571429"/>
    <col min="10" max="10" width="10.4285714285714" customWidth="1"/>
    <col min="11" max="11" width="11.8571428571429" customWidth="1"/>
    <col min="12" max="12" width="13.7619047619048" customWidth="1"/>
    <col min="13" max="13" width="12.8571428571429"/>
    <col min="14" max="14" width="12.8571428571429" style="99"/>
    <col min="15" max="15" width="12.8571428571429"/>
    <col min="16" max="16" width="14.0761904761905" style="30" customWidth="1"/>
    <col min="17" max="18" width="12.0380952380952" customWidth="1"/>
    <col min="19" max="19" width="11.1047619047619" customWidth="1"/>
    <col min="20" max="20" width="11.4095238095238" customWidth="1"/>
  </cols>
  <sheetData>
    <row r="1" spans="1:20">
      <c r="A1" s="1"/>
      <c r="B1" s="1"/>
      <c r="C1" s="215" t="s">
        <v>0</v>
      </c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26"/>
      <c r="O1" s="216"/>
      <c r="P1" s="216"/>
      <c r="Q1" s="216"/>
      <c r="R1" s="216"/>
      <c r="S1" s="216"/>
      <c r="T1" s="216"/>
    </row>
    <row r="2" ht="69" customHeight="1" spans="1:20">
      <c r="A2" s="1"/>
      <c r="B2" s="1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26"/>
      <c r="O2" s="216"/>
      <c r="P2" s="216"/>
      <c r="Q2" s="216"/>
      <c r="R2" s="216"/>
      <c r="S2" s="216"/>
      <c r="T2" s="216"/>
    </row>
    <row r="3" ht="21" customHeight="1" spans="1:20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27"/>
      <c r="O3" s="217"/>
      <c r="P3" s="217"/>
      <c r="Q3" s="217"/>
      <c r="R3" s="217"/>
      <c r="S3" s="217"/>
      <c r="T3" s="217"/>
    </row>
    <row r="4" spans="1:20">
      <c r="A4" s="45" t="s">
        <v>2</v>
      </c>
      <c r="B4" s="43" t="s">
        <v>3</v>
      </c>
      <c r="C4" s="43" t="s">
        <v>4</v>
      </c>
      <c r="D4" s="43" t="s">
        <v>5</v>
      </c>
      <c r="E4" s="43" t="s">
        <v>6</v>
      </c>
      <c r="F4" s="43" t="s">
        <v>7</v>
      </c>
      <c r="G4" s="43" t="s">
        <v>8</v>
      </c>
      <c r="H4" s="43" t="s">
        <v>5</v>
      </c>
      <c r="I4" s="43" t="s">
        <v>6</v>
      </c>
      <c r="J4" s="43" t="s">
        <v>9</v>
      </c>
      <c r="K4" s="43" t="s">
        <v>10</v>
      </c>
      <c r="L4" s="43" t="s">
        <v>11</v>
      </c>
      <c r="M4" s="43" t="s">
        <v>6</v>
      </c>
      <c r="N4" s="75" t="s">
        <v>12</v>
      </c>
      <c r="O4" s="42" t="s">
        <v>13</v>
      </c>
      <c r="P4" s="43" t="s">
        <v>14</v>
      </c>
      <c r="Q4" s="171" t="s">
        <v>15</v>
      </c>
      <c r="R4" s="232" t="s">
        <v>16</v>
      </c>
      <c r="S4" s="43" t="s">
        <v>17</v>
      </c>
      <c r="T4" s="43" t="s">
        <v>18</v>
      </c>
    </row>
    <row r="5" ht="38" customHeight="1" spans="1:20">
      <c r="A5" s="45"/>
      <c r="B5" s="43"/>
      <c r="C5" s="45"/>
      <c r="D5" s="45"/>
      <c r="E5" s="43"/>
      <c r="F5" s="43"/>
      <c r="G5" s="45"/>
      <c r="H5" s="45"/>
      <c r="I5" s="45"/>
      <c r="J5" s="45"/>
      <c r="K5" s="45"/>
      <c r="L5" s="45"/>
      <c r="M5" s="45"/>
      <c r="N5" s="77"/>
      <c r="O5" s="44"/>
      <c r="P5" s="45"/>
      <c r="Q5" s="172"/>
      <c r="R5" s="232"/>
      <c r="S5" s="43"/>
      <c r="T5" s="43"/>
    </row>
    <row r="6" ht="20" customHeight="1" spans="1:20">
      <c r="A6" s="218">
        <v>45748</v>
      </c>
      <c r="B6" s="219">
        <v>10982</v>
      </c>
      <c r="C6" s="219">
        <v>9627</v>
      </c>
      <c r="D6" s="219">
        <v>1054</v>
      </c>
      <c r="E6" s="220">
        <f t="shared" ref="E6:E11" si="0">D6/B6*100</f>
        <v>9.59752321981424</v>
      </c>
      <c r="F6" s="219">
        <v>9627</v>
      </c>
      <c r="G6" s="219">
        <v>9612</v>
      </c>
      <c r="H6" s="219">
        <v>15</v>
      </c>
      <c r="I6" s="220">
        <f t="shared" ref="I6:I11" si="1">H6/F6*100</f>
        <v>0.15581177937052</v>
      </c>
      <c r="J6" s="219">
        <v>9612</v>
      </c>
      <c r="K6" s="219">
        <v>9483</v>
      </c>
      <c r="L6" s="219">
        <v>129</v>
      </c>
      <c r="M6" s="220">
        <f t="shared" ref="M6:M11" si="2">L6/J6*100</f>
        <v>1.34207240948814</v>
      </c>
      <c r="N6" s="47">
        <v>6685</v>
      </c>
      <c r="O6" s="146">
        <v>1448</v>
      </c>
      <c r="P6" s="146">
        <f>D6+H6+L6+O6</f>
        <v>2646</v>
      </c>
      <c r="Q6" s="173">
        <f>O6/N6*100</f>
        <v>21.6604338070307</v>
      </c>
      <c r="R6" s="233" t="s">
        <v>19</v>
      </c>
      <c r="S6" s="233"/>
      <c r="T6" s="233"/>
    </row>
    <row r="7" spans="1:20">
      <c r="A7" s="218">
        <v>45749</v>
      </c>
      <c r="B7" s="219">
        <v>11054</v>
      </c>
      <c r="C7" s="219">
        <v>9907</v>
      </c>
      <c r="D7" s="219">
        <v>828</v>
      </c>
      <c r="E7" s="220">
        <f t="shared" si="0"/>
        <v>7.49050117604487</v>
      </c>
      <c r="F7" s="219">
        <v>9907</v>
      </c>
      <c r="G7" s="219">
        <v>9858</v>
      </c>
      <c r="H7" s="219">
        <v>49</v>
      </c>
      <c r="I7" s="220">
        <f t="shared" si="1"/>
        <v>0.494599777934794</v>
      </c>
      <c r="J7" s="219">
        <v>9858</v>
      </c>
      <c r="K7" s="219">
        <v>9767</v>
      </c>
      <c r="L7" s="219">
        <v>91</v>
      </c>
      <c r="M7" s="220">
        <f t="shared" si="2"/>
        <v>0.923108135524447</v>
      </c>
      <c r="N7" s="47">
        <v>9767</v>
      </c>
      <c r="O7" s="146">
        <v>140</v>
      </c>
      <c r="P7" s="146">
        <f>D7+H7+L7+O7</f>
        <v>1108</v>
      </c>
      <c r="Q7" s="173">
        <f>O7/N7*100</f>
        <v>1.4333981775366</v>
      </c>
      <c r="R7" s="209">
        <f>SUM(B6:B10)</f>
        <v>53701</v>
      </c>
      <c r="S7" s="129">
        <f>SUM(P6:P10)</f>
        <v>6932</v>
      </c>
      <c r="T7" s="210">
        <f>S7/R7*100</f>
        <v>12.9085119457738</v>
      </c>
    </row>
    <row r="8" spans="1:20">
      <c r="A8" s="218">
        <v>45750</v>
      </c>
      <c r="B8" s="219">
        <v>12039</v>
      </c>
      <c r="C8" s="219">
        <v>10946</v>
      </c>
      <c r="D8" s="219">
        <v>847</v>
      </c>
      <c r="E8" s="220">
        <f t="shared" si="0"/>
        <v>7.03546806213141</v>
      </c>
      <c r="F8" s="219">
        <v>10746</v>
      </c>
      <c r="G8" s="219">
        <v>10683</v>
      </c>
      <c r="H8" s="219">
        <v>63</v>
      </c>
      <c r="I8" s="220">
        <f t="shared" si="1"/>
        <v>0.586264656616415</v>
      </c>
      <c r="J8" s="219">
        <v>10683</v>
      </c>
      <c r="K8" s="219">
        <v>10632</v>
      </c>
      <c r="L8" s="219">
        <v>51</v>
      </c>
      <c r="M8" s="220">
        <f t="shared" si="2"/>
        <v>0.47739399045212</v>
      </c>
      <c r="N8" s="47">
        <v>4231</v>
      </c>
      <c r="O8" s="146">
        <v>99</v>
      </c>
      <c r="P8" s="146">
        <f>D8+H8+L8+O8</f>
        <v>1060</v>
      </c>
      <c r="Q8" s="173">
        <f t="shared" ref="Q8:Q19" si="3">O8/N8*100</f>
        <v>2.33987237059797</v>
      </c>
      <c r="R8" s="209"/>
      <c r="S8" s="129"/>
      <c r="T8" s="210"/>
    </row>
    <row r="9" spans="1:20">
      <c r="A9" s="218">
        <v>45751</v>
      </c>
      <c r="B9" s="219">
        <v>11041</v>
      </c>
      <c r="C9" s="219">
        <v>9573</v>
      </c>
      <c r="D9" s="219">
        <v>1117</v>
      </c>
      <c r="E9" s="220">
        <f t="shared" si="0"/>
        <v>10.1168372430034</v>
      </c>
      <c r="F9" s="219">
        <v>9573</v>
      </c>
      <c r="G9" s="219">
        <v>9555</v>
      </c>
      <c r="H9" s="219">
        <v>18</v>
      </c>
      <c r="I9" s="220">
        <f t="shared" si="1"/>
        <v>0.188028831087433</v>
      </c>
      <c r="J9" s="219">
        <v>9555</v>
      </c>
      <c r="K9" s="219">
        <v>9481</v>
      </c>
      <c r="L9" s="219">
        <v>74</v>
      </c>
      <c r="M9" s="220">
        <f t="shared" si="2"/>
        <v>0.774463631606489</v>
      </c>
      <c r="N9" s="47"/>
      <c r="O9" s="146"/>
      <c r="P9" s="146">
        <f>D9+H9+L9+O9</f>
        <v>1209</v>
      </c>
      <c r="Q9" s="173">
        <v>0</v>
      </c>
      <c r="R9" s="209"/>
      <c r="S9" s="129"/>
      <c r="T9" s="210"/>
    </row>
    <row r="10" spans="1:20">
      <c r="A10" s="218">
        <v>45752</v>
      </c>
      <c r="B10" s="219">
        <v>8585</v>
      </c>
      <c r="C10" s="219">
        <v>7801</v>
      </c>
      <c r="D10" s="219">
        <v>654</v>
      </c>
      <c r="E10" s="220">
        <f t="shared" si="0"/>
        <v>7.61793826441468</v>
      </c>
      <c r="F10" s="219">
        <v>7038</v>
      </c>
      <c r="G10" s="219">
        <v>7018</v>
      </c>
      <c r="H10" s="219">
        <v>20</v>
      </c>
      <c r="I10" s="220">
        <f t="shared" si="1"/>
        <v>0.284171639670361</v>
      </c>
      <c r="J10" s="219">
        <v>7018</v>
      </c>
      <c r="K10" s="219">
        <v>6963</v>
      </c>
      <c r="L10" s="219">
        <v>55</v>
      </c>
      <c r="M10" s="220">
        <f t="shared" si="2"/>
        <v>0.783699059561128</v>
      </c>
      <c r="N10" s="47">
        <v>6401</v>
      </c>
      <c r="O10" s="146">
        <v>180</v>
      </c>
      <c r="P10" s="146">
        <f>D10+H10+L10+O10</f>
        <v>909</v>
      </c>
      <c r="Q10" s="173">
        <f t="shared" si="3"/>
        <v>2.81206061552882</v>
      </c>
      <c r="R10" s="209"/>
      <c r="S10" s="129"/>
      <c r="T10" s="210"/>
    </row>
    <row r="11" spans="1:20">
      <c r="A11" s="221"/>
      <c r="B11" s="222">
        <f>SUM(B6:B10)</f>
        <v>53701</v>
      </c>
      <c r="C11" s="222">
        <f>SUM(C6:C10)</f>
        <v>47854</v>
      </c>
      <c r="D11" s="222">
        <f>SUM(D6:D10)</f>
        <v>4500</v>
      </c>
      <c r="E11" s="223">
        <f t="shared" si="0"/>
        <v>8.37973222100147</v>
      </c>
      <c r="F11" s="222">
        <f>SUM(F6:F10)</f>
        <v>46891</v>
      </c>
      <c r="G11" s="222">
        <f>SUM(G6:G10)</f>
        <v>46726</v>
      </c>
      <c r="H11" s="222">
        <f>SUM(H6:H10)</f>
        <v>165</v>
      </c>
      <c r="I11" s="223">
        <f t="shared" si="1"/>
        <v>0.351879891663645</v>
      </c>
      <c r="J11" s="222">
        <f t="shared" ref="J11:N11" si="4">SUM(J6:J10)</f>
        <v>46726</v>
      </c>
      <c r="K11" s="222">
        <f t="shared" si="4"/>
        <v>46326</v>
      </c>
      <c r="L11" s="222">
        <f t="shared" si="4"/>
        <v>400</v>
      </c>
      <c r="M11" s="223">
        <f t="shared" si="2"/>
        <v>0.856054445062706</v>
      </c>
      <c r="N11" s="228">
        <f>SUM(N6:N10)</f>
        <v>27084</v>
      </c>
      <c r="O11" s="228">
        <f>SUM(O6:O10)</f>
        <v>1867</v>
      </c>
      <c r="P11" s="228">
        <f>SUM(P6:P10)</f>
        <v>6932</v>
      </c>
      <c r="Q11" s="174">
        <f t="shared" si="3"/>
        <v>6.89336877861468</v>
      </c>
      <c r="R11" s="211"/>
      <c r="S11" s="80"/>
      <c r="T11" s="212"/>
    </row>
    <row r="12" ht="20" customHeight="1" spans="1:20">
      <c r="A12" s="224" t="s">
        <v>20</v>
      </c>
      <c r="B12" s="224"/>
      <c r="C12" s="224"/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9"/>
      <c r="O12" s="224"/>
      <c r="P12" s="224"/>
      <c r="Q12" s="224"/>
      <c r="R12" s="224"/>
      <c r="S12" s="224"/>
      <c r="T12" s="224"/>
    </row>
    <row r="13" ht="20" customHeight="1" spans="1:20">
      <c r="A13" s="218">
        <v>45754</v>
      </c>
      <c r="B13" s="219">
        <v>5230</v>
      </c>
      <c r="C13" s="219">
        <v>4553</v>
      </c>
      <c r="D13" s="219">
        <v>609</v>
      </c>
      <c r="E13" s="220">
        <f>D13/B13*100</f>
        <v>11.6443594646272</v>
      </c>
      <c r="F13" s="219">
        <v>4553</v>
      </c>
      <c r="G13" s="219">
        <v>4498</v>
      </c>
      <c r="H13" s="219">
        <v>55</v>
      </c>
      <c r="I13" s="220">
        <f t="shared" ref="I13:I19" si="5">H13/F13*100</f>
        <v>1.20799472875027</v>
      </c>
      <c r="J13" s="219">
        <v>4498</v>
      </c>
      <c r="K13" s="219">
        <v>4443</v>
      </c>
      <c r="L13" s="219">
        <v>55</v>
      </c>
      <c r="M13" s="220">
        <f t="shared" ref="M13:M19" si="6">L13/J13*100</f>
        <v>1.22276567363273</v>
      </c>
      <c r="N13" s="47">
        <v>6963</v>
      </c>
      <c r="O13" s="146">
        <v>87</v>
      </c>
      <c r="P13" s="146">
        <f t="shared" ref="P13:P18" si="7">D13+H13+L13+O13</f>
        <v>806</v>
      </c>
      <c r="Q13" s="173">
        <f t="shared" si="3"/>
        <v>1.2494614390349</v>
      </c>
      <c r="R13" s="233" t="s">
        <v>21</v>
      </c>
      <c r="S13" s="233"/>
      <c r="T13" s="233"/>
    </row>
    <row r="14" ht="20" customHeight="1" spans="1:20">
      <c r="A14" s="218">
        <v>45755</v>
      </c>
      <c r="B14" s="219">
        <v>10167</v>
      </c>
      <c r="C14" s="219">
        <v>9400</v>
      </c>
      <c r="D14" s="219">
        <v>680</v>
      </c>
      <c r="E14" s="220">
        <f>D14/B14*100</f>
        <v>6.68830530146553</v>
      </c>
      <c r="F14" s="219">
        <v>9400</v>
      </c>
      <c r="G14" s="219">
        <v>9326</v>
      </c>
      <c r="H14" s="219">
        <v>71</v>
      </c>
      <c r="I14" s="220">
        <f t="shared" si="5"/>
        <v>0.75531914893617</v>
      </c>
      <c r="J14" s="219">
        <v>9326</v>
      </c>
      <c r="K14" s="219">
        <v>9100</v>
      </c>
      <c r="L14" s="219">
        <v>226</v>
      </c>
      <c r="M14" s="220">
        <f t="shared" si="6"/>
        <v>2.42333261848595</v>
      </c>
      <c r="N14" s="47">
        <v>3590</v>
      </c>
      <c r="O14" s="146">
        <v>91</v>
      </c>
      <c r="P14" s="146">
        <f t="shared" si="7"/>
        <v>1068</v>
      </c>
      <c r="Q14" s="173">
        <f t="shared" si="3"/>
        <v>2.53481894150418</v>
      </c>
      <c r="R14" s="209">
        <f>SUM(B13:B18)</f>
        <v>56572</v>
      </c>
      <c r="S14" s="129">
        <f>SUM(P13:P18)</f>
        <v>4845</v>
      </c>
      <c r="T14" s="210">
        <f>S14/R14*100</f>
        <v>8.56430743123807</v>
      </c>
    </row>
    <row r="15" ht="20" customHeight="1" spans="1:20">
      <c r="A15" s="218">
        <v>45756</v>
      </c>
      <c r="B15" s="219">
        <v>9455</v>
      </c>
      <c r="C15" s="219">
        <v>8912</v>
      </c>
      <c r="D15" s="219">
        <v>297</v>
      </c>
      <c r="E15" s="220">
        <f t="shared" ref="E13:E19" si="8">D15/B15*100</f>
        <v>3.14119513484929</v>
      </c>
      <c r="F15" s="219">
        <v>8912</v>
      </c>
      <c r="G15" s="219">
        <v>8886</v>
      </c>
      <c r="H15" s="219">
        <v>26</v>
      </c>
      <c r="I15" s="220">
        <f t="shared" si="5"/>
        <v>0.291741472172352</v>
      </c>
      <c r="J15" s="219">
        <v>8886</v>
      </c>
      <c r="K15" s="219">
        <v>8820</v>
      </c>
      <c r="L15" s="219">
        <v>66</v>
      </c>
      <c r="M15" s="220">
        <f t="shared" si="6"/>
        <v>0.742741390952059</v>
      </c>
      <c r="N15" s="47">
        <v>5527</v>
      </c>
      <c r="O15" s="146">
        <v>170</v>
      </c>
      <c r="P15" s="146">
        <f t="shared" si="7"/>
        <v>559</v>
      </c>
      <c r="Q15" s="173">
        <f t="shared" si="3"/>
        <v>3.07580966166094</v>
      </c>
      <c r="R15" s="209"/>
      <c r="S15" s="129"/>
      <c r="T15" s="210"/>
    </row>
    <row r="16" ht="20" customHeight="1" spans="1:20">
      <c r="A16" s="218">
        <v>45757</v>
      </c>
      <c r="B16" s="219">
        <v>10959</v>
      </c>
      <c r="C16" s="219">
        <v>10350</v>
      </c>
      <c r="D16" s="219">
        <v>455</v>
      </c>
      <c r="E16" s="220">
        <f t="shared" si="8"/>
        <v>4.15183867141162</v>
      </c>
      <c r="F16" s="219">
        <v>10350</v>
      </c>
      <c r="G16" s="219">
        <v>10279</v>
      </c>
      <c r="H16" s="219">
        <v>71</v>
      </c>
      <c r="I16" s="220">
        <f t="shared" si="5"/>
        <v>0.685990338164251</v>
      </c>
      <c r="J16" s="219">
        <v>10279</v>
      </c>
      <c r="K16" s="219">
        <v>10159</v>
      </c>
      <c r="L16" s="219">
        <v>120</v>
      </c>
      <c r="M16" s="220">
        <f t="shared" si="6"/>
        <v>1.16742873820411</v>
      </c>
      <c r="N16" s="47">
        <v>9970</v>
      </c>
      <c r="O16" s="146">
        <v>220</v>
      </c>
      <c r="P16" s="146">
        <f t="shared" si="7"/>
        <v>866</v>
      </c>
      <c r="Q16" s="173">
        <f t="shared" si="3"/>
        <v>2.20661985957874</v>
      </c>
      <c r="R16" s="209"/>
      <c r="S16" s="129"/>
      <c r="T16" s="210"/>
    </row>
    <row r="17" ht="20" customHeight="1" spans="1:20">
      <c r="A17" s="218">
        <v>45758</v>
      </c>
      <c r="B17" s="219">
        <v>12959</v>
      </c>
      <c r="C17" s="219">
        <v>12214</v>
      </c>
      <c r="D17" s="219">
        <v>527</v>
      </c>
      <c r="E17" s="220">
        <f t="shared" si="8"/>
        <v>4.06667181109654</v>
      </c>
      <c r="F17" s="219">
        <v>12214</v>
      </c>
      <c r="G17" s="219">
        <v>12114</v>
      </c>
      <c r="H17" s="219">
        <v>100</v>
      </c>
      <c r="I17" s="220">
        <f t="shared" si="5"/>
        <v>0.818732601932209</v>
      </c>
      <c r="J17" s="219">
        <v>12114</v>
      </c>
      <c r="K17" s="219">
        <v>12058</v>
      </c>
      <c r="L17" s="219">
        <v>56</v>
      </c>
      <c r="M17" s="220">
        <f t="shared" si="6"/>
        <v>0.462275053656926</v>
      </c>
      <c r="N17" s="47">
        <v>9689</v>
      </c>
      <c r="O17" s="146">
        <v>139</v>
      </c>
      <c r="P17" s="146">
        <f t="shared" si="7"/>
        <v>822</v>
      </c>
      <c r="Q17" s="173">
        <f t="shared" si="3"/>
        <v>1.43461657549799</v>
      </c>
      <c r="R17" s="209"/>
      <c r="S17" s="129"/>
      <c r="T17" s="210"/>
    </row>
    <row r="18" ht="20" customHeight="1" spans="1:20">
      <c r="A18" s="218">
        <v>45759</v>
      </c>
      <c r="B18" s="219">
        <v>7802</v>
      </c>
      <c r="C18" s="219">
        <v>7250</v>
      </c>
      <c r="D18" s="219">
        <v>379</v>
      </c>
      <c r="E18" s="220">
        <f t="shared" si="8"/>
        <v>4.85772878749039</v>
      </c>
      <c r="F18" s="219">
        <v>7250</v>
      </c>
      <c r="G18" s="219">
        <v>7214</v>
      </c>
      <c r="H18" s="219">
        <v>36</v>
      </c>
      <c r="I18" s="220">
        <f t="shared" si="5"/>
        <v>0.496551724137931</v>
      </c>
      <c r="J18" s="219">
        <v>7214</v>
      </c>
      <c r="K18" s="219">
        <v>7148</v>
      </c>
      <c r="L18" s="219">
        <v>66</v>
      </c>
      <c r="M18" s="220">
        <f t="shared" si="6"/>
        <v>0.914887718325478</v>
      </c>
      <c r="N18" s="47">
        <v>12748</v>
      </c>
      <c r="O18" s="146">
        <v>243</v>
      </c>
      <c r="P18" s="146">
        <f t="shared" si="7"/>
        <v>724</v>
      </c>
      <c r="Q18" s="173">
        <f t="shared" si="3"/>
        <v>1.90618136178224</v>
      </c>
      <c r="R18" s="209"/>
      <c r="S18" s="129"/>
      <c r="T18" s="210"/>
    </row>
    <row r="19" ht="20" customHeight="1" spans="1:20">
      <c r="A19" s="221"/>
      <c r="B19" s="222">
        <f>SUM(B13:B18)</f>
        <v>56572</v>
      </c>
      <c r="C19" s="222">
        <f>SUM(C13:C18)</f>
        <v>52679</v>
      </c>
      <c r="D19" s="222">
        <f>SUM(D13:D18)</f>
        <v>2947</v>
      </c>
      <c r="E19" s="223">
        <f t="shared" si="8"/>
        <v>5.20929081524429</v>
      </c>
      <c r="F19" s="222">
        <f>SUM(F13:F18)</f>
        <v>52679</v>
      </c>
      <c r="G19" s="222">
        <f>SUM(G13:G18)</f>
        <v>52317</v>
      </c>
      <c r="H19" s="222">
        <f>SUM(H13:H18)</f>
        <v>359</v>
      </c>
      <c r="I19" s="223">
        <f t="shared" si="5"/>
        <v>0.681485981131001</v>
      </c>
      <c r="J19" s="222">
        <f t="shared" ref="J19:N19" si="9">SUM(J13:J18)</f>
        <v>52317</v>
      </c>
      <c r="K19" s="222">
        <f t="shared" si="9"/>
        <v>51728</v>
      </c>
      <c r="L19" s="222">
        <f t="shared" si="9"/>
        <v>589</v>
      </c>
      <c r="M19" s="223">
        <f t="shared" si="6"/>
        <v>1.12582908041363</v>
      </c>
      <c r="N19" s="228">
        <f>SUM(N13:N18)</f>
        <v>48487</v>
      </c>
      <c r="O19" s="228">
        <f>SUM(O13:O18)</f>
        <v>950</v>
      </c>
      <c r="P19" s="228">
        <f>SUM(P13:P18)</f>
        <v>4845</v>
      </c>
      <c r="Q19" s="174">
        <f t="shared" si="3"/>
        <v>1.95928805659249</v>
      </c>
      <c r="R19" s="211"/>
      <c r="S19" s="80"/>
      <c r="T19" s="212"/>
    </row>
    <row r="20" ht="20" customHeight="1" spans="1:20">
      <c r="A20" s="224" t="s">
        <v>20</v>
      </c>
      <c r="B20" s="224"/>
      <c r="C20" s="224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9"/>
      <c r="O20" s="224"/>
      <c r="P20" s="224"/>
      <c r="Q20" s="224"/>
      <c r="R20" s="224"/>
      <c r="S20" s="224"/>
      <c r="T20" s="224"/>
    </row>
    <row r="21" ht="20" customHeight="1" spans="1:20">
      <c r="A21" s="218">
        <v>45761</v>
      </c>
      <c r="B21" s="219">
        <v>7479</v>
      </c>
      <c r="C21" s="219">
        <v>6182</v>
      </c>
      <c r="D21" s="219">
        <v>1247</v>
      </c>
      <c r="E21" s="220">
        <f t="shared" ref="E21:E27" si="10">D21/B21*100</f>
        <v>16.6733520524134</v>
      </c>
      <c r="F21" s="219">
        <v>6152</v>
      </c>
      <c r="G21" s="219">
        <v>6088</v>
      </c>
      <c r="H21" s="219">
        <v>94</v>
      </c>
      <c r="I21" s="220">
        <f t="shared" ref="I21:I27" si="11">H21/F21*100</f>
        <v>1.52795838751626</v>
      </c>
      <c r="J21" s="219">
        <v>6088</v>
      </c>
      <c r="K21" s="219">
        <v>5967</v>
      </c>
      <c r="L21" s="219">
        <v>121</v>
      </c>
      <c r="M21" s="220">
        <f t="shared" ref="M21:M27" si="12">L21/J21*100</f>
        <v>1.98751642575558</v>
      </c>
      <c r="N21" s="47">
        <v>8733</v>
      </c>
      <c r="O21" s="146">
        <v>118</v>
      </c>
      <c r="P21" s="146">
        <f t="shared" ref="P21:P26" si="13">D21+H21+L21+O21</f>
        <v>1580</v>
      </c>
      <c r="Q21" s="173">
        <f t="shared" ref="Q21:Q27" si="14">O21/N21*100</f>
        <v>1.35119661055765</v>
      </c>
      <c r="R21" s="233" t="s">
        <v>22</v>
      </c>
      <c r="S21" s="233"/>
      <c r="T21" s="233"/>
    </row>
    <row r="22" ht="20" customHeight="1" spans="1:20">
      <c r="A22" s="218">
        <v>45762</v>
      </c>
      <c r="B22" s="219">
        <v>12492</v>
      </c>
      <c r="C22" s="219">
        <v>11557</v>
      </c>
      <c r="D22" s="219">
        <v>700</v>
      </c>
      <c r="E22" s="220">
        <f t="shared" si="10"/>
        <v>5.60358629522895</v>
      </c>
      <c r="F22" s="219">
        <v>11557</v>
      </c>
      <c r="G22" s="219">
        <v>11479</v>
      </c>
      <c r="H22" s="219">
        <v>78</v>
      </c>
      <c r="I22" s="220">
        <f t="shared" si="11"/>
        <v>0.674915635545557</v>
      </c>
      <c r="J22" s="219">
        <v>11479</v>
      </c>
      <c r="K22" s="219">
        <v>11376</v>
      </c>
      <c r="L22" s="219">
        <v>103</v>
      </c>
      <c r="M22" s="220">
        <f t="shared" si="12"/>
        <v>0.897290704765224</v>
      </c>
      <c r="N22" s="47">
        <v>4077</v>
      </c>
      <c r="O22" s="146">
        <v>294</v>
      </c>
      <c r="P22" s="146">
        <f t="shared" si="13"/>
        <v>1175</v>
      </c>
      <c r="Q22" s="173">
        <f t="shared" si="14"/>
        <v>7.2111846946284</v>
      </c>
      <c r="R22" s="209">
        <f>SUM(B21:B26)</f>
        <v>61231</v>
      </c>
      <c r="S22" s="129">
        <f>SUM(P21:P26)</f>
        <v>10531</v>
      </c>
      <c r="T22" s="210">
        <f>S22/R22*100</f>
        <v>17.1988045271186</v>
      </c>
    </row>
    <row r="23" ht="20" customHeight="1" spans="1:20">
      <c r="A23" s="218">
        <v>45763</v>
      </c>
      <c r="B23" s="219">
        <v>10594</v>
      </c>
      <c r="C23" s="219">
        <v>8339</v>
      </c>
      <c r="D23" s="225">
        <v>671</v>
      </c>
      <c r="E23" s="220">
        <f t="shared" si="10"/>
        <v>6.3337738342458</v>
      </c>
      <c r="F23" s="219">
        <v>8339</v>
      </c>
      <c r="G23" s="219">
        <v>8267</v>
      </c>
      <c r="H23" s="219">
        <v>57</v>
      </c>
      <c r="I23" s="220">
        <f t="shared" si="11"/>
        <v>0.683535196066675</v>
      </c>
      <c r="J23" s="219">
        <v>8267</v>
      </c>
      <c r="K23" s="219">
        <v>7477</v>
      </c>
      <c r="L23" s="219">
        <v>790</v>
      </c>
      <c r="M23" s="220">
        <f t="shared" si="12"/>
        <v>9.55606628764969</v>
      </c>
      <c r="N23" s="47">
        <v>5022</v>
      </c>
      <c r="O23" s="146">
        <v>95</v>
      </c>
      <c r="P23" s="146">
        <f t="shared" si="13"/>
        <v>1613</v>
      </c>
      <c r="Q23" s="173">
        <f t="shared" si="14"/>
        <v>1.89167662285942</v>
      </c>
      <c r="R23" s="209"/>
      <c r="S23" s="129"/>
      <c r="T23" s="210"/>
    </row>
    <row r="24" ht="20" customHeight="1" spans="1:20">
      <c r="A24" s="218">
        <v>45764</v>
      </c>
      <c r="B24" s="219">
        <v>11049</v>
      </c>
      <c r="C24" s="219">
        <v>10209</v>
      </c>
      <c r="D24" s="219">
        <v>680</v>
      </c>
      <c r="E24" s="220">
        <f t="shared" si="10"/>
        <v>6.15440311340393</v>
      </c>
      <c r="F24" s="219">
        <v>10209</v>
      </c>
      <c r="G24" s="219">
        <v>10104</v>
      </c>
      <c r="H24" s="219">
        <v>105</v>
      </c>
      <c r="I24" s="220">
        <f t="shared" si="11"/>
        <v>1.02850426094622</v>
      </c>
      <c r="J24" s="219">
        <v>10104</v>
      </c>
      <c r="K24" s="219">
        <v>8874</v>
      </c>
      <c r="L24" s="219">
        <v>1230</v>
      </c>
      <c r="M24" s="220">
        <f t="shared" si="12"/>
        <v>12.1733966745843</v>
      </c>
      <c r="N24" s="47">
        <v>11917</v>
      </c>
      <c r="O24" s="146">
        <v>224</v>
      </c>
      <c r="P24" s="146">
        <f t="shared" si="13"/>
        <v>2239</v>
      </c>
      <c r="Q24" s="173">
        <f t="shared" si="14"/>
        <v>1.87966770160275</v>
      </c>
      <c r="R24" s="209"/>
      <c r="S24" s="129"/>
      <c r="T24" s="210"/>
    </row>
    <row r="25" ht="20" customHeight="1" spans="1:20">
      <c r="A25" s="218">
        <v>45765</v>
      </c>
      <c r="B25" s="219">
        <v>9273</v>
      </c>
      <c r="C25" s="219">
        <v>8453</v>
      </c>
      <c r="D25" s="219">
        <v>722</v>
      </c>
      <c r="E25" s="220">
        <f t="shared" si="10"/>
        <v>7.78604550846544</v>
      </c>
      <c r="F25" s="219">
        <v>8453</v>
      </c>
      <c r="G25" s="219">
        <v>8390</v>
      </c>
      <c r="H25" s="219">
        <v>63</v>
      </c>
      <c r="I25" s="220">
        <f t="shared" si="11"/>
        <v>0.745297527505028</v>
      </c>
      <c r="J25" s="219">
        <v>8390</v>
      </c>
      <c r="K25" s="219">
        <v>6557</v>
      </c>
      <c r="L25" s="219">
        <v>1833</v>
      </c>
      <c r="M25" s="220">
        <f t="shared" si="12"/>
        <v>21.8474374255066</v>
      </c>
      <c r="N25" s="47">
        <v>16314</v>
      </c>
      <c r="O25" s="146">
        <v>261</v>
      </c>
      <c r="P25" s="146">
        <f t="shared" si="13"/>
        <v>2879</v>
      </c>
      <c r="Q25" s="173">
        <f t="shared" si="14"/>
        <v>1.59985288709084</v>
      </c>
      <c r="R25" s="209"/>
      <c r="S25" s="129"/>
      <c r="T25" s="210"/>
    </row>
    <row r="26" ht="20" customHeight="1" spans="1:20">
      <c r="A26" s="218">
        <v>45766</v>
      </c>
      <c r="B26" s="219">
        <v>10344</v>
      </c>
      <c r="C26" s="219">
        <v>9612</v>
      </c>
      <c r="D26" s="219">
        <v>420</v>
      </c>
      <c r="E26" s="220">
        <f t="shared" si="10"/>
        <v>4.06032482598608</v>
      </c>
      <c r="F26" s="219">
        <v>10889</v>
      </c>
      <c r="G26" s="219">
        <v>10794</v>
      </c>
      <c r="H26" s="219">
        <v>95</v>
      </c>
      <c r="I26" s="220">
        <f t="shared" si="11"/>
        <v>0.87244007714207</v>
      </c>
      <c r="J26" s="219">
        <v>10794</v>
      </c>
      <c r="K26" s="219">
        <v>9967</v>
      </c>
      <c r="L26" s="219">
        <v>143</v>
      </c>
      <c r="M26" s="220">
        <f t="shared" si="12"/>
        <v>1.32481007967389</v>
      </c>
      <c r="N26" s="47">
        <v>4646</v>
      </c>
      <c r="O26" s="146">
        <v>387</v>
      </c>
      <c r="P26" s="146">
        <f t="shared" si="13"/>
        <v>1045</v>
      </c>
      <c r="Q26" s="173">
        <f t="shared" si="14"/>
        <v>8.32974601808007</v>
      </c>
      <c r="R26" s="209"/>
      <c r="S26" s="129"/>
      <c r="T26" s="210"/>
    </row>
    <row r="27" ht="20" customHeight="1" spans="1:20">
      <c r="A27" s="221"/>
      <c r="B27" s="222">
        <f>SUM(B21:B26)</f>
        <v>61231</v>
      </c>
      <c r="C27" s="222">
        <f t="shared" ref="B27:H27" si="15">SUM(C21:C26)</f>
        <v>54352</v>
      </c>
      <c r="D27" s="222">
        <f t="shared" si="15"/>
        <v>4440</v>
      </c>
      <c r="E27" s="223">
        <f t="shared" si="10"/>
        <v>7.2512289526547</v>
      </c>
      <c r="F27" s="222">
        <f>SUM(F21:F26)</f>
        <v>55599</v>
      </c>
      <c r="G27" s="222">
        <f t="shared" si="15"/>
        <v>55122</v>
      </c>
      <c r="H27" s="222">
        <f t="shared" si="15"/>
        <v>492</v>
      </c>
      <c r="I27" s="223">
        <f t="shared" si="11"/>
        <v>0.884908001942481</v>
      </c>
      <c r="J27" s="222">
        <f>SUM(J21:J26)</f>
        <v>55122</v>
      </c>
      <c r="K27" s="222">
        <f t="shared" ref="J27:L27" si="16">SUM(K21:K26)</f>
        <v>50218</v>
      </c>
      <c r="L27" s="222">
        <f t="shared" si="16"/>
        <v>4220</v>
      </c>
      <c r="M27" s="223">
        <f t="shared" si="12"/>
        <v>7.65574543739342</v>
      </c>
      <c r="N27" s="222">
        <f>SUM(N21:N26)</f>
        <v>50709</v>
      </c>
      <c r="O27" s="228">
        <f>SUM(O21:O26)</f>
        <v>1379</v>
      </c>
      <c r="P27" s="228">
        <f>SUM(P21:P26)</f>
        <v>10531</v>
      </c>
      <c r="Q27" s="174">
        <f t="shared" si="14"/>
        <v>2.7194383639985</v>
      </c>
      <c r="R27" s="211"/>
      <c r="S27" s="80"/>
      <c r="T27" s="212"/>
    </row>
    <row r="28" ht="20" customHeight="1" spans="1:20">
      <c r="A28" s="224" t="s">
        <v>20</v>
      </c>
      <c r="B28" s="224"/>
      <c r="C28" s="224"/>
      <c r="D28" s="224"/>
      <c r="E28" s="224"/>
      <c r="F28" s="224"/>
      <c r="G28" s="224"/>
      <c r="H28" s="224"/>
      <c r="I28" s="224"/>
      <c r="J28" s="224"/>
      <c r="K28" s="224"/>
      <c r="L28" s="224"/>
      <c r="M28" s="224"/>
      <c r="N28" s="229"/>
      <c r="O28" s="224"/>
      <c r="P28" s="224"/>
      <c r="Q28" s="224"/>
      <c r="R28" s="224"/>
      <c r="S28" s="224"/>
      <c r="T28" s="224"/>
    </row>
    <row r="29" ht="20" customHeight="1" spans="1:20">
      <c r="A29" s="218">
        <v>45768</v>
      </c>
      <c r="B29" s="219">
        <v>0</v>
      </c>
      <c r="C29" s="219">
        <v>0</v>
      </c>
      <c r="D29" s="219">
        <v>0</v>
      </c>
      <c r="E29" s="220" t="e">
        <f t="shared" ref="E29:E38" si="17">D29/B29*100</f>
        <v>#DIV/0!</v>
      </c>
      <c r="F29" s="219">
        <v>0</v>
      </c>
      <c r="G29" s="219">
        <v>0</v>
      </c>
      <c r="H29" s="219">
        <v>0</v>
      </c>
      <c r="I29" s="220" t="e">
        <f t="shared" ref="I29:I38" si="18">H29/F29*100</f>
        <v>#DIV/0!</v>
      </c>
      <c r="J29" s="219">
        <v>0</v>
      </c>
      <c r="K29" s="219">
        <v>0</v>
      </c>
      <c r="L29" s="219">
        <v>0</v>
      </c>
      <c r="M29" s="220" t="e">
        <f t="shared" ref="M29:M38" si="19">L29/J29*100</f>
        <v>#DIV/0!</v>
      </c>
      <c r="N29" s="47">
        <v>8720</v>
      </c>
      <c r="O29" s="146">
        <v>257</v>
      </c>
      <c r="P29" s="146">
        <f t="shared" ref="P29:P34" si="20">D29+H29+L29+O29</f>
        <v>257</v>
      </c>
      <c r="Q29" s="173">
        <f t="shared" ref="Q29:Q35" si="21">O29/N29*100</f>
        <v>2.94724770642202</v>
      </c>
      <c r="R29" s="234" t="s">
        <v>23</v>
      </c>
      <c r="S29" s="234"/>
      <c r="T29" s="234"/>
    </row>
    <row r="30" ht="20" customHeight="1" spans="1:20">
      <c r="A30" s="218">
        <v>45769</v>
      </c>
      <c r="B30" s="219">
        <v>9439</v>
      </c>
      <c r="C30" s="219">
        <v>7281</v>
      </c>
      <c r="D30" s="219">
        <v>291</v>
      </c>
      <c r="E30" s="220">
        <f t="shared" si="17"/>
        <v>3.08295370272275</v>
      </c>
      <c r="F30" s="219">
        <v>7281</v>
      </c>
      <c r="G30" s="219">
        <v>7244</v>
      </c>
      <c r="H30" s="219">
        <v>37</v>
      </c>
      <c r="I30" s="220">
        <f t="shared" si="18"/>
        <v>0.508171954401868</v>
      </c>
      <c r="J30" s="219">
        <v>7244</v>
      </c>
      <c r="K30" s="219">
        <v>7177</v>
      </c>
      <c r="L30" s="219">
        <v>67</v>
      </c>
      <c r="M30" s="220">
        <f t="shared" si="19"/>
        <v>0.924903368304804</v>
      </c>
      <c r="N30" s="230">
        <v>15357</v>
      </c>
      <c r="O30" s="231">
        <v>262</v>
      </c>
      <c r="P30" s="146">
        <f t="shared" si="20"/>
        <v>657</v>
      </c>
      <c r="Q30" s="173">
        <f t="shared" si="21"/>
        <v>1.70606238197565</v>
      </c>
      <c r="R30" s="191">
        <f>SUM(B29:B34)</f>
        <v>46816</v>
      </c>
      <c r="S30" s="89">
        <f>SUM(P29:P34)</f>
        <v>6286</v>
      </c>
      <c r="T30" s="125">
        <f>S30/R30*100</f>
        <v>13.427033492823</v>
      </c>
    </row>
    <row r="31" ht="20" customHeight="1" spans="1:20">
      <c r="A31" s="218">
        <v>45770</v>
      </c>
      <c r="B31" s="219">
        <v>8884</v>
      </c>
      <c r="C31" s="219">
        <v>7370</v>
      </c>
      <c r="D31" s="219">
        <v>414</v>
      </c>
      <c r="E31" s="220">
        <f t="shared" si="17"/>
        <v>4.66006303466907</v>
      </c>
      <c r="F31" s="219">
        <v>7370</v>
      </c>
      <c r="G31" s="219">
        <v>7220</v>
      </c>
      <c r="H31" s="219">
        <v>150</v>
      </c>
      <c r="I31" s="220">
        <f t="shared" si="18"/>
        <v>2.03527815468114</v>
      </c>
      <c r="J31" s="219">
        <v>7220</v>
      </c>
      <c r="K31" s="219">
        <v>7143</v>
      </c>
      <c r="L31" s="219">
        <v>77</v>
      </c>
      <c r="M31" s="220">
        <f t="shared" si="19"/>
        <v>1.06648199445983</v>
      </c>
      <c r="N31" s="230">
        <v>11881</v>
      </c>
      <c r="O31" s="231">
        <v>85</v>
      </c>
      <c r="P31" s="146">
        <f t="shared" si="20"/>
        <v>726</v>
      </c>
      <c r="Q31" s="173">
        <f t="shared" si="21"/>
        <v>0.715427994276576</v>
      </c>
      <c r="R31" s="192"/>
      <c r="S31" s="85"/>
      <c r="T31" s="126"/>
    </row>
    <row r="32" ht="20" customHeight="1" spans="1:20">
      <c r="A32" s="218">
        <v>45771</v>
      </c>
      <c r="B32" s="219">
        <v>9929</v>
      </c>
      <c r="C32" s="219">
        <v>6878</v>
      </c>
      <c r="D32" s="219">
        <v>1153</v>
      </c>
      <c r="E32" s="220">
        <f t="shared" si="17"/>
        <v>11.612448383523</v>
      </c>
      <c r="F32" s="219">
        <v>6878</v>
      </c>
      <c r="G32" s="219">
        <v>6755</v>
      </c>
      <c r="H32" s="219">
        <v>123</v>
      </c>
      <c r="I32" s="220">
        <f t="shared" si="18"/>
        <v>1.78831055539401</v>
      </c>
      <c r="J32" s="219">
        <v>6755</v>
      </c>
      <c r="K32" s="219">
        <v>6694</v>
      </c>
      <c r="L32" s="219">
        <v>61</v>
      </c>
      <c r="M32" s="220">
        <f t="shared" si="19"/>
        <v>0.903034789045152</v>
      </c>
      <c r="N32" s="230">
        <v>12095</v>
      </c>
      <c r="O32" s="231">
        <v>204</v>
      </c>
      <c r="P32" s="146">
        <f t="shared" si="20"/>
        <v>1541</v>
      </c>
      <c r="Q32" s="173">
        <f t="shared" si="21"/>
        <v>1.68664737494833</v>
      </c>
      <c r="R32" s="192"/>
      <c r="S32" s="85"/>
      <c r="T32" s="126"/>
    </row>
    <row r="33" ht="20" customHeight="1" spans="1:20">
      <c r="A33" s="218">
        <v>45772</v>
      </c>
      <c r="B33" s="219">
        <v>10020</v>
      </c>
      <c r="C33" s="219">
        <v>8614</v>
      </c>
      <c r="D33" s="219">
        <v>965</v>
      </c>
      <c r="E33" s="220">
        <f t="shared" si="17"/>
        <v>9.63073852295409</v>
      </c>
      <c r="F33" s="219">
        <v>8614</v>
      </c>
      <c r="G33" s="219">
        <v>8485</v>
      </c>
      <c r="H33" s="219">
        <v>129</v>
      </c>
      <c r="I33" s="220">
        <f t="shared" si="18"/>
        <v>1.49756210819596</v>
      </c>
      <c r="J33" s="219">
        <v>8485</v>
      </c>
      <c r="K33" s="219">
        <v>8425</v>
      </c>
      <c r="L33" s="219">
        <v>60</v>
      </c>
      <c r="M33" s="220">
        <f t="shared" si="19"/>
        <v>0.707130229817325</v>
      </c>
      <c r="N33" s="230">
        <v>8544</v>
      </c>
      <c r="O33" s="231">
        <v>49</v>
      </c>
      <c r="P33" s="146">
        <f t="shared" si="20"/>
        <v>1203</v>
      </c>
      <c r="Q33" s="173">
        <f t="shared" si="21"/>
        <v>0.573501872659176</v>
      </c>
      <c r="R33" s="192"/>
      <c r="S33" s="85"/>
      <c r="T33" s="126"/>
    </row>
    <row r="34" ht="20" customHeight="1" spans="1:20">
      <c r="A34" s="218">
        <v>45773</v>
      </c>
      <c r="B34" s="219">
        <v>8544</v>
      </c>
      <c r="C34" s="219">
        <v>5986</v>
      </c>
      <c r="D34" s="219">
        <v>1573</v>
      </c>
      <c r="E34" s="220">
        <f t="shared" si="17"/>
        <v>18.4105805243446</v>
      </c>
      <c r="F34" s="219">
        <v>5986</v>
      </c>
      <c r="G34" s="219">
        <v>5937</v>
      </c>
      <c r="H34" s="219">
        <v>49</v>
      </c>
      <c r="I34" s="220">
        <f t="shared" si="18"/>
        <v>0.818576678917474</v>
      </c>
      <c r="J34" s="219">
        <v>5937</v>
      </c>
      <c r="K34" s="219">
        <v>5887</v>
      </c>
      <c r="L34" s="219">
        <v>58</v>
      </c>
      <c r="M34" s="220">
        <f t="shared" si="19"/>
        <v>0.976924372578743</v>
      </c>
      <c r="N34" s="230">
        <v>9758</v>
      </c>
      <c r="O34" s="231">
        <v>222</v>
      </c>
      <c r="P34" s="146">
        <f t="shared" si="20"/>
        <v>1902</v>
      </c>
      <c r="Q34" s="173">
        <f t="shared" si="21"/>
        <v>2.27505636400902</v>
      </c>
      <c r="R34" s="192"/>
      <c r="S34" s="85"/>
      <c r="T34" s="126"/>
    </row>
    <row r="35" ht="20" customHeight="1" spans="1:20">
      <c r="A35" s="221"/>
      <c r="B35" s="222">
        <f>SUM(B29:B34)</f>
        <v>46816</v>
      </c>
      <c r="C35" s="222">
        <f>SUM(C29:C34)</f>
        <v>36129</v>
      </c>
      <c r="D35" s="222">
        <f t="shared" ref="B35:H35" si="22">SUM(D29:D34)</f>
        <v>4396</v>
      </c>
      <c r="E35" s="223">
        <f t="shared" si="17"/>
        <v>9.38995215311005</v>
      </c>
      <c r="F35" s="222">
        <f>SUM(F29:F34)</f>
        <v>36129</v>
      </c>
      <c r="G35" s="222">
        <f t="shared" si="22"/>
        <v>35641</v>
      </c>
      <c r="H35" s="222">
        <f t="shared" si="22"/>
        <v>488</v>
      </c>
      <c r="I35" s="223">
        <f t="shared" si="18"/>
        <v>1.35071549171026</v>
      </c>
      <c r="J35" s="222">
        <f t="shared" ref="J35:L35" si="23">SUM(J29:J34)</f>
        <v>35641</v>
      </c>
      <c r="K35" s="222">
        <f t="shared" si="23"/>
        <v>35326</v>
      </c>
      <c r="L35" s="222">
        <f t="shared" si="23"/>
        <v>323</v>
      </c>
      <c r="M35" s="223">
        <f t="shared" si="19"/>
        <v>0.906259644791111</v>
      </c>
      <c r="N35" s="228">
        <f>SUM(N29:N34)</f>
        <v>66355</v>
      </c>
      <c r="O35" s="228">
        <f>SUM(O29:O34)</f>
        <v>1079</v>
      </c>
      <c r="P35" s="228">
        <f>SUM(P29:P34)</f>
        <v>6286</v>
      </c>
      <c r="Q35" s="174">
        <f t="shared" si="21"/>
        <v>1.62610202697611</v>
      </c>
      <c r="R35" s="235"/>
      <c r="S35" s="128"/>
      <c r="T35" s="236"/>
    </row>
    <row r="36" ht="20" customHeight="1" spans="1:20">
      <c r="A36" s="224" t="s">
        <v>20</v>
      </c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9"/>
      <c r="O36" s="224"/>
      <c r="P36" s="224"/>
      <c r="Q36" s="224"/>
      <c r="R36" s="224"/>
      <c r="S36" s="224"/>
      <c r="T36" s="224"/>
    </row>
    <row r="37" ht="20" customHeight="1" spans="1:20">
      <c r="A37" s="218">
        <v>45775</v>
      </c>
      <c r="B37" s="219">
        <v>9730</v>
      </c>
      <c r="C37" s="219">
        <v>8183</v>
      </c>
      <c r="D37" s="219">
        <v>926</v>
      </c>
      <c r="E37" s="220">
        <f t="shared" ref="E37:E41" si="24">D37/B37*100</f>
        <v>9.5169578622816</v>
      </c>
      <c r="F37" s="219">
        <v>8183</v>
      </c>
      <c r="G37" s="219">
        <v>7955</v>
      </c>
      <c r="H37" s="219">
        <v>228</v>
      </c>
      <c r="I37" s="220">
        <f t="shared" ref="I37:I41" si="25">H37/F37*100</f>
        <v>2.78626420628132</v>
      </c>
      <c r="J37" s="219">
        <v>7955</v>
      </c>
      <c r="K37" s="219">
        <v>7640</v>
      </c>
      <c r="L37" s="219">
        <v>315</v>
      </c>
      <c r="M37" s="220">
        <f t="shared" ref="M37:M41" si="26">L37/J37*100</f>
        <v>3.95977372721559</v>
      </c>
      <c r="N37" s="47">
        <v>10039</v>
      </c>
      <c r="O37" s="146">
        <v>223</v>
      </c>
      <c r="P37" s="146">
        <f>D37+H37+L37+O37</f>
        <v>1692</v>
      </c>
      <c r="Q37" s="173">
        <f t="shared" ref="Q37:Q41" si="27">O37/N37*100</f>
        <v>2.22133678653252</v>
      </c>
      <c r="R37" s="234" t="s">
        <v>24</v>
      </c>
      <c r="S37" s="234"/>
      <c r="T37" s="234"/>
    </row>
    <row r="38" ht="20" customHeight="1" spans="1:20">
      <c r="A38" s="218">
        <v>45776</v>
      </c>
      <c r="B38" s="219">
        <v>9468</v>
      </c>
      <c r="C38" s="219">
        <v>8788</v>
      </c>
      <c r="D38" s="219">
        <v>354</v>
      </c>
      <c r="E38" s="220">
        <f t="shared" si="24"/>
        <v>3.73891001267427</v>
      </c>
      <c r="F38" s="219">
        <v>8788</v>
      </c>
      <c r="G38" s="219">
        <v>8723</v>
      </c>
      <c r="H38" s="219">
        <v>65</v>
      </c>
      <c r="I38" s="220">
        <f t="shared" si="25"/>
        <v>0.739644970414201</v>
      </c>
      <c r="J38" s="219">
        <v>8723</v>
      </c>
      <c r="K38" s="219">
        <v>8597</v>
      </c>
      <c r="L38" s="219">
        <v>126</v>
      </c>
      <c r="M38" s="220">
        <f t="shared" si="26"/>
        <v>1.4444571821621</v>
      </c>
      <c r="N38" s="47">
        <v>10651</v>
      </c>
      <c r="O38" s="146">
        <v>88</v>
      </c>
      <c r="P38" s="146">
        <f>D38+H38+L38+O38</f>
        <v>633</v>
      </c>
      <c r="Q38" s="173">
        <f t="shared" si="27"/>
        <v>0.826213501079711</v>
      </c>
      <c r="R38" s="191">
        <f>SUM(B37:B39)</f>
        <v>29447</v>
      </c>
      <c r="S38" s="89">
        <f>SUM(P37:P39)</f>
        <v>4588</v>
      </c>
      <c r="T38" s="125">
        <f>S38/R38*100</f>
        <v>15.5805345196455</v>
      </c>
    </row>
    <row r="39" ht="20" customHeight="1" spans="1:20">
      <c r="A39" s="218">
        <v>45777</v>
      </c>
      <c r="B39" s="219">
        <v>10249</v>
      </c>
      <c r="C39" s="219">
        <v>7811</v>
      </c>
      <c r="D39" s="219">
        <v>1708</v>
      </c>
      <c r="E39" s="220">
        <f t="shared" si="24"/>
        <v>16.6650404917553</v>
      </c>
      <c r="F39" s="219">
        <v>7811</v>
      </c>
      <c r="G39" s="219">
        <v>7698</v>
      </c>
      <c r="H39" s="219">
        <v>113</v>
      </c>
      <c r="I39" s="220">
        <f t="shared" si="25"/>
        <v>1.44667776213033</v>
      </c>
      <c r="J39" s="219">
        <v>7698</v>
      </c>
      <c r="K39" s="219">
        <v>7570</v>
      </c>
      <c r="L39" s="219">
        <v>128</v>
      </c>
      <c r="M39" s="220">
        <f t="shared" si="26"/>
        <v>1.66276955053261</v>
      </c>
      <c r="N39" s="47">
        <v>7570</v>
      </c>
      <c r="O39" s="146">
        <v>314</v>
      </c>
      <c r="P39" s="146">
        <f>D39+H39+L39+O39</f>
        <v>2263</v>
      </c>
      <c r="Q39" s="173">
        <f t="shared" si="27"/>
        <v>4.14795244385733</v>
      </c>
      <c r="R39" s="192"/>
      <c r="S39" s="85"/>
      <c r="T39" s="126"/>
    </row>
    <row r="40" ht="20" customHeight="1" spans="1:20">
      <c r="A40" s="221"/>
      <c r="B40" s="222">
        <f>SUM(B37:B39)</f>
        <v>29447</v>
      </c>
      <c r="C40" s="222">
        <f>SUM(C37:C39)</f>
        <v>24782</v>
      </c>
      <c r="D40" s="222">
        <f>SUM(D37:D39)</f>
        <v>2988</v>
      </c>
      <c r="E40" s="223">
        <f t="shared" si="24"/>
        <v>10.1470438414779</v>
      </c>
      <c r="F40" s="222">
        <f>SUM(F37:F39)</f>
        <v>24782</v>
      </c>
      <c r="G40" s="222">
        <f>SUM(G37:G39)</f>
        <v>24376</v>
      </c>
      <c r="H40" s="222">
        <f>SUM(H37:H39)</f>
        <v>406</v>
      </c>
      <c r="I40" s="223">
        <f t="shared" si="25"/>
        <v>1.63828585263498</v>
      </c>
      <c r="J40" s="222">
        <f>SUM(J37:J39)</f>
        <v>24376</v>
      </c>
      <c r="K40" s="222">
        <f>SUM(K37:K39)</f>
        <v>23807</v>
      </c>
      <c r="L40" s="222">
        <f>SUM(L37:L39)</f>
        <v>569</v>
      </c>
      <c r="M40" s="223">
        <f t="shared" si="26"/>
        <v>2.33426320971447</v>
      </c>
      <c r="N40" s="228">
        <f>SUM(N37:N39)</f>
        <v>28260</v>
      </c>
      <c r="O40" s="228">
        <f>SUM(O37:O39)</f>
        <v>625</v>
      </c>
      <c r="P40" s="228">
        <f>SUM(P37:P39)</f>
        <v>4588</v>
      </c>
      <c r="Q40" s="174">
        <f t="shared" si="27"/>
        <v>2.21160651096957</v>
      </c>
      <c r="R40" s="192"/>
      <c r="S40" s="85"/>
      <c r="T40" s="126"/>
    </row>
    <row r="41" ht="20" customHeight="1" spans="1:20">
      <c r="A41" s="122" t="s">
        <v>25</v>
      </c>
      <c r="B41" s="204">
        <f>B40+B35+B27+B19+B11</f>
        <v>247767</v>
      </c>
      <c r="C41" s="204">
        <f>C40+C35+C27+C19+C11</f>
        <v>215796</v>
      </c>
      <c r="D41" s="204">
        <f>D40+D35+D27+D19+D11</f>
        <v>19271</v>
      </c>
      <c r="E41" s="214">
        <f t="shared" si="24"/>
        <v>7.77787195227774</v>
      </c>
      <c r="F41" s="204">
        <f>F40+F35+F27+F19+F11</f>
        <v>216080</v>
      </c>
      <c r="G41" s="204">
        <f t="shared" ref="G41:L41" si="28">G40+G35+G27+G19+G11</f>
        <v>214182</v>
      </c>
      <c r="H41" s="204">
        <f t="shared" si="28"/>
        <v>1910</v>
      </c>
      <c r="I41" s="214">
        <f t="shared" si="25"/>
        <v>0.883931877082562</v>
      </c>
      <c r="J41" s="204">
        <f t="shared" si="28"/>
        <v>214182</v>
      </c>
      <c r="K41" s="204">
        <f t="shared" si="28"/>
        <v>207405</v>
      </c>
      <c r="L41" s="204">
        <f t="shared" si="28"/>
        <v>6101</v>
      </c>
      <c r="M41" s="214">
        <f t="shared" si="26"/>
        <v>2.8485120131477</v>
      </c>
      <c r="N41" s="68">
        <f>N40+N35+N27+N19+N11</f>
        <v>220895</v>
      </c>
      <c r="O41" s="68">
        <f>O40+O35+O27+O19+O11</f>
        <v>5900</v>
      </c>
      <c r="P41" s="68">
        <f>D41+H41+L41+O41</f>
        <v>33182</v>
      </c>
      <c r="Q41" s="237">
        <f t="shared" si="27"/>
        <v>2.67095226238711</v>
      </c>
      <c r="R41" s="193"/>
      <c r="S41" s="87"/>
      <c r="T41" s="127"/>
    </row>
  </sheetData>
  <mergeCells count="47">
    <mergeCell ref="A3:T3"/>
    <mergeCell ref="R6:T6"/>
    <mergeCell ref="A12:T12"/>
    <mergeCell ref="R13:T13"/>
    <mergeCell ref="A20:T20"/>
    <mergeCell ref="R21:T21"/>
    <mergeCell ref="A28:T28"/>
    <mergeCell ref="R29:T29"/>
    <mergeCell ref="A36:T36"/>
    <mergeCell ref="R37:T37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R7:R11"/>
    <mergeCell ref="R14:R19"/>
    <mergeCell ref="R22:R27"/>
    <mergeCell ref="R30:R35"/>
    <mergeCell ref="R38:R41"/>
    <mergeCell ref="S4:S5"/>
    <mergeCell ref="S7:S11"/>
    <mergeCell ref="S14:S19"/>
    <mergeCell ref="S22:S27"/>
    <mergeCell ref="S30:S35"/>
    <mergeCell ref="S38:S41"/>
    <mergeCell ref="T4:T5"/>
    <mergeCell ref="T7:T11"/>
    <mergeCell ref="T14:T19"/>
    <mergeCell ref="T22:T27"/>
    <mergeCell ref="T30:T35"/>
    <mergeCell ref="T38:T41"/>
    <mergeCell ref="A1:B2"/>
    <mergeCell ref="C1:T2"/>
  </mergeCells>
  <pageMargins left="0.251388888888889" right="0.251388888888889" top="0.251388888888889" bottom="0.251388888888889" header="0.251388888888889" footer="0.251388888888889"/>
  <pageSetup paperSize="9" scale="6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42"/>
  <sheetViews>
    <sheetView topLeftCell="A3" workbookViewId="0">
      <pane xSplit="1" ySplit="3" topLeftCell="B19" activePane="bottomRight" state="frozen"/>
      <selection/>
      <selection pane="topRight"/>
      <selection pane="bottomLeft"/>
      <selection pane="bottomRight" activeCell="A1" sqref="A1:B2"/>
    </sheetView>
  </sheetViews>
  <sheetFormatPr defaultColWidth="9" defaultRowHeight="15"/>
  <cols>
    <col min="1" max="1" width="11.1428571428571"/>
    <col min="2" max="2" width="7.57142857142857" customWidth="1"/>
    <col min="3" max="3" width="9.71428571428571" customWidth="1"/>
    <col min="5" max="6" width="9.57142857142857" customWidth="1"/>
    <col min="7" max="7" width="9.42857142857143" customWidth="1"/>
    <col min="9" max="9" width="12.8571428571429"/>
    <col min="10" max="10" width="10.4285714285714" customWidth="1"/>
    <col min="11" max="11" width="11.8571428571429" customWidth="1"/>
    <col min="12" max="12" width="10.8571428571429" customWidth="1"/>
    <col min="13" max="13" width="12.8571428571429"/>
    <col min="14" max="14" width="12.8571428571429" style="99"/>
    <col min="15" max="15" width="12.8571428571429"/>
    <col min="16" max="16" width="9" style="30"/>
  </cols>
  <sheetData>
    <row r="1" spans="1:20">
      <c r="A1" s="1"/>
      <c r="B1" s="1"/>
      <c r="C1" s="2" t="s">
        <v>26</v>
      </c>
      <c r="D1" s="3"/>
      <c r="E1" s="3"/>
      <c r="F1" s="3"/>
      <c r="G1" s="3"/>
      <c r="H1" s="3"/>
      <c r="I1" s="3"/>
      <c r="J1" s="3"/>
      <c r="K1" s="3"/>
      <c r="L1" s="3"/>
      <c r="M1" s="3"/>
      <c r="N1" s="166"/>
      <c r="O1" s="3"/>
      <c r="P1" s="3"/>
      <c r="Q1" s="3"/>
      <c r="R1" s="3"/>
      <c r="S1" s="3"/>
      <c r="T1" s="3"/>
    </row>
    <row r="2" ht="67" customHeight="1" spans="1:20">
      <c r="A2" s="1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66"/>
      <c r="O2" s="3"/>
      <c r="P2" s="3"/>
      <c r="Q2" s="3"/>
      <c r="R2" s="3"/>
      <c r="S2" s="3"/>
      <c r="T2" s="3"/>
    </row>
    <row r="3" ht="21" customHeight="1" spans="1:20">
      <c r="A3" s="105" t="s">
        <v>27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67"/>
      <c r="O3" s="105"/>
      <c r="P3" s="105"/>
      <c r="Q3" s="105"/>
      <c r="R3" s="105"/>
      <c r="S3" s="105"/>
      <c r="T3" s="105"/>
    </row>
    <row r="4" spans="1:20">
      <c r="A4" s="45" t="s">
        <v>2</v>
      </c>
      <c r="B4" s="43" t="s">
        <v>3</v>
      </c>
      <c r="C4" s="43" t="s">
        <v>4</v>
      </c>
      <c r="D4" s="43" t="s">
        <v>5</v>
      </c>
      <c r="E4" s="43" t="s">
        <v>6</v>
      </c>
      <c r="F4" s="43" t="s">
        <v>7</v>
      </c>
      <c r="G4" s="43" t="s">
        <v>8</v>
      </c>
      <c r="H4" s="43" t="s">
        <v>5</v>
      </c>
      <c r="I4" s="43" t="s">
        <v>6</v>
      </c>
      <c r="J4" s="43" t="s">
        <v>9</v>
      </c>
      <c r="K4" s="43" t="s">
        <v>10</v>
      </c>
      <c r="L4" s="43" t="s">
        <v>11</v>
      </c>
      <c r="M4" s="43" t="s">
        <v>6</v>
      </c>
      <c r="N4" s="75" t="s">
        <v>12</v>
      </c>
      <c r="O4" s="42" t="s">
        <v>13</v>
      </c>
      <c r="P4" s="43" t="s">
        <v>14</v>
      </c>
      <c r="Q4" s="171" t="s">
        <v>15</v>
      </c>
      <c r="R4" s="43" t="s">
        <v>16</v>
      </c>
      <c r="S4" s="43" t="s">
        <v>17</v>
      </c>
      <c r="T4" s="43" t="s">
        <v>18</v>
      </c>
    </row>
    <row r="5" ht="38" customHeight="1" spans="1:20">
      <c r="A5" s="45"/>
      <c r="B5" s="43"/>
      <c r="C5" s="45"/>
      <c r="D5" s="45"/>
      <c r="E5" s="43"/>
      <c r="F5" s="43"/>
      <c r="G5" s="45"/>
      <c r="H5" s="45"/>
      <c r="I5" s="45"/>
      <c r="J5" s="45"/>
      <c r="K5" s="45"/>
      <c r="L5" s="45"/>
      <c r="M5" s="45"/>
      <c r="N5" s="77"/>
      <c r="O5" s="44"/>
      <c r="P5" s="45"/>
      <c r="Q5" s="172"/>
      <c r="R5" s="43"/>
      <c r="S5" s="43"/>
      <c r="T5" s="43"/>
    </row>
    <row r="6" ht="16" customHeight="1" spans="1:20">
      <c r="A6" s="120">
        <v>45778</v>
      </c>
      <c r="B6" s="169">
        <v>8346</v>
      </c>
      <c r="C6" s="169">
        <v>6229</v>
      </c>
      <c r="D6" s="169">
        <v>451</v>
      </c>
      <c r="E6" s="56">
        <f>D6/B6*100</f>
        <v>5.40378624490774</v>
      </c>
      <c r="F6" s="169">
        <v>6229</v>
      </c>
      <c r="G6" s="169">
        <v>6123</v>
      </c>
      <c r="H6" s="169">
        <v>106</v>
      </c>
      <c r="I6" s="56">
        <f>H6/F6*100</f>
        <v>1.70171777171296</v>
      </c>
      <c r="J6" s="169">
        <v>6123</v>
      </c>
      <c r="K6" s="169">
        <v>6000</v>
      </c>
      <c r="L6" s="169">
        <v>123</v>
      </c>
      <c r="M6" s="56">
        <f>L6/J6*100</f>
        <v>2.00881920627144</v>
      </c>
      <c r="N6" s="121">
        <v>6795</v>
      </c>
      <c r="O6" s="170">
        <v>56</v>
      </c>
      <c r="P6" s="66">
        <f>D6+H6+L6+O6</f>
        <v>736</v>
      </c>
      <c r="Q6" s="173">
        <f t="shared" ref="Q6:Q9" si="0">O6/N6*100</f>
        <v>0.824135393671818</v>
      </c>
      <c r="R6" s="79" t="s">
        <v>19</v>
      </c>
      <c r="S6" s="79"/>
      <c r="T6" s="79"/>
    </row>
    <row r="7" ht="16" customHeight="1" spans="1:20">
      <c r="A7" s="120">
        <v>45779</v>
      </c>
      <c r="B7" s="169">
        <v>4590</v>
      </c>
      <c r="C7" s="169">
        <v>4208</v>
      </c>
      <c r="D7" s="169">
        <v>193</v>
      </c>
      <c r="E7" s="56">
        <f>D7/B7*100</f>
        <v>4.20479302832244</v>
      </c>
      <c r="F7" s="169">
        <v>4208</v>
      </c>
      <c r="G7" s="169">
        <v>4188</v>
      </c>
      <c r="H7" s="169">
        <v>20</v>
      </c>
      <c r="I7" s="56">
        <f>H7/F7*100</f>
        <v>0.475285171102662</v>
      </c>
      <c r="J7" s="169">
        <v>4188</v>
      </c>
      <c r="K7" s="169">
        <v>4138</v>
      </c>
      <c r="L7" s="169">
        <v>22</v>
      </c>
      <c r="M7" s="56">
        <f>L7/J7*100</f>
        <v>0.52531041069723</v>
      </c>
      <c r="N7" s="57">
        <v>5147</v>
      </c>
      <c r="O7" s="170">
        <v>66</v>
      </c>
      <c r="P7" s="66">
        <f>D7+H7+L7+O7</f>
        <v>301</v>
      </c>
      <c r="Q7" s="173">
        <f t="shared" si="0"/>
        <v>1.28230036914708</v>
      </c>
      <c r="R7" s="209">
        <f>SUM(B6:B8)</f>
        <v>16560</v>
      </c>
      <c r="S7" s="129">
        <f>SUM(P6:P8)</f>
        <v>1520</v>
      </c>
      <c r="T7" s="210">
        <f>S7/R7*100</f>
        <v>9.17874396135266</v>
      </c>
    </row>
    <row r="8" ht="16" customHeight="1" spans="1:20">
      <c r="A8" s="120">
        <v>45780</v>
      </c>
      <c r="B8" s="169">
        <v>3624</v>
      </c>
      <c r="C8" s="169">
        <v>2280</v>
      </c>
      <c r="D8" s="169">
        <v>356</v>
      </c>
      <c r="E8" s="56">
        <f>D8/B8*100</f>
        <v>9.8233995584989</v>
      </c>
      <c r="F8" s="169">
        <v>6642</v>
      </c>
      <c r="G8" s="169">
        <v>6591</v>
      </c>
      <c r="H8" s="169">
        <v>51</v>
      </c>
      <c r="I8" s="56">
        <f>H8/F8*100</f>
        <v>0.767841011743451</v>
      </c>
      <c r="J8" s="169">
        <v>6591</v>
      </c>
      <c r="K8" s="169">
        <v>6570</v>
      </c>
      <c r="L8" s="169">
        <v>21</v>
      </c>
      <c r="M8" s="56">
        <f>L8/J8*100</f>
        <v>0.318616294947656</v>
      </c>
      <c r="N8" s="121">
        <v>6603</v>
      </c>
      <c r="O8" s="170">
        <v>55</v>
      </c>
      <c r="P8" s="66">
        <f>D8+H8+L8+O8</f>
        <v>483</v>
      </c>
      <c r="Q8" s="173">
        <f t="shared" si="0"/>
        <v>0.832954717552628</v>
      </c>
      <c r="R8" s="209"/>
      <c r="S8" s="129"/>
      <c r="T8" s="210"/>
    </row>
    <row r="9" ht="16" customHeight="1" spans="1:20">
      <c r="A9" s="201"/>
      <c r="B9" s="182">
        <f>SUM(B6:B8)</f>
        <v>16560</v>
      </c>
      <c r="C9" s="182">
        <f>SUM(C6:C8)</f>
        <v>12717</v>
      </c>
      <c r="D9" s="182">
        <f>SUM(D6:D8)</f>
        <v>1000</v>
      </c>
      <c r="E9" s="202">
        <f>D9/B9*100</f>
        <v>6.03864734299517</v>
      </c>
      <c r="F9" s="182">
        <f t="shared" ref="F9:J9" si="1">SUM(F6:F8)</f>
        <v>17079</v>
      </c>
      <c r="G9" s="182">
        <f t="shared" si="1"/>
        <v>16902</v>
      </c>
      <c r="H9" s="182">
        <f t="shared" si="1"/>
        <v>177</v>
      </c>
      <c r="I9" s="202">
        <f>H9/F9*100</f>
        <v>1.03636044264887</v>
      </c>
      <c r="J9" s="182">
        <f t="shared" si="1"/>
        <v>16902</v>
      </c>
      <c r="K9" s="182">
        <f t="shared" ref="K9:N9" si="2">SUM(K6:K8)</f>
        <v>16708</v>
      </c>
      <c r="L9" s="182">
        <f t="shared" si="2"/>
        <v>166</v>
      </c>
      <c r="M9" s="202">
        <f>L9/J9*100</f>
        <v>0.982132292036445</v>
      </c>
      <c r="N9" s="182">
        <f>SUM(N6:N8)</f>
        <v>18545</v>
      </c>
      <c r="O9" s="182">
        <f>SUM(O6:O8)</f>
        <v>177</v>
      </c>
      <c r="P9" s="182">
        <f>SUM(P6:P8)</f>
        <v>1520</v>
      </c>
      <c r="Q9" s="174">
        <f t="shared" si="0"/>
        <v>0.954435157724454</v>
      </c>
      <c r="R9" s="211"/>
      <c r="S9" s="80"/>
      <c r="T9" s="212"/>
    </row>
    <row r="10" ht="17" customHeight="1" spans="1:20">
      <c r="A10" s="203" t="s">
        <v>20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6"/>
      <c r="O10" s="203"/>
      <c r="P10" s="203"/>
      <c r="Q10" s="203"/>
      <c r="R10" s="203"/>
      <c r="S10" s="203"/>
      <c r="T10" s="203"/>
    </row>
    <row r="11" ht="16" customHeight="1" spans="1:20">
      <c r="A11" s="120">
        <v>45782</v>
      </c>
      <c r="B11" s="169">
        <v>6924</v>
      </c>
      <c r="C11" s="169">
        <v>5847</v>
      </c>
      <c r="D11" s="169">
        <v>886</v>
      </c>
      <c r="E11" s="56">
        <f>D11/B11*100</f>
        <v>12.7960716348931</v>
      </c>
      <c r="F11" s="169">
        <v>5847</v>
      </c>
      <c r="G11" s="169">
        <v>5698</v>
      </c>
      <c r="H11" s="169">
        <v>149</v>
      </c>
      <c r="I11" s="56">
        <f>H11/F11*100</f>
        <v>2.54831537540619</v>
      </c>
      <c r="J11" s="169">
        <v>5698</v>
      </c>
      <c r="K11" s="169">
        <v>5555</v>
      </c>
      <c r="L11" s="169">
        <v>143</v>
      </c>
      <c r="M11" s="56">
        <f>L11/J11*100</f>
        <v>2.50965250965251</v>
      </c>
      <c r="N11" s="121">
        <v>6034</v>
      </c>
      <c r="O11" s="170">
        <v>86</v>
      </c>
      <c r="P11" s="66">
        <f t="shared" ref="P11:P16" si="3">D11+H11+L11+O11</f>
        <v>1264</v>
      </c>
      <c r="Q11" s="173">
        <f t="shared" ref="Q11:Q17" si="4">O11/N11*100</f>
        <v>1.42525687769307</v>
      </c>
      <c r="R11" s="79" t="s">
        <v>21</v>
      </c>
      <c r="S11" s="79"/>
      <c r="T11" s="79"/>
    </row>
    <row r="12" ht="16" customHeight="1" spans="1:20">
      <c r="A12" s="120">
        <v>45783</v>
      </c>
      <c r="B12" s="169">
        <v>7528</v>
      </c>
      <c r="C12" s="169">
        <v>6490</v>
      </c>
      <c r="D12" s="169">
        <v>823</v>
      </c>
      <c r="E12" s="56">
        <f t="shared" ref="E12:E17" si="5">D12/B12*100</f>
        <v>10.932518597237</v>
      </c>
      <c r="F12" s="169">
        <v>6490</v>
      </c>
      <c r="G12" s="169">
        <v>6397</v>
      </c>
      <c r="H12" s="169">
        <v>93</v>
      </c>
      <c r="I12" s="56">
        <f t="shared" ref="I12:I17" si="6">H12/F12*100</f>
        <v>1.43297380585516</v>
      </c>
      <c r="J12" s="169">
        <v>6397</v>
      </c>
      <c r="K12" s="169">
        <v>6243</v>
      </c>
      <c r="L12" s="169">
        <v>154</v>
      </c>
      <c r="M12" s="56">
        <f t="shared" ref="M12:M17" si="7">L12/J12*100</f>
        <v>2.40737845865249</v>
      </c>
      <c r="N12" s="121">
        <v>6938</v>
      </c>
      <c r="O12" s="170">
        <v>229</v>
      </c>
      <c r="P12" s="66">
        <f t="shared" si="3"/>
        <v>1299</v>
      </c>
      <c r="Q12" s="173">
        <f t="shared" si="4"/>
        <v>3.30066301527818</v>
      </c>
      <c r="R12" s="194">
        <f>SUM(B11:B16)</f>
        <v>47279</v>
      </c>
      <c r="S12" s="129">
        <f>SUM(P11:P16)</f>
        <v>6770</v>
      </c>
      <c r="T12" s="210">
        <f>S12/R12*100</f>
        <v>14.3192537913238</v>
      </c>
    </row>
    <row r="13" ht="16" customHeight="1" spans="1:20">
      <c r="A13" s="120">
        <v>45784</v>
      </c>
      <c r="B13" s="169">
        <v>8703</v>
      </c>
      <c r="C13" s="169">
        <v>7627</v>
      </c>
      <c r="D13" s="169">
        <v>833</v>
      </c>
      <c r="E13" s="56">
        <f t="shared" si="5"/>
        <v>9.57141215672756</v>
      </c>
      <c r="F13" s="169">
        <v>7268</v>
      </c>
      <c r="G13" s="169">
        <v>7164</v>
      </c>
      <c r="H13" s="169">
        <v>104</v>
      </c>
      <c r="I13" s="56">
        <f t="shared" si="6"/>
        <v>1.43093010456797</v>
      </c>
      <c r="J13" s="169">
        <v>7164</v>
      </c>
      <c r="K13" s="169">
        <v>7085</v>
      </c>
      <c r="L13" s="169">
        <v>79</v>
      </c>
      <c r="M13" s="56">
        <f t="shared" si="7"/>
        <v>1.10273590173088</v>
      </c>
      <c r="N13" s="121">
        <v>8000</v>
      </c>
      <c r="O13" s="170">
        <v>287</v>
      </c>
      <c r="P13" s="66">
        <f t="shared" si="3"/>
        <v>1303</v>
      </c>
      <c r="Q13" s="173">
        <f t="shared" si="4"/>
        <v>3.5875</v>
      </c>
      <c r="R13" s="194"/>
      <c r="S13" s="129"/>
      <c r="T13" s="210"/>
    </row>
    <row r="14" ht="16" customHeight="1" spans="1:20">
      <c r="A14" s="120">
        <v>45785</v>
      </c>
      <c r="B14" s="169">
        <v>9138</v>
      </c>
      <c r="C14" s="169">
        <v>7898</v>
      </c>
      <c r="D14" s="169">
        <v>682</v>
      </c>
      <c r="E14" s="56">
        <f t="shared" si="5"/>
        <v>7.46333989932151</v>
      </c>
      <c r="F14" s="169">
        <v>7808</v>
      </c>
      <c r="G14" s="169">
        <v>7747</v>
      </c>
      <c r="H14" s="169">
        <v>61</v>
      </c>
      <c r="I14" s="56">
        <f t="shared" si="6"/>
        <v>0.78125</v>
      </c>
      <c r="J14" s="169">
        <v>7747</v>
      </c>
      <c r="K14" s="169">
        <v>7666</v>
      </c>
      <c r="L14" s="169">
        <v>81</v>
      </c>
      <c r="M14" s="56">
        <f t="shared" si="7"/>
        <v>1.04556602555828</v>
      </c>
      <c r="N14" s="121">
        <v>0</v>
      </c>
      <c r="O14" s="170">
        <v>824</v>
      </c>
      <c r="P14" s="66">
        <f t="shared" si="3"/>
        <v>1648</v>
      </c>
      <c r="Q14" s="173">
        <v>0</v>
      </c>
      <c r="R14" s="194"/>
      <c r="S14" s="129"/>
      <c r="T14" s="210"/>
    </row>
    <row r="15" ht="16" customHeight="1" spans="1:20">
      <c r="A15" s="120">
        <v>45786</v>
      </c>
      <c r="B15" s="169">
        <v>10611</v>
      </c>
      <c r="C15" s="169">
        <v>8845</v>
      </c>
      <c r="D15" s="169">
        <v>645</v>
      </c>
      <c r="E15" s="56">
        <f t="shared" si="5"/>
        <v>6.07859768165112</v>
      </c>
      <c r="F15" s="169">
        <v>7976</v>
      </c>
      <c r="G15" s="169">
        <v>7917</v>
      </c>
      <c r="H15" s="169">
        <v>59</v>
      </c>
      <c r="I15" s="56">
        <f t="shared" si="6"/>
        <v>0.739719157472417</v>
      </c>
      <c r="J15" s="169">
        <v>7917</v>
      </c>
      <c r="K15" s="169">
        <v>7879</v>
      </c>
      <c r="L15" s="169">
        <v>38</v>
      </c>
      <c r="M15" s="56">
        <f t="shared" si="7"/>
        <v>0.479979790324618</v>
      </c>
      <c r="N15" s="121">
        <v>6295</v>
      </c>
      <c r="O15" s="170">
        <v>125</v>
      </c>
      <c r="P15" s="66">
        <f t="shared" si="3"/>
        <v>867</v>
      </c>
      <c r="Q15" s="173">
        <f t="shared" si="4"/>
        <v>1.98570293884035</v>
      </c>
      <c r="R15" s="194"/>
      <c r="S15" s="129"/>
      <c r="T15" s="210"/>
    </row>
    <row r="16" ht="16" customHeight="1" spans="1:20">
      <c r="A16" s="120">
        <v>45787</v>
      </c>
      <c r="B16" s="169">
        <v>4375</v>
      </c>
      <c r="C16" s="169">
        <v>4110</v>
      </c>
      <c r="D16" s="169">
        <v>193</v>
      </c>
      <c r="E16" s="56">
        <f t="shared" si="5"/>
        <v>4.41142857142857</v>
      </c>
      <c r="F16" s="169">
        <v>9000</v>
      </c>
      <c r="G16" s="169">
        <v>8994</v>
      </c>
      <c r="H16" s="169">
        <v>6</v>
      </c>
      <c r="I16" s="56">
        <f t="shared" si="6"/>
        <v>0.0666666666666667</v>
      </c>
      <c r="J16" s="169">
        <v>8994</v>
      </c>
      <c r="K16" s="169">
        <v>8992</v>
      </c>
      <c r="L16" s="169">
        <v>2</v>
      </c>
      <c r="M16" s="56">
        <f t="shared" si="7"/>
        <v>0.022237046920169</v>
      </c>
      <c r="N16" s="121">
        <v>8206</v>
      </c>
      <c r="O16" s="170">
        <v>188</v>
      </c>
      <c r="P16" s="66">
        <f t="shared" si="3"/>
        <v>389</v>
      </c>
      <c r="Q16" s="173">
        <f t="shared" si="4"/>
        <v>2.29100658055082</v>
      </c>
      <c r="R16" s="194"/>
      <c r="S16" s="129"/>
      <c r="T16" s="210"/>
    </row>
    <row r="17" ht="16" customHeight="1" spans="1:20">
      <c r="A17" s="201"/>
      <c r="B17" s="182">
        <f>SUM(B11:B16)</f>
        <v>47279</v>
      </c>
      <c r="C17" s="182">
        <f>SUM(C11:C16)</f>
        <v>40817</v>
      </c>
      <c r="D17" s="182">
        <f>SUM(D11:D16)</f>
        <v>4062</v>
      </c>
      <c r="E17" s="202">
        <f t="shared" si="5"/>
        <v>8.59155227479431</v>
      </c>
      <c r="F17" s="182">
        <f>SUM(F11:F16)</f>
        <v>44389</v>
      </c>
      <c r="G17" s="182">
        <f>SUM(G11:G16)</f>
        <v>43917</v>
      </c>
      <c r="H17" s="182">
        <f>SUM(H11:H16)</f>
        <v>472</v>
      </c>
      <c r="I17" s="202">
        <f t="shared" si="6"/>
        <v>1.06332649980851</v>
      </c>
      <c r="J17" s="182">
        <f>SUM(J11:J16)</f>
        <v>43917</v>
      </c>
      <c r="K17" s="182">
        <f>SUM(K11:K16)</f>
        <v>43420</v>
      </c>
      <c r="L17" s="182">
        <f>SUM(L11:L16)</f>
        <v>497</v>
      </c>
      <c r="M17" s="202">
        <f t="shared" si="7"/>
        <v>1.13168021495093</v>
      </c>
      <c r="N17" s="207">
        <f>SUM(N11:N16)</f>
        <v>35473</v>
      </c>
      <c r="O17" s="182">
        <f>SUM(O11:O16)</f>
        <v>1739</v>
      </c>
      <c r="P17" s="50">
        <f>SUM(P11:P16)</f>
        <v>6770</v>
      </c>
      <c r="Q17" s="174">
        <f t="shared" si="4"/>
        <v>4.9023200744228</v>
      </c>
      <c r="R17" s="194"/>
      <c r="S17" s="80"/>
      <c r="T17" s="212"/>
    </row>
    <row r="18" ht="17" customHeight="1" spans="1:20">
      <c r="A18" s="203" t="s">
        <v>20</v>
      </c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6"/>
      <c r="O18" s="203"/>
      <c r="P18" s="203"/>
      <c r="Q18" s="203"/>
      <c r="R18" s="203"/>
      <c r="S18" s="203"/>
      <c r="T18" s="203"/>
    </row>
    <row r="19" ht="16" customHeight="1" spans="1:20">
      <c r="A19" s="120">
        <v>45789</v>
      </c>
      <c r="B19" s="169">
        <v>11451</v>
      </c>
      <c r="C19" s="169">
        <v>9915</v>
      </c>
      <c r="D19" s="169">
        <v>1239</v>
      </c>
      <c r="E19" s="56">
        <f>D19/B19*100</f>
        <v>10.8200157191512</v>
      </c>
      <c r="F19" s="169">
        <v>8485</v>
      </c>
      <c r="G19" s="169">
        <v>8432</v>
      </c>
      <c r="H19" s="169">
        <v>53</v>
      </c>
      <c r="I19" s="56">
        <f>H19/F19*100</f>
        <v>0.624631703005303</v>
      </c>
      <c r="J19" s="169">
        <v>8432</v>
      </c>
      <c r="K19" s="169">
        <v>8382</v>
      </c>
      <c r="L19" s="169">
        <v>50</v>
      </c>
      <c r="M19" s="56">
        <f>L19/J19*100</f>
        <v>0.592979127134725</v>
      </c>
      <c r="N19" s="121">
        <v>10289</v>
      </c>
      <c r="O19" s="170">
        <v>67</v>
      </c>
      <c r="P19" s="66">
        <f t="shared" ref="P19:P24" si="8">D19+H19+L19+O19</f>
        <v>1409</v>
      </c>
      <c r="Q19" s="173">
        <f t="shared" ref="Q19:Q25" si="9">O19/N19*100</f>
        <v>0.651180872776752</v>
      </c>
      <c r="R19" s="79" t="s">
        <v>22</v>
      </c>
      <c r="S19" s="79"/>
      <c r="T19" s="79"/>
    </row>
    <row r="20" ht="16" customHeight="1" spans="1:20">
      <c r="A20" s="120">
        <v>45790</v>
      </c>
      <c r="B20" s="169">
        <v>10602</v>
      </c>
      <c r="C20" s="169">
        <v>9560</v>
      </c>
      <c r="D20" s="169">
        <v>861</v>
      </c>
      <c r="E20" s="56">
        <f t="shared" ref="E20:E25" si="10">D20/B20*100</f>
        <v>8.12110922467459</v>
      </c>
      <c r="F20" s="169">
        <v>10218</v>
      </c>
      <c r="G20" s="169">
        <v>10134</v>
      </c>
      <c r="H20" s="169">
        <v>84</v>
      </c>
      <c r="I20" s="56">
        <f t="shared" ref="I20:I25" si="11">H20/F20*100</f>
        <v>0.822078684674104</v>
      </c>
      <c r="J20" s="169">
        <v>10134</v>
      </c>
      <c r="K20" s="169">
        <v>10076</v>
      </c>
      <c r="L20" s="169">
        <v>58</v>
      </c>
      <c r="M20" s="56">
        <f t="shared" ref="M20:M25" si="12">L20/J20*100</f>
        <v>0.57233076771265</v>
      </c>
      <c r="N20" s="121">
        <v>9914</v>
      </c>
      <c r="O20" s="170">
        <v>76</v>
      </c>
      <c r="P20" s="66">
        <f t="shared" si="8"/>
        <v>1079</v>
      </c>
      <c r="Q20" s="173">
        <f t="shared" si="9"/>
        <v>0.766592697195885</v>
      </c>
      <c r="R20" s="194">
        <f>SUM(B19:B24)</f>
        <v>65704</v>
      </c>
      <c r="S20" s="129">
        <f>SUM(P19:P24)</f>
        <v>7031</v>
      </c>
      <c r="T20" s="210">
        <f>S20/R20*100</f>
        <v>10.7010227687812</v>
      </c>
    </row>
    <row r="21" ht="16" customHeight="1" spans="1:20">
      <c r="A21" s="120">
        <v>45791</v>
      </c>
      <c r="B21" s="169">
        <v>9696</v>
      </c>
      <c r="C21" s="169">
        <v>8825</v>
      </c>
      <c r="D21" s="169">
        <v>675</v>
      </c>
      <c r="E21" s="56">
        <f t="shared" si="10"/>
        <v>6.96163366336634</v>
      </c>
      <c r="F21" s="169">
        <v>10056</v>
      </c>
      <c r="G21" s="169">
        <v>9930</v>
      </c>
      <c r="H21" s="169">
        <v>126</v>
      </c>
      <c r="I21" s="56">
        <f t="shared" si="11"/>
        <v>1.25298329355609</v>
      </c>
      <c r="J21" s="169">
        <v>9930</v>
      </c>
      <c r="K21" s="169">
        <v>9786</v>
      </c>
      <c r="L21" s="169">
        <v>144</v>
      </c>
      <c r="M21" s="56">
        <f t="shared" si="12"/>
        <v>1.45015105740181</v>
      </c>
      <c r="N21" s="121">
        <v>6499</v>
      </c>
      <c r="O21" s="170">
        <v>124</v>
      </c>
      <c r="P21" s="66">
        <f t="shared" si="8"/>
        <v>1069</v>
      </c>
      <c r="Q21" s="173">
        <f t="shared" si="9"/>
        <v>1.907985843976</v>
      </c>
      <c r="R21" s="194"/>
      <c r="S21" s="129"/>
      <c r="T21" s="210"/>
    </row>
    <row r="22" ht="16" customHeight="1" spans="1:20">
      <c r="A22" s="120">
        <v>45792</v>
      </c>
      <c r="B22" s="169">
        <v>9893</v>
      </c>
      <c r="C22" s="169">
        <v>8931</v>
      </c>
      <c r="D22" s="169">
        <v>689</v>
      </c>
      <c r="E22" s="56">
        <f t="shared" si="10"/>
        <v>6.96452036793692</v>
      </c>
      <c r="F22" s="169">
        <v>11144</v>
      </c>
      <c r="G22" s="169">
        <v>11047</v>
      </c>
      <c r="H22" s="169">
        <v>97</v>
      </c>
      <c r="I22" s="56">
        <f t="shared" si="11"/>
        <v>0.870423546302943</v>
      </c>
      <c r="J22" s="169">
        <v>11047</v>
      </c>
      <c r="K22" s="169">
        <v>10955</v>
      </c>
      <c r="L22" s="169">
        <v>92</v>
      </c>
      <c r="M22" s="56">
        <f t="shared" si="12"/>
        <v>0.832805286503123</v>
      </c>
      <c r="N22" s="121">
        <v>11513</v>
      </c>
      <c r="O22" s="170">
        <v>305</v>
      </c>
      <c r="P22" s="66">
        <f t="shared" si="8"/>
        <v>1183</v>
      </c>
      <c r="Q22" s="173">
        <f t="shared" si="9"/>
        <v>2.64917918874316</v>
      </c>
      <c r="R22" s="194"/>
      <c r="S22" s="129"/>
      <c r="T22" s="210"/>
    </row>
    <row r="23" ht="16" customHeight="1" spans="1:20">
      <c r="A23" s="120">
        <v>45793</v>
      </c>
      <c r="B23" s="169">
        <v>11608</v>
      </c>
      <c r="C23" s="169">
        <v>10757</v>
      </c>
      <c r="D23" s="169">
        <v>719</v>
      </c>
      <c r="E23" s="56">
        <f t="shared" si="10"/>
        <v>6.19400413507926</v>
      </c>
      <c r="F23" s="169">
        <v>10936</v>
      </c>
      <c r="G23" s="169">
        <v>10791</v>
      </c>
      <c r="H23" s="169">
        <v>145</v>
      </c>
      <c r="I23" s="56">
        <f t="shared" si="11"/>
        <v>1.32589612289685</v>
      </c>
      <c r="J23" s="169">
        <v>10791</v>
      </c>
      <c r="K23" s="169">
        <v>10651</v>
      </c>
      <c r="L23" s="169">
        <v>140</v>
      </c>
      <c r="M23" s="56">
        <f t="shared" si="12"/>
        <v>1.29737744416643</v>
      </c>
      <c r="N23" s="121">
        <v>9441</v>
      </c>
      <c r="O23" s="170">
        <v>376</v>
      </c>
      <c r="P23" s="66">
        <f t="shared" si="8"/>
        <v>1380</v>
      </c>
      <c r="Q23" s="173">
        <f t="shared" si="9"/>
        <v>3.98262895879674</v>
      </c>
      <c r="R23" s="194"/>
      <c r="S23" s="129"/>
      <c r="T23" s="210"/>
    </row>
    <row r="24" ht="16" customHeight="1" spans="1:20">
      <c r="A24" s="120">
        <v>45794</v>
      </c>
      <c r="B24" s="169">
        <v>12454</v>
      </c>
      <c r="C24" s="169">
        <v>11708</v>
      </c>
      <c r="D24" s="169">
        <v>554</v>
      </c>
      <c r="E24" s="56">
        <f t="shared" si="10"/>
        <v>4.44837000160591</v>
      </c>
      <c r="F24" s="169">
        <v>11780</v>
      </c>
      <c r="G24" s="169">
        <v>11702</v>
      </c>
      <c r="H24" s="169">
        <v>78</v>
      </c>
      <c r="I24" s="56">
        <f t="shared" si="11"/>
        <v>0.66213921901528</v>
      </c>
      <c r="J24" s="169">
        <v>11702</v>
      </c>
      <c r="K24" s="169">
        <v>11558</v>
      </c>
      <c r="L24" s="169">
        <v>144</v>
      </c>
      <c r="M24" s="56">
        <f t="shared" si="12"/>
        <v>1.23055887882413</v>
      </c>
      <c r="N24" s="121">
        <v>13307</v>
      </c>
      <c r="O24" s="170">
        <v>135</v>
      </c>
      <c r="P24" s="66">
        <f t="shared" si="8"/>
        <v>911</v>
      </c>
      <c r="Q24" s="173">
        <f t="shared" si="9"/>
        <v>1.01450364469828</v>
      </c>
      <c r="R24" s="194"/>
      <c r="S24" s="129"/>
      <c r="T24" s="210"/>
    </row>
    <row r="25" s="29" customFormat="1" ht="16" customHeight="1" spans="1:20">
      <c r="A25" s="201"/>
      <c r="B25" s="182">
        <f>SUM(B19:B24)</f>
        <v>65704</v>
      </c>
      <c r="C25" s="182">
        <f t="shared" ref="B25:H25" si="13">SUM(C19:C24)</f>
        <v>59696</v>
      </c>
      <c r="D25" s="182">
        <f t="shared" si="13"/>
        <v>4737</v>
      </c>
      <c r="E25" s="202">
        <f t="shared" si="10"/>
        <v>7.20960672105199</v>
      </c>
      <c r="F25" s="182">
        <f>SUM(F19:F24)</f>
        <v>62619</v>
      </c>
      <c r="G25" s="182">
        <f t="shared" si="13"/>
        <v>62036</v>
      </c>
      <c r="H25" s="182">
        <f t="shared" si="13"/>
        <v>583</v>
      </c>
      <c r="I25" s="202">
        <f t="shared" si="11"/>
        <v>0.931027323975151</v>
      </c>
      <c r="J25" s="182">
        <f>SUM(J19:J24)</f>
        <v>62036</v>
      </c>
      <c r="K25" s="182">
        <f t="shared" ref="J25:L25" si="14">SUM(K19:K24)</f>
        <v>61408</v>
      </c>
      <c r="L25" s="182">
        <f t="shared" si="14"/>
        <v>628</v>
      </c>
      <c r="M25" s="202">
        <f t="shared" si="12"/>
        <v>1.01231542975047</v>
      </c>
      <c r="N25" s="207">
        <f>SUM(N19:N24)</f>
        <v>60963</v>
      </c>
      <c r="O25" s="182">
        <f>SUM(O19:O24)</f>
        <v>1083</v>
      </c>
      <c r="P25" s="50">
        <f>SUM(P19:P24)</f>
        <v>7031</v>
      </c>
      <c r="Q25" s="174">
        <f t="shared" si="9"/>
        <v>1.77648737758969</v>
      </c>
      <c r="R25" s="194"/>
      <c r="S25" s="80"/>
      <c r="T25" s="212"/>
    </row>
    <row r="26" ht="17" customHeight="1" spans="1:20">
      <c r="A26" s="203" t="s">
        <v>20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6"/>
      <c r="O26" s="203"/>
      <c r="P26" s="203"/>
      <c r="Q26" s="203"/>
      <c r="R26" s="203"/>
      <c r="S26" s="203"/>
      <c r="T26" s="203"/>
    </row>
    <row r="27" ht="16" customHeight="1" spans="1:20">
      <c r="A27" s="120">
        <v>45796</v>
      </c>
      <c r="B27" s="169">
        <v>12215</v>
      </c>
      <c r="C27" s="169">
        <v>11004</v>
      </c>
      <c r="D27" s="169">
        <v>895</v>
      </c>
      <c r="E27" s="56">
        <f>D27/B27*100</f>
        <v>7.32705689725747</v>
      </c>
      <c r="F27" s="169">
        <v>9892</v>
      </c>
      <c r="G27" s="169">
        <v>9889</v>
      </c>
      <c r="H27" s="169">
        <v>3</v>
      </c>
      <c r="I27" s="56">
        <f>H27/F27*100</f>
        <v>0.0303275374039628</v>
      </c>
      <c r="J27" s="169">
        <v>9889</v>
      </c>
      <c r="K27" s="169">
        <v>9883</v>
      </c>
      <c r="L27" s="169">
        <v>6</v>
      </c>
      <c r="M27" s="56">
        <f>L27/J27*100</f>
        <v>0.0606734755789261</v>
      </c>
      <c r="N27" s="121">
        <v>11962</v>
      </c>
      <c r="O27" s="170">
        <v>385</v>
      </c>
      <c r="P27" s="66">
        <f t="shared" ref="P27:P32" si="15">D27+H27+L27+O27</f>
        <v>1289</v>
      </c>
      <c r="Q27" s="173">
        <f t="shared" ref="Q27:Q33" si="16">O27/N27*100</f>
        <v>3.21852533021234</v>
      </c>
      <c r="R27" s="79" t="s">
        <v>23</v>
      </c>
      <c r="S27" s="79"/>
      <c r="T27" s="79"/>
    </row>
    <row r="28" ht="16" customHeight="1" spans="1:20">
      <c r="A28" s="120">
        <v>45797</v>
      </c>
      <c r="B28" s="169">
        <v>11397</v>
      </c>
      <c r="C28" s="169">
        <v>10242</v>
      </c>
      <c r="D28" s="169">
        <v>892</v>
      </c>
      <c r="E28" s="56">
        <f t="shared" ref="E28:E33" si="17">D28/B28*100</f>
        <v>7.82662104062473</v>
      </c>
      <c r="F28" s="169">
        <v>11914</v>
      </c>
      <c r="G28" s="169">
        <v>11810</v>
      </c>
      <c r="H28" s="169">
        <v>104</v>
      </c>
      <c r="I28" s="56">
        <f t="shared" ref="I28:I33" si="18">H28/F28*100</f>
        <v>0.872922612053047</v>
      </c>
      <c r="J28" s="169">
        <v>11810</v>
      </c>
      <c r="K28" s="169">
        <v>11737</v>
      </c>
      <c r="L28" s="169">
        <v>73</v>
      </c>
      <c r="M28" s="56">
        <f t="shared" ref="M28:M33" si="19">L28/J28*100</f>
        <v>0.618120237087214</v>
      </c>
      <c r="N28" s="121">
        <v>11028</v>
      </c>
      <c r="O28" s="170">
        <v>816</v>
      </c>
      <c r="P28" s="66">
        <f t="shared" si="15"/>
        <v>1885</v>
      </c>
      <c r="Q28" s="173">
        <f t="shared" si="16"/>
        <v>7.3993471164309</v>
      </c>
      <c r="R28" s="194">
        <f>SUM(B27:B32)</f>
        <v>71850</v>
      </c>
      <c r="S28" s="129">
        <f>SUM(P27:P32)</f>
        <v>8450</v>
      </c>
      <c r="T28" s="210">
        <f>S28/R28*100</f>
        <v>11.7606123869172</v>
      </c>
    </row>
    <row r="29" ht="16" customHeight="1" spans="1:20">
      <c r="A29" s="120">
        <v>45798</v>
      </c>
      <c r="B29" s="169">
        <v>10437</v>
      </c>
      <c r="C29" s="169">
        <v>9557</v>
      </c>
      <c r="D29" s="169">
        <v>572</v>
      </c>
      <c r="E29" s="56">
        <f t="shared" si="17"/>
        <v>5.48050205997892</v>
      </c>
      <c r="F29" s="169">
        <v>10380</v>
      </c>
      <c r="G29" s="169">
        <v>10328</v>
      </c>
      <c r="H29" s="169">
        <v>52</v>
      </c>
      <c r="I29" s="56">
        <f t="shared" si="18"/>
        <v>0.500963391136802</v>
      </c>
      <c r="J29" s="169">
        <v>10328</v>
      </c>
      <c r="K29" s="169">
        <v>10287</v>
      </c>
      <c r="L29" s="169">
        <v>41</v>
      </c>
      <c r="M29" s="56">
        <f t="shared" si="19"/>
        <v>0.396979085979861</v>
      </c>
      <c r="N29" s="121">
        <v>12367</v>
      </c>
      <c r="O29" s="170">
        <v>394</v>
      </c>
      <c r="P29" s="66">
        <f t="shared" si="15"/>
        <v>1059</v>
      </c>
      <c r="Q29" s="173">
        <f t="shared" si="16"/>
        <v>3.18589795423304</v>
      </c>
      <c r="R29" s="194"/>
      <c r="S29" s="129"/>
      <c r="T29" s="210"/>
    </row>
    <row r="30" ht="16" customHeight="1" spans="1:20">
      <c r="A30" s="120">
        <v>45799</v>
      </c>
      <c r="B30" s="169">
        <v>12008</v>
      </c>
      <c r="C30" s="169">
        <v>10736</v>
      </c>
      <c r="D30" s="169">
        <v>1074</v>
      </c>
      <c r="E30" s="56">
        <f t="shared" si="17"/>
        <v>8.94403730846103</v>
      </c>
      <c r="F30" s="169">
        <v>10200</v>
      </c>
      <c r="G30" s="169">
        <v>10080</v>
      </c>
      <c r="H30" s="169">
        <v>120</v>
      </c>
      <c r="I30" s="56">
        <f t="shared" si="18"/>
        <v>1.17647058823529</v>
      </c>
      <c r="J30" s="169">
        <v>10080</v>
      </c>
      <c r="K30" s="169">
        <v>10022</v>
      </c>
      <c r="L30" s="169">
        <v>58</v>
      </c>
      <c r="M30" s="56">
        <f t="shared" si="19"/>
        <v>0.575396825396825</v>
      </c>
      <c r="N30" s="121">
        <v>12549</v>
      </c>
      <c r="O30" s="170">
        <v>205</v>
      </c>
      <c r="P30" s="66">
        <f t="shared" si="15"/>
        <v>1457</v>
      </c>
      <c r="Q30" s="173">
        <f t="shared" si="16"/>
        <v>1.63359630249422</v>
      </c>
      <c r="R30" s="194"/>
      <c r="S30" s="129"/>
      <c r="T30" s="210"/>
    </row>
    <row r="31" ht="16" customHeight="1" spans="1:20">
      <c r="A31" s="120">
        <v>45800</v>
      </c>
      <c r="B31" s="169">
        <v>12477</v>
      </c>
      <c r="C31" s="169">
        <v>11464</v>
      </c>
      <c r="D31" s="169">
        <v>827</v>
      </c>
      <c r="E31" s="56">
        <f t="shared" si="17"/>
        <v>6.62819588041997</v>
      </c>
      <c r="F31" s="169">
        <v>10669</v>
      </c>
      <c r="G31" s="169">
        <v>10618</v>
      </c>
      <c r="H31" s="169">
        <v>51</v>
      </c>
      <c r="I31" s="56">
        <f t="shared" si="18"/>
        <v>0.478020433030275</v>
      </c>
      <c r="J31" s="169">
        <v>10618</v>
      </c>
      <c r="K31" s="169">
        <v>10548</v>
      </c>
      <c r="L31" s="169">
        <v>70</v>
      </c>
      <c r="M31" s="56">
        <f t="shared" si="19"/>
        <v>0.659257864004521</v>
      </c>
      <c r="N31" s="121">
        <v>9960</v>
      </c>
      <c r="O31" s="170">
        <v>186</v>
      </c>
      <c r="P31" s="66">
        <f t="shared" si="15"/>
        <v>1134</v>
      </c>
      <c r="Q31" s="173">
        <f t="shared" si="16"/>
        <v>1.86746987951807</v>
      </c>
      <c r="R31" s="194"/>
      <c r="S31" s="129"/>
      <c r="T31" s="210"/>
    </row>
    <row r="32" ht="16" customHeight="1" spans="1:20">
      <c r="A32" s="120">
        <v>45801</v>
      </c>
      <c r="B32" s="169">
        <v>13316</v>
      </c>
      <c r="C32" s="169">
        <v>11691</v>
      </c>
      <c r="D32" s="169">
        <v>1345</v>
      </c>
      <c r="E32" s="56">
        <f t="shared" si="17"/>
        <v>10.1006308200661</v>
      </c>
      <c r="F32" s="169">
        <v>10423</v>
      </c>
      <c r="G32" s="169">
        <v>10360</v>
      </c>
      <c r="H32" s="169">
        <v>63</v>
      </c>
      <c r="I32" s="56">
        <f t="shared" si="18"/>
        <v>0.604432505036937</v>
      </c>
      <c r="J32" s="169">
        <v>10360</v>
      </c>
      <c r="K32" s="169">
        <v>10277</v>
      </c>
      <c r="L32" s="169">
        <v>83</v>
      </c>
      <c r="M32" s="56">
        <f t="shared" si="19"/>
        <v>0.801158301158301</v>
      </c>
      <c r="N32" s="121">
        <v>8087</v>
      </c>
      <c r="O32" s="170">
        <v>135</v>
      </c>
      <c r="P32" s="66">
        <f t="shared" si="15"/>
        <v>1626</v>
      </c>
      <c r="Q32" s="173">
        <f t="shared" si="16"/>
        <v>1.66934586373192</v>
      </c>
      <c r="R32" s="194"/>
      <c r="S32" s="129"/>
      <c r="T32" s="210"/>
    </row>
    <row r="33" ht="16" customHeight="1" spans="1:20">
      <c r="A33" s="201"/>
      <c r="B33" s="182">
        <f>SUM(B27:B32)</f>
        <v>71850</v>
      </c>
      <c r="C33" s="182">
        <f t="shared" ref="B33:H33" si="20">SUM(C27:C32)</f>
        <v>64694</v>
      </c>
      <c r="D33" s="182">
        <f t="shared" si="20"/>
        <v>5605</v>
      </c>
      <c r="E33" s="202">
        <f t="shared" si="17"/>
        <v>7.80097425191371</v>
      </c>
      <c r="F33" s="182">
        <f>SUM(F27:F32)</f>
        <v>63478</v>
      </c>
      <c r="G33" s="182">
        <f t="shared" si="20"/>
        <v>63085</v>
      </c>
      <c r="H33" s="182">
        <f t="shared" si="20"/>
        <v>393</v>
      </c>
      <c r="I33" s="202">
        <f t="shared" si="18"/>
        <v>0.619112133337534</v>
      </c>
      <c r="J33" s="182">
        <f t="shared" ref="J33:L33" si="21">SUM(J27:J32)</f>
        <v>63085</v>
      </c>
      <c r="K33" s="182">
        <f t="shared" si="21"/>
        <v>62754</v>
      </c>
      <c r="L33" s="182">
        <f t="shared" si="21"/>
        <v>331</v>
      </c>
      <c r="M33" s="202">
        <f t="shared" si="19"/>
        <v>0.524688911785686</v>
      </c>
      <c r="N33" s="207">
        <f>SUM(N27:N32)</f>
        <v>65953</v>
      </c>
      <c r="O33" s="182">
        <f>SUM(O27:O32)</f>
        <v>2121</v>
      </c>
      <c r="P33" s="50">
        <f>SUM(P27:P32)</f>
        <v>8450</v>
      </c>
      <c r="Q33" s="174">
        <f t="shared" si="16"/>
        <v>3.21592649310873</v>
      </c>
      <c r="R33" s="194"/>
      <c r="S33" s="80"/>
      <c r="T33" s="212"/>
    </row>
    <row r="34" ht="17" customHeight="1" spans="1:20">
      <c r="A34" s="203" t="s">
        <v>20</v>
      </c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6"/>
      <c r="O34" s="203"/>
      <c r="P34" s="203"/>
      <c r="Q34" s="203"/>
      <c r="R34" s="203"/>
      <c r="S34" s="203"/>
      <c r="T34" s="203"/>
    </row>
    <row r="35" ht="16" customHeight="1" spans="1:20">
      <c r="A35" s="120">
        <v>45803</v>
      </c>
      <c r="B35" s="169">
        <v>9199</v>
      </c>
      <c r="C35" s="169">
        <v>8559</v>
      </c>
      <c r="D35" s="169">
        <v>415</v>
      </c>
      <c r="E35" s="56">
        <f t="shared" ref="E35:E42" si="22">D35/B35*100</f>
        <v>4.51135993042722</v>
      </c>
      <c r="F35" s="169">
        <v>10141</v>
      </c>
      <c r="G35" s="169">
        <v>10076</v>
      </c>
      <c r="H35" s="169">
        <v>65</v>
      </c>
      <c r="I35" s="56">
        <f t="shared" ref="I35:I42" si="23">H35/F35*100</f>
        <v>0.640962429740657</v>
      </c>
      <c r="J35" s="169">
        <v>10076</v>
      </c>
      <c r="K35" s="169">
        <v>9979</v>
      </c>
      <c r="L35" s="169">
        <v>97</v>
      </c>
      <c r="M35" s="56">
        <f t="shared" ref="M35:M42" si="24">L35/J35*100</f>
        <v>0.962683604605002</v>
      </c>
      <c r="N35" s="121">
        <v>9686</v>
      </c>
      <c r="O35" s="170">
        <v>137</v>
      </c>
      <c r="P35" s="66">
        <f t="shared" ref="P35:P40" si="25">D35+H35+L35+O35</f>
        <v>714</v>
      </c>
      <c r="Q35" s="173">
        <f t="shared" ref="Q35:Q42" si="26">O35/N35*100</f>
        <v>1.41441255420194</v>
      </c>
      <c r="R35" s="79" t="s">
        <v>24</v>
      </c>
      <c r="S35" s="79"/>
      <c r="T35" s="79"/>
    </row>
    <row r="36" ht="16" customHeight="1" spans="1:20">
      <c r="A36" s="120">
        <v>45804</v>
      </c>
      <c r="B36" s="169">
        <v>10687</v>
      </c>
      <c r="C36" s="169">
        <v>9796</v>
      </c>
      <c r="D36" s="169">
        <v>610</v>
      </c>
      <c r="E36" s="56">
        <f t="shared" si="22"/>
        <v>5.7078693740058</v>
      </c>
      <c r="F36" s="169">
        <v>11162</v>
      </c>
      <c r="G36" s="169">
        <v>10925</v>
      </c>
      <c r="H36" s="169">
        <v>237</v>
      </c>
      <c r="I36" s="56">
        <f t="shared" si="23"/>
        <v>2.12327539867407</v>
      </c>
      <c r="J36" s="169">
        <v>10309</v>
      </c>
      <c r="K36" s="169">
        <v>10275</v>
      </c>
      <c r="L36" s="169">
        <v>34</v>
      </c>
      <c r="M36" s="56">
        <f t="shared" si="24"/>
        <v>0.329808904840431</v>
      </c>
      <c r="N36" s="121">
        <v>12118</v>
      </c>
      <c r="O36" s="170">
        <v>575</v>
      </c>
      <c r="P36" s="66">
        <f t="shared" si="25"/>
        <v>1456</v>
      </c>
      <c r="Q36" s="173">
        <f t="shared" si="26"/>
        <v>4.74500742696815</v>
      </c>
      <c r="R36" s="194">
        <f>SUM(B35:B40)</f>
        <v>59476</v>
      </c>
      <c r="S36" s="129">
        <f>SUM(P35:P40)</f>
        <v>8250</v>
      </c>
      <c r="T36" s="210">
        <f>S36/R36*100</f>
        <v>13.8711413006927</v>
      </c>
    </row>
    <row r="37" ht="16" customHeight="1" spans="1:20">
      <c r="A37" s="120">
        <v>45805</v>
      </c>
      <c r="B37" s="169">
        <v>10449</v>
      </c>
      <c r="C37" s="169">
        <v>9854</v>
      </c>
      <c r="D37" s="169">
        <v>341</v>
      </c>
      <c r="E37" s="56">
        <f t="shared" si="22"/>
        <v>3.26347018853479</v>
      </c>
      <c r="F37" s="169">
        <v>9310</v>
      </c>
      <c r="G37" s="169">
        <v>9305</v>
      </c>
      <c r="H37" s="169">
        <v>5</v>
      </c>
      <c r="I37" s="56">
        <f t="shared" si="23"/>
        <v>0.0537056928034372</v>
      </c>
      <c r="J37" s="169">
        <v>11243</v>
      </c>
      <c r="K37" s="169">
        <v>11079</v>
      </c>
      <c r="L37" s="169">
        <v>164</v>
      </c>
      <c r="M37" s="56">
        <f t="shared" si="24"/>
        <v>1.45868540425153</v>
      </c>
      <c r="N37" s="121">
        <v>6202</v>
      </c>
      <c r="O37" s="170">
        <v>204</v>
      </c>
      <c r="P37" s="66">
        <f t="shared" si="25"/>
        <v>714</v>
      </c>
      <c r="Q37" s="173">
        <f t="shared" si="26"/>
        <v>3.28926152853918</v>
      </c>
      <c r="R37" s="198"/>
      <c r="S37" s="80"/>
      <c r="T37" s="212"/>
    </row>
    <row r="38" ht="16" customHeight="1" spans="1:21">
      <c r="A38" s="120">
        <v>45806</v>
      </c>
      <c r="B38" s="169">
        <v>10095</v>
      </c>
      <c r="C38" s="169">
        <v>9067</v>
      </c>
      <c r="D38" s="169">
        <v>651</v>
      </c>
      <c r="E38" s="56">
        <f t="shared" si="22"/>
        <v>6.44873699851412</v>
      </c>
      <c r="F38" s="169">
        <v>9675</v>
      </c>
      <c r="G38" s="169">
        <v>9570</v>
      </c>
      <c r="H38" s="169">
        <v>105</v>
      </c>
      <c r="I38" s="56">
        <f t="shared" si="23"/>
        <v>1.08527131782946</v>
      </c>
      <c r="J38" s="169">
        <v>11354</v>
      </c>
      <c r="K38" s="169">
        <v>11211</v>
      </c>
      <c r="L38" s="169">
        <v>143</v>
      </c>
      <c r="M38" s="56">
        <f t="shared" si="24"/>
        <v>1.2594680288885</v>
      </c>
      <c r="N38" s="121">
        <v>10157</v>
      </c>
      <c r="O38" s="170">
        <v>552</v>
      </c>
      <c r="P38" s="66">
        <f t="shared" si="25"/>
        <v>1451</v>
      </c>
      <c r="Q38" s="173">
        <f t="shared" si="26"/>
        <v>5.43467559318696</v>
      </c>
      <c r="R38" s="198"/>
      <c r="S38" s="129"/>
      <c r="T38" s="210"/>
      <c r="U38" s="213"/>
    </row>
    <row r="39" ht="16" customHeight="1" spans="1:21">
      <c r="A39" s="120">
        <v>45807</v>
      </c>
      <c r="B39" s="169">
        <v>8512</v>
      </c>
      <c r="C39" s="169">
        <v>7543</v>
      </c>
      <c r="D39" s="169">
        <v>744</v>
      </c>
      <c r="E39" s="56">
        <f t="shared" si="22"/>
        <v>8.7406015037594</v>
      </c>
      <c r="F39" s="169">
        <v>10710</v>
      </c>
      <c r="G39" s="169">
        <v>10631</v>
      </c>
      <c r="H39" s="169">
        <v>79</v>
      </c>
      <c r="I39" s="56">
        <f t="shared" si="23"/>
        <v>0.737628384687208</v>
      </c>
      <c r="J39" s="169">
        <v>10524</v>
      </c>
      <c r="K39" s="169">
        <v>10393</v>
      </c>
      <c r="L39" s="169">
        <v>131</v>
      </c>
      <c r="M39" s="56">
        <f t="shared" si="24"/>
        <v>1.24477385024705</v>
      </c>
      <c r="N39" s="121">
        <v>13000</v>
      </c>
      <c r="O39" s="170">
        <v>1426</v>
      </c>
      <c r="P39" s="66">
        <f t="shared" si="25"/>
        <v>2380</v>
      </c>
      <c r="Q39" s="173">
        <f t="shared" si="26"/>
        <v>10.9692307692308</v>
      </c>
      <c r="R39" s="198"/>
      <c r="S39" s="129"/>
      <c r="T39" s="210"/>
      <c r="U39" s="213"/>
    </row>
    <row r="40" ht="16" customHeight="1" spans="1:20">
      <c r="A40" s="120">
        <v>45808</v>
      </c>
      <c r="B40" s="169">
        <v>10534</v>
      </c>
      <c r="C40" s="169">
        <v>9462</v>
      </c>
      <c r="D40" s="169">
        <v>633</v>
      </c>
      <c r="E40" s="56">
        <f t="shared" si="22"/>
        <v>6.0091133472565</v>
      </c>
      <c r="F40" s="169">
        <v>10299</v>
      </c>
      <c r="G40" s="169">
        <v>10234</v>
      </c>
      <c r="H40" s="169">
        <v>65</v>
      </c>
      <c r="I40" s="56">
        <f t="shared" si="23"/>
        <v>0.631129235848141</v>
      </c>
      <c r="J40" s="169">
        <v>10230</v>
      </c>
      <c r="K40" s="169">
        <v>9839</v>
      </c>
      <c r="L40" s="169">
        <v>391</v>
      </c>
      <c r="M40" s="56">
        <f t="shared" si="24"/>
        <v>3.82209188660802</v>
      </c>
      <c r="N40" s="121">
        <v>13914</v>
      </c>
      <c r="O40" s="170">
        <v>446</v>
      </c>
      <c r="P40" s="66">
        <f t="shared" si="25"/>
        <v>1535</v>
      </c>
      <c r="Q40" s="173">
        <f t="shared" si="26"/>
        <v>3.2054046284318</v>
      </c>
      <c r="R40" s="198"/>
      <c r="S40" s="129"/>
      <c r="T40" s="210"/>
    </row>
    <row r="41" ht="16" customHeight="1" spans="1:20">
      <c r="A41" s="201"/>
      <c r="B41" s="182">
        <f>SUM(B35:B40)</f>
        <v>59476</v>
      </c>
      <c r="C41" s="182">
        <f>SUM(C35:C40)</f>
        <v>54281</v>
      </c>
      <c r="D41" s="182">
        <f>SUM(D35:D40)</f>
        <v>3394</v>
      </c>
      <c r="E41" s="202">
        <f t="shared" si="22"/>
        <v>5.70650346358195</v>
      </c>
      <c r="F41" s="182">
        <f>SUM(F35:F40)</f>
        <v>61297</v>
      </c>
      <c r="G41" s="182">
        <f>SUM(G35:G40)</f>
        <v>60741</v>
      </c>
      <c r="H41" s="182">
        <f>SUM(H35:H40)</f>
        <v>556</v>
      </c>
      <c r="I41" s="202">
        <f t="shared" si="23"/>
        <v>0.907059073037832</v>
      </c>
      <c r="J41" s="182">
        <f>SUM(J35:J40)</f>
        <v>63736</v>
      </c>
      <c r="K41" s="182">
        <f>SUM(K35:K40)</f>
        <v>62776</v>
      </c>
      <c r="L41" s="182">
        <f>SUM(L35:L40)</f>
        <v>960</v>
      </c>
      <c r="M41" s="202">
        <f t="shared" si="24"/>
        <v>1.50621312915778</v>
      </c>
      <c r="N41" s="207">
        <f>SUM(N35:N40)</f>
        <v>65077</v>
      </c>
      <c r="O41" s="182">
        <f>SUM(O35:O40)</f>
        <v>3340</v>
      </c>
      <c r="P41" s="50">
        <f>SUM(P34:P40)</f>
        <v>8250</v>
      </c>
      <c r="Q41" s="174">
        <f t="shared" si="26"/>
        <v>5.13238164021083</v>
      </c>
      <c r="R41" s="198"/>
      <c r="S41" s="129"/>
      <c r="T41" s="210"/>
    </row>
    <row r="42" ht="17" customHeight="1" spans="1:20">
      <c r="A42" s="122" t="s">
        <v>25</v>
      </c>
      <c r="B42" s="204">
        <f>B41+B33+B25+B17+B9</f>
        <v>260869</v>
      </c>
      <c r="C42" s="204">
        <f>C41+C33+C25+C17+C9</f>
        <v>232205</v>
      </c>
      <c r="D42" s="204">
        <f>D41+D33+D25+D17+D9</f>
        <v>18798</v>
      </c>
      <c r="E42" s="205">
        <f t="shared" si="22"/>
        <v>7.20591561281716</v>
      </c>
      <c r="F42" s="204">
        <f>F41+F33+F25+F17+F9</f>
        <v>248862</v>
      </c>
      <c r="G42" s="204">
        <f t="shared" ref="G42:L42" si="27">G41+G33+G25+G17+G9</f>
        <v>246681</v>
      </c>
      <c r="H42" s="204">
        <f t="shared" si="27"/>
        <v>2181</v>
      </c>
      <c r="I42" s="205">
        <f t="shared" si="23"/>
        <v>0.876389324203776</v>
      </c>
      <c r="J42" s="204">
        <f t="shared" si="27"/>
        <v>249676</v>
      </c>
      <c r="K42" s="204">
        <f t="shared" si="27"/>
        <v>247066</v>
      </c>
      <c r="L42" s="204">
        <f t="shared" si="27"/>
        <v>2582</v>
      </c>
      <c r="M42" s="205">
        <f t="shared" si="24"/>
        <v>1.0341402457585</v>
      </c>
      <c r="N42" s="68">
        <f>N41+N33+N25+N17+N9</f>
        <v>246011</v>
      </c>
      <c r="O42" s="204">
        <f>O41+O33+O25+O17+O9</f>
        <v>8460</v>
      </c>
      <c r="P42" s="208">
        <f>D42+H42+L42+O42</f>
        <v>32021</v>
      </c>
      <c r="Q42" s="214">
        <f t="shared" si="26"/>
        <v>3.43887061960644</v>
      </c>
      <c r="R42" s="198"/>
      <c r="S42" s="129"/>
      <c r="T42" s="210"/>
    </row>
  </sheetData>
  <mergeCells count="47">
    <mergeCell ref="A3:T3"/>
    <mergeCell ref="R6:T6"/>
    <mergeCell ref="A10:T10"/>
    <mergeCell ref="R11:T11"/>
    <mergeCell ref="A18:T18"/>
    <mergeCell ref="R19:T19"/>
    <mergeCell ref="A26:T26"/>
    <mergeCell ref="R27:T27"/>
    <mergeCell ref="A34:T34"/>
    <mergeCell ref="R35:T3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R7:R9"/>
    <mergeCell ref="R12:R17"/>
    <mergeCell ref="R20:R25"/>
    <mergeCell ref="R28:R33"/>
    <mergeCell ref="R36:R42"/>
    <mergeCell ref="S4:S5"/>
    <mergeCell ref="S7:S9"/>
    <mergeCell ref="S12:S17"/>
    <mergeCell ref="S20:S25"/>
    <mergeCell ref="S28:S33"/>
    <mergeCell ref="S36:S42"/>
    <mergeCell ref="T4:T5"/>
    <mergeCell ref="T7:T9"/>
    <mergeCell ref="T12:T17"/>
    <mergeCell ref="T20:T25"/>
    <mergeCell ref="T28:T33"/>
    <mergeCell ref="T36:T42"/>
    <mergeCell ref="A1:B2"/>
    <mergeCell ref="C1:T2"/>
  </mergeCells>
  <pageMargins left="0.251388888888889" right="0.251388888888889" top="0.251388888888889" bottom="0.251388888888889" header="0.251388888888889" footer="0.251388888888889"/>
  <pageSetup paperSize="9" scale="71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41"/>
  <sheetViews>
    <sheetView topLeftCell="A3" workbookViewId="0">
      <pane xSplit="1" ySplit="3" topLeftCell="B6" activePane="bottomRight" state="frozen"/>
      <selection/>
      <selection pane="topRight"/>
      <selection pane="bottomLeft"/>
      <selection pane="bottomRight" activeCell="A38" sqref="A38:T38"/>
    </sheetView>
  </sheetViews>
  <sheetFormatPr defaultColWidth="9" defaultRowHeight="15"/>
  <cols>
    <col min="1" max="1" width="10.8571428571429"/>
    <col min="2" max="2" width="7.57142857142857" customWidth="1"/>
    <col min="3" max="3" width="9.71428571428571" customWidth="1"/>
    <col min="4" max="4" width="10.2857142857143"/>
    <col min="5" max="6" width="9.57142857142857" customWidth="1"/>
    <col min="7" max="7" width="9.42857142857143" customWidth="1"/>
    <col min="9" max="9" width="12.8571428571429"/>
    <col min="10" max="10" width="10.4285714285714" customWidth="1"/>
    <col min="11" max="11" width="11.8571428571429" customWidth="1"/>
    <col min="12" max="12" width="10.8571428571429" customWidth="1"/>
    <col min="13" max="13" width="12.8571428571429"/>
    <col min="14" max="14" width="12.8571428571429" style="99"/>
    <col min="15" max="15" width="12.8571428571429"/>
    <col min="16" max="16" width="9" style="30"/>
  </cols>
  <sheetData>
    <row r="1" spans="1:20">
      <c r="A1" s="130"/>
      <c r="B1" s="131"/>
      <c r="C1" s="132" t="s">
        <v>26</v>
      </c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65"/>
      <c r="O1" s="133"/>
      <c r="P1" s="133"/>
      <c r="Q1" s="133"/>
      <c r="R1" s="133"/>
      <c r="S1" s="133"/>
      <c r="T1" s="138"/>
    </row>
    <row r="2" ht="67" customHeight="1" spans="1:20">
      <c r="A2" s="134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66"/>
      <c r="O2" s="3"/>
      <c r="P2" s="3"/>
      <c r="Q2" s="3"/>
      <c r="R2" s="3"/>
      <c r="S2" s="3"/>
      <c r="T2" s="139"/>
    </row>
    <row r="3" ht="21" customHeight="1" spans="1:20">
      <c r="A3" s="135" t="s">
        <v>28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67"/>
      <c r="O3" s="105"/>
      <c r="P3" s="105"/>
      <c r="Q3" s="105"/>
      <c r="R3" s="105"/>
      <c r="S3" s="105"/>
      <c r="T3" s="140"/>
    </row>
    <row r="4" spans="1:20">
      <c r="A4" s="41" t="s">
        <v>2</v>
      </c>
      <c r="B4" s="43" t="s">
        <v>3</v>
      </c>
      <c r="C4" s="43" t="s">
        <v>4</v>
      </c>
      <c r="D4" s="43" t="s">
        <v>5</v>
      </c>
      <c r="E4" s="43" t="s">
        <v>6</v>
      </c>
      <c r="F4" s="43" t="s">
        <v>7</v>
      </c>
      <c r="G4" s="43" t="s">
        <v>8</v>
      </c>
      <c r="H4" s="43" t="s">
        <v>5</v>
      </c>
      <c r="I4" s="43" t="s">
        <v>6</v>
      </c>
      <c r="J4" s="43" t="s">
        <v>9</v>
      </c>
      <c r="K4" s="43" t="s">
        <v>10</v>
      </c>
      <c r="L4" s="43" t="s">
        <v>11</v>
      </c>
      <c r="M4" s="43" t="s">
        <v>6</v>
      </c>
      <c r="N4" s="75" t="s">
        <v>12</v>
      </c>
      <c r="O4" s="42" t="s">
        <v>13</v>
      </c>
      <c r="P4" s="43" t="s">
        <v>14</v>
      </c>
      <c r="Q4" s="171" t="s">
        <v>15</v>
      </c>
      <c r="R4" s="43" t="s">
        <v>16</v>
      </c>
      <c r="S4" s="43" t="s">
        <v>17</v>
      </c>
      <c r="T4" s="76" t="s">
        <v>18</v>
      </c>
    </row>
    <row r="5" ht="38" customHeight="1" spans="1:20">
      <c r="A5" s="41"/>
      <c r="B5" s="43"/>
      <c r="C5" s="45"/>
      <c r="D5" s="45"/>
      <c r="E5" s="43"/>
      <c r="F5" s="43"/>
      <c r="G5" s="45"/>
      <c r="H5" s="45"/>
      <c r="I5" s="45"/>
      <c r="J5" s="45"/>
      <c r="K5" s="45"/>
      <c r="L5" s="45"/>
      <c r="M5" s="45"/>
      <c r="N5" s="77"/>
      <c r="O5" s="44"/>
      <c r="P5" s="45"/>
      <c r="Q5" s="172"/>
      <c r="R5" s="43"/>
      <c r="S5" s="43"/>
      <c r="T5" s="76"/>
    </row>
    <row r="6" ht="16" customHeight="1" spans="1:20">
      <c r="A6" s="180">
        <v>45809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7"/>
      <c r="O6" s="181"/>
      <c r="P6" s="181"/>
      <c r="Q6" s="181"/>
      <c r="R6" s="181"/>
      <c r="S6" s="181"/>
      <c r="T6" s="190"/>
    </row>
    <row r="7" ht="16" customHeight="1" spans="1:20">
      <c r="A7" s="65">
        <v>45810</v>
      </c>
      <c r="B7" s="169">
        <v>10616</v>
      </c>
      <c r="C7" s="169">
        <v>8689</v>
      </c>
      <c r="D7" s="169">
        <v>345</v>
      </c>
      <c r="E7" s="56">
        <f t="shared" ref="E7:E13" si="0">D7/B7*100</f>
        <v>3.24981160512434</v>
      </c>
      <c r="F7" s="169">
        <v>10047</v>
      </c>
      <c r="G7" s="169">
        <v>9713</v>
      </c>
      <c r="H7" s="169">
        <v>334</v>
      </c>
      <c r="I7" s="56">
        <f t="shared" ref="I7:I13" si="1">H7/F7*100</f>
        <v>3.32437543545337</v>
      </c>
      <c r="J7" s="169">
        <v>10226</v>
      </c>
      <c r="K7" s="169">
        <v>10004</v>
      </c>
      <c r="L7" s="169">
        <v>222</v>
      </c>
      <c r="M7" s="56">
        <f t="shared" ref="M7:M13" si="2">L7/J7*100</f>
        <v>2.17093682769411</v>
      </c>
      <c r="N7" s="121">
        <v>10346</v>
      </c>
      <c r="O7" s="170">
        <v>419</v>
      </c>
      <c r="P7" s="66">
        <f t="shared" ref="P7:P12" si="3">D7+H7+L7+O7</f>
        <v>1320</v>
      </c>
      <c r="Q7" s="173">
        <f>O7/N7*100</f>
        <v>4.04987434757394</v>
      </c>
      <c r="R7" s="79" t="s">
        <v>19</v>
      </c>
      <c r="S7" s="79"/>
      <c r="T7" s="84"/>
    </row>
    <row r="8" ht="16" customHeight="1" spans="1:20">
      <c r="A8" s="65">
        <v>45811</v>
      </c>
      <c r="B8" s="169">
        <v>7134</v>
      </c>
      <c r="C8" s="169">
        <v>6284</v>
      </c>
      <c r="D8" s="169">
        <v>545</v>
      </c>
      <c r="E8" s="56">
        <f t="shared" si="0"/>
        <v>7.6394729464536</v>
      </c>
      <c r="F8" s="169">
        <v>9465</v>
      </c>
      <c r="G8" s="169">
        <v>9361</v>
      </c>
      <c r="H8" s="169">
        <v>104</v>
      </c>
      <c r="I8" s="56">
        <f t="shared" si="1"/>
        <v>1.09878499735869</v>
      </c>
      <c r="J8" s="169">
        <v>10626</v>
      </c>
      <c r="K8" s="169">
        <v>10477</v>
      </c>
      <c r="L8" s="169">
        <v>149</v>
      </c>
      <c r="M8" s="56">
        <f t="shared" si="2"/>
        <v>1.40222096743836</v>
      </c>
      <c r="N8" s="121">
        <v>8448</v>
      </c>
      <c r="O8" s="170">
        <v>518</v>
      </c>
      <c r="P8" s="66">
        <f t="shared" si="3"/>
        <v>1316</v>
      </c>
      <c r="Q8" s="173">
        <f t="shared" ref="Q8:Q13" si="4">O8/N8*100</f>
        <v>6.13162878787879</v>
      </c>
      <c r="R8" s="191">
        <f>SUM(B6:B12)</f>
        <v>58931</v>
      </c>
      <c r="S8" s="89">
        <f>SUM(P6:P12)</f>
        <v>8390</v>
      </c>
      <c r="T8" s="90">
        <f>S8/R8*100</f>
        <v>14.2369890210585</v>
      </c>
    </row>
    <row r="9" ht="16" customHeight="1" spans="1:20">
      <c r="A9" s="65">
        <v>45812</v>
      </c>
      <c r="B9" s="169">
        <v>8882</v>
      </c>
      <c r="C9" s="169">
        <v>7866</v>
      </c>
      <c r="D9" s="169">
        <v>717</v>
      </c>
      <c r="E9" s="56">
        <f t="shared" si="0"/>
        <v>8.07250619229903</v>
      </c>
      <c r="F9" s="169">
        <v>10582</v>
      </c>
      <c r="G9" s="169">
        <v>10541</v>
      </c>
      <c r="H9" s="169">
        <v>41</v>
      </c>
      <c r="I9" s="56">
        <f t="shared" si="1"/>
        <v>0.387450387450387</v>
      </c>
      <c r="J9" s="169">
        <v>9907</v>
      </c>
      <c r="K9" s="169">
        <v>9459</v>
      </c>
      <c r="L9" s="169">
        <v>448</v>
      </c>
      <c r="M9" s="56">
        <f t="shared" si="2"/>
        <v>4.52205511254668</v>
      </c>
      <c r="N9" s="121">
        <v>9850</v>
      </c>
      <c r="O9" s="170">
        <v>625</v>
      </c>
      <c r="P9" s="66">
        <f t="shared" si="3"/>
        <v>1831</v>
      </c>
      <c r="Q9" s="173">
        <f t="shared" si="4"/>
        <v>6.34517766497462</v>
      </c>
      <c r="R9" s="192"/>
      <c r="S9" s="85"/>
      <c r="T9" s="86"/>
    </row>
    <row r="10" ht="16" customHeight="1" spans="1:20">
      <c r="A10" s="65">
        <v>45813</v>
      </c>
      <c r="B10" s="169">
        <v>10963</v>
      </c>
      <c r="C10" s="169">
        <v>9942</v>
      </c>
      <c r="D10" s="169">
        <v>691</v>
      </c>
      <c r="E10" s="56">
        <f t="shared" si="0"/>
        <v>6.3030192465566</v>
      </c>
      <c r="F10" s="169">
        <v>9649</v>
      </c>
      <c r="G10" s="169">
        <v>9603</v>
      </c>
      <c r="H10" s="169">
        <v>46</v>
      </c>
      <c r="I10" s="56">
        <f t="shared" si="1"/>
        <v>0.476733340242512</v>
      </c>
      <c r="J10" s="169">
        <v>12699</v>
      </c>
      <c r="K10" s="169">
        <v>11918</v>
      </c>
      <c r="L10" s="169">
        <v>781</v>
      </c>
      <c r="M10" s="56">
        <f t="shared" si="2"/>
        <v>6.15009055831168</v>
      </c>
      <c r="N10" s="121">
        <v>11329</v>
      </c>
      <c r="O10" s="170">
        <v>115</v>
      </c>
      <c r="P10" s="66">
        <f t="shared" si="3"/>
        <v>1633</v>
      </c>
      <c r="Q10" s="173">
        <f t="shared" si="4"/>
        <v>1.01509400653191</v>
      </c>
      <c r="R10" s="192"/>
      <c r="S10" s="85"/>
      <c r="T10" s="86"/>
    </row>
    <row r="11" ht="16" customHeight="1" spans="1:20">
      <c r="A11" s="65">
        <v>45814</v>
      </c>
      <c r="B11" s="169">
        <v>9576</v>
      </c>
      <c r="C11" s="169">
        <v>8635</v>
      </c>
      <c r="D11" s="169">
        <v>559</v>
      </c>
      <c r="E11" s="56">
        <f t="shared" si="0"/>
        <v>5.8375104427736</v>
      </c>
      <c r="F11" s="169">
        <v>10226</v>
      </c>
      <c r="G11" s="169">
        <v>10169</v>
      </c>
      <c r="H11" s="169">
        <v>57</v>
      </c>
      <c r="I11" s="56">
        <f t="shared" si="1"/>
        <v>0.557402699002543</v>
      </c>
      <c r="J11" s="169">
        <v>11489</v>
      </c>
      <c r="K11" s="169">
        <v>11272</v>
      </c>
      <c r="L11" s="169">
        <v>217</v>
      </c>
      <c r="M11" s="56">
        <f t="shared" si="2"/>
        <v>1.8887631647663</v>
      </c>
      <c r="N11" s="121">
        <v>12241</v>
      </c>
      <c r="O11" s="170">
        <v>137</v>
      </c>
      <c r="P11" s="66">
        <f t="shared" si="3"/>
        <v>970</v>
      </c>
      <c r="Q11" s="173">
        <f t="shared" si="4"/>
        <v>1.1191896086921</v>
      </c>
      <c r="R11" s="192"/>
      <c r="S11" s="85"/>
      <c r="T11" s="86"/>
    </row>
    <row r="12" ht="16" customHeight="1" spans="1:20">
      <c r="A12" s="65">
        <v>45815</v>
      </c>
      <c r="B12" s="169">
        <v>11760</v>
      </c>
      <c r="C12" s="169">
        <v>10625</v>
      </c>
      <c r="D12" s="169">
        <v>850</v>
      </c>
      <c r="E12" s="56">
        <f t="shared" si="0"/>
        <v>7.22789115646258</v>
      </c>
      <c r="F12" s="169">
        <v>10346</v>
      </c>
      <c r="G12" s="169">
        <v>10290</v>
      </c>
      <c r="H12" s="169">
        <v>56</v>
      </c>
      <c r="I12" s="56">
        <f t="shared" si="1"/>
        <v>0.54127198917456</v>
      </c>
      <c r="J12" s="169">
        <v>10290</v>
      </c>
      <c r="K12" s="169">
        <v>9979</v>
      </c>
      <c r="L12" s="169">
        <v>311</v>
      </c>
      <c r="M12" s="56">
        <f t="shared" si="2"/>
        <v>3.022351797862</v>
      </c>
      <c r="N12" s="121">
        <v>11689</v>
      </c>
      <c r="O12" s="170">
        <v>103</v>
      </c>
      <c r="P12" s="66">
        <f t="shared" si="3"/>
        <v>1320</v>
      </c>
      <c r="Q12" s="173">
        <f t="shared" si="4"/>
        <v>0.881170331080503</v>
      </c>
      <c r="R12" s="192"/>
      <c r="S12" s="85"/>
      <c r="T12" s="86"/>
    </row>
    <row r="13" ht="16" customHeight="1" spans="1:20">
      <c r="A13" s="49" t="s">
        <v>29</v>
      </c>
      <c r="B13" s="182">
        <f t="shared" ref="B13:H13" si="5">SUM(B6:B12)</f>
        <v>58931</v>
      </c>
      <c r="C13" s="182">
        <f t="shared" si="5"/>
        <v>52041</v>
      </c>
      <c r="D13" s="182">
        <f t="shared" si="5"/>
        <v>3707</v>
      </c>
      <c r="E13" s="51">
        <f t="shared" si="0"/>
        <v>6.29040742563337</v>
      </c>
      <c r="F13" s="182">
        <f t="shared" si="5"/>
        <v>60315</v>
      </c>
      <c r="G13" s="182">
        <f t="shared" si="5"/>
        <v>59677</v>
      </c>
      <c r="H13" s="182">
        <f t="shared" si="5"/>
        <v>638</v>
      </c>
      <c r="I13" s="51">
        <f t="shared" si="1"/>
        <v>1.05777998839426</v>
      </c>
      <c r="J13" s="182">
        <f>SUM(J6:J12)</f>
        <v>65237</v>
      </c>
      <c r="K13" s="182">
        <f>SUM(K6:K12)</f>
        <v>63109</v>
      </c>
      <c r="L13" s="182">
        <f>SUM(L6:L12)</f>
        <v>2128</v>
      </c>
      <c r="M13" s="51">
        <f t="shared" si="2"/>
        <v>3.26195257292641</v>
      </c>
      <c r="N13" s="168">
        <f>SUM(N7:N12)</f>
        <v>63903</v>
      </c>
      <c r="O13" s="182">
        <f>SUM(O6:O12)</f>
        <v>1917</v>
      </c>
      <c r="P13" s="182">
        <f>SUM(P6:P12)</f>
        <v>8390</v>
      </c>
      <c r="Q13" s="174">
        <f t="shared" si="4"/>
        <v>2.99985916154171</v>
      </c>
      <c r="R13" s="193"/>
      <c r="S13" s="87"/>
      <c r="T13" s="88"/>
    </row>
    <row r="14" ht="17" customHeight="1" spans="1:20">
      <c r="A14" s="180">
        <v>45816</v>
      </c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7"/>
      <c r="O14" s="181"/>
      <c r="P14" s="181"/>
      <c r="Q14" s="181"/>
      <c r="R14" s="181"/>
      <c r="S14" s="181"/>
      <c r="T14" s="190"/>
    </row>
    <row r="15" ht="16" customHeight="1" spans="1:20">
      <c r="A15" s="65">
        <v>45817</v>
      </c>
      <c r="B15" s="169">
        <v>11133</v>
      </c>
      <c r="C15" s="169">
        <v>10220</v>
      </c>
      <c r="D15" s="169">
        <v>578</v>
      </c>
      <c r="E15" s="56">
        <f t="shared" ref="E15:E21" si="6">D15/B15*100</f>
        <v>5.19177220874877</v>
      </c>
      <c r="F15" s="169">
        <v>10892</v>
      </c>
      <c r="G15" s="169">
        <v>10805</v>
      </c>
      <c r="H15" s="169">
        <v>87</v>
      </c>
      <c r="I15" s="56">
        <f t="shared" ref="I15:I21" si="7">H15/F15*100</f>
        <v>0.798751377157547</v>
      </c>
      <c r="J15" s="169">
        <v>10805</v>
      </c>
      <c r="K15" s="169">
        <v>10679</v>
      </c>
      <c r="L15" s="169">
        <v>126</v>
      </c>
      <c r="M15" s="56">
        <f t="shared" ref="M15:M21" si="8">L15/J15*100</f>
        <v>1.16612679315132</v>
      </c>
      <c r="N15" s="121">
        <v>9170</v>
      </c>
      <c r="O15" s="170">
        <v>63</v>
      </c>
      <c r="P15" s="66">
        <f t="shared" ref="P15:P20" si="9">D15+H15+L15+O15</f>
        <v>854</v>
      </c>
      <c r="Q15" s="173">
        <f t="shared" ref="Q15:Q21" si="10">O15/N15*100</f>
        <v>0.687022900763359</v>
      </c>
      <c r="R15" s="79" t="s">
        <v>21</v>
      </c>
      <c r="S15" s="79"/>
      <c r="T15" s="84"/>
    </row>
    <row r="16" ht="16" customHeight="1" spans="1:20">
      <c r="A16" s="65">
        <v>45818</v>
      </c>
      <c r="B16" s="169">
        <v>10733</v>
      </c>
      <c r="C16" s="169">
        <v>9642</v>
      </c>
      <c r="D16" s="169">
        <v>547</v>
      </c>
      <c r="E16" s="163">
        <f t="shared" si="6"/>
        <v>5.09643156619771</v>
      </c>
      <c r="F16" s="169">
        <v>10481</v>
      </c>
      <c r="G16" s="169">
        <v>10065</v>
      </c>
      <c r="H16" s="169">
        <v>416</v>
      </c>
      <c r="I16" s="163">
        <f t="shared" si="7"/>
        <v>3.9690869191871</v>
      </c>
      <c r="J16" s="169">
        <v>10065</v>
      </c>
      <c r="K16" s="169">
        <v>9453</v>
      </c>
      <c r="L16" s="169">
        <v>612</v>
      </c>
      <c r="M16" s="56">
        <f t="shared" si="8"/>
        <v>6.08047690014903</v>
      </c>
      <c r="N16" s="121">
        <v>11040</v>
      </c>
      <c r="O16" s="170">
        <v>108</v>
      </c>
      <c r="P16" s="66">
        <f t="shared" si="9"/>
        <v>1683</v>
      </c>
      <c r="Q16" s="173">
        <f t="shared" si="10"/>
        <v>0.978260869565218</v>
      </c>
      <c r="R16" s="194">
        <f>SUM(B15:B20)</f>
        <v>63488</v>
      </c>
      <c r="S16" s="129">
        <f>SUM(P15:P20)</f>
        <v>7742</v>
      </c>
      <c r="T16" s="156">
        <f>S16/R16*100</f>
        <v>12.1944304435484</v>
      </c>
    </row>
    <row r="17" ht="16" customHeight="1" spans="1:20">
      <c r="A17" s="65">
        <v>45819</v>
      </c>
      <c r="B17" s="169">
        <v>11697</v>
      </c>
      <c r="C17" s="169">
        <v>10146</v>
      </c>
      <c r="D17" s="169">
        <v>1164</v>
      </c>
      <c r="E17" s="56">
        <f t="shared" si="6"/>
        <v>9.95126955629649</v>
      </c>
      <c r="F17" s="169">
        <v>10274</v>
      </c>
      <c r="G17" s="169">
        <v>10168</v>
      </c>
      <c r="H17" s="169">
        <v>106</v>
      </c>
      <c r="I17" s="56">
        <f t="shared" si="7"/>
        <v>1.03173058205178</v>
      </c>
      <c r="J17" s="169">
        <v>10168</v>
      </c>
      <c r="K17" s="169">
        <v>9882</v>
      </c>
      <c r="L17" s="169">
        <v>286</v>
      </c>
      <c r="M17" s="56">
        <f t="shared" si="8"/>
        <v>2.81274586939418</v>
      </c>
      <c r="N17" s="121">
        <v>9882</v>
      </c>
      <c r="O17" s="170">
        <v>175</v>
      </c>
      <c r="P17" s="66">
        <f t="shared" si="9"/>
        <v>1731</v>
      </c>
      <c r="Q17" s="173">
        <f t="shared" si="10"/>
        <v>1.77089657963975</v>
      </c>
      <c r="R17" s="194"/>
      <c r="S17" s="129"/>
      <c r="T17" s="156"/>
    </row>
    <row r="18" ht="16" customHeight="1" spans="1:20">
      <c r="A18" s="65">
        <v>45820</v>
      </c>
      <c r="B18" s="169">
        <v>10553</v>
      </c>
      <c r="C18" s="169">
        <v>10112</v>
      </c>
      <c r="D18" s="169">
        <v>415</v>
      </c>
      <c r="E18" s="56">
        <f t="shared" si="6"/>
        <v>3.93253103382924</v>
      </c>
      <c r="F18" s="169">
        <v>10118</v>
      </c>
      <c r="G18" s="169">
        <v>10071</v>
      </c>
      <c r="H18" s="169">
        <v>47</v>
      </c>
      <c r="I18" s="56">
        <f t="shared" si="7"/>
        <v>0.464518679580945</v>
      </c>
      <c r="J18" s="169">
        <v>10071</v>
      </c>
      <c r="K18" s="169">
        <v>9696</v>
      </c>
      <c r="L18" s="169">
        <v>321</v>
      </c>
      <c r="M18" s="56">
        <f t="shared" si="8"/>
        <v>3.18736967530533</v>
      </c>
      <c r="N18" s="121">
        <v>9752</v>
      </c>
      <c r="O18" s="170">
        <v>153</v>
      </c>
      <c r="P18" s="66">
        <f t="shared" si="9"/>
        <v>936</v>
      </c>
      <c r="Q18" s="173">
        <f t="shared" si="10"/>
        <v>1.56890894175554</v>
      </c>
      <c r="R18" s="194"/>
      <c r="S18" s="129"/>
      <c r="T18" s="156"/>
    </row>
    <row r="19" ht="16" customHeight="1" spans="1:20">
      <c r="A19" s="65">
        <v>45821</v>
      </c>
      <c r="B19" s="169">
        <v>9505</v>
      </c>
      <c r="C19" s="169">
        <v>8630</v>
      </c>
      <c r="D19" s="169">
        <v>669</v>
      </c>
      <c r="E19" s="56">
        <f t="shared" si="6"/>
        <v>7.03840084166228</v>
      </c>
      <c r="F19" s="169">
        <v>10789</v>
      </c>
      <c r="G19" s="169">
        <v>10715</v>
      </c>
      <c r="H19" s="169">
        <v>74</v>
      </c>
      <c r="I19" s="56">
        <f t="shared" si="7"/>
        <v>0.685883770506998</v>
      </c>
      <c r="J19" s="169">
        <v>10715</v>
      </c>
      <c r="K19" s="169">
        <v>10386</v>
      </c>
      <c r="L19" s="169">
        <v>329</v>
      </c>
      <c r="M19" s="56">
        <f t="shared" si="8"/>
        <v>3.07046196920205</v>
      </c>
      <c r="N19" s="121">
        <v>10386</v>
      </c>
      <c r="O19" s="170">
        <v>190</v>
      </c>
      <c r="P19" s="66">
        <f t="shared" si="9"/>
        <v>1262</v>
      </c>
      <c r="Q19" s="173">
        <f t="shared" si="10"/>
        <v>1.82938571153476</v>
      </c>
      <c r="R19" s="194"/>
      <c r="S19" s="129"/>
      <c r="T19" s="156"/>
    </row>
    <row r="20" ht="16" customHeight="1" spans="1:20">
      <c r="A20" s="65">
        <v>45822</v>
      </c>
      <c r="B20" s="169">
        <v>9867</v>
      </c>
      <c r="C20" s="169">
        <v>9319</v>
      </c>
      <c r="D20" s="169">
        <v>548</v>
      </c>
      <c r="E20" s="56">
        <f t="shared" si="6"/>
        <v>5.55386642343164</v>
      </c>
      <c r="F20" s="169">
        <v>10431</v>
      </c>
      <c r="G20" s="169">
        <v>10349</v>
      </c>
      <c r="H20" s="169">
        <v>82</v>
      </c>
      <c r="I20" s="56">
        <f t="shared" si="7"/>
        <v>0.786118301217525</v>
      </c>
      <c r="J20" s="169">
        <v>10349</v>
      </c>
      <c r="K20" s="169">
        <v>9878</v>
      </c>
      <c r="L20" s="169">
        <v>471</v>
      </c>
      <c r="M20" s="56">
        <f t="shared" si="8"/>
        <v>4.55116436370664</v>
      </c>
      <c r="N20" s="121">
        <v>9878</v>
      </c>
      <c r="O20" s="170">
        <v>175</v>
      </c>
      <c r="P20" s="66">
        <f t="shared" si="9"/>
        <v>1276</v>
      </c>
      <c r="Q20" s="173">
        <f t="shared" si="10"/>
        <v>1.77161368698117</v>
      </c>
      <c r="R20" s="194"/>
      <c r="S20" s="129"/>
      <c r="T20" s="156"/>
    </row>
    <row r="21" ht="16" customHeight="1" spans="1:20">
      <c r="A21" s="49" t="s">
        <v>29</v>
      </c>
      <c r="B21" s="182">
        <f>SUM(B15:B20)</f>
        <v>63488</v>
      </c>
      <c r="C21" s="182">
        <f t="shared" ref="B21:H21" si="11">SUM(C15:C20)</f>
        <v>58069</v>
      </c>
      <c r="D21" s="182">
        <f t="shared" si="11"/>
        <v>3921</v>
      </c>
      <c r="E21" s="51">
        <f t="shared" si="6"/>
        <v>6.17597026209677</v>
      </c>
      <c r="F21" s="182">
        <f t="shared" si="11"/>
        <v>62985</v>
      </c>
      <c r="G21" s="182">
        <f t="shared" si="11"/>
        <v>62173</v>
      </c>
      <c r="H21" s="182">
        <f t="shared" si="11"/>
        <v>812</v>
      </c>
      <c r="I21" s="51">
        <f t="shared" si="7"/>
        <v>1.28919584027943</v>
      </c>
      <c r="J21" s="182">
        <f t="shared" ref="J21:L21" si="12">SUM(J15:J20)</f>
        <v>62173</v>
      </c>
      <c r="K21" s="182">
        <f t="shared" si="12"/>
        <v>59974</v>
      </c>
      <c r="L21" s="182">
        <f t="shared" si="12"/>
        <v>2145</v>
      </c>
      <c r="M21" s="51">
        <f t="shared" si="8"/>
        <v>3.4500506650797</v>
      </c>
      <c r="N21" s="168">
        <f>SUM(N15:N20)</f>
        <v>60108</v>
      </c>
      <c r="O21" s="182">
        <f>SUM(O15:O20)</f>
        <v>864</v>
      </c>
      <c r="P21" s="50">
        <f>SUM(P15:P20)</f>
        <v>7742</v>
      </c>
      <c r="Q21" s="174">
        <f t="shared" si="10"/>
        <v>1.43741265721701</v>
      </c>
      <c r="R21" s="194"/>
      <c r="S21" s="80"/>
      <c r="T21" s="195"/>
    </row>
    <row r="22" ht="17" customHeight="1" spans="1:20">
      <c r="A22" s="180">
        <v>45823</v>
      </c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7"/>
      <c r="O22" s="181"/>
      <c r="P22" s="181"/>
      <c r="Q22" s="181"/>
      <c r="R22" s="181"/>
      <c r="S22" s="181"/>
      <c r="T22" s="190"/>
    </row>
    <row r="23" ht="16" customHeight="1" spans="1:20">
      <c r="A23" s="65">
        <v>45824</v>
      </c>
      <c r="B23" s="169">
        <v>11497</v>
      </c>
      <c r="C23" s="169">
        <v>10483</v>
      </c>
      <c r="D23" s="169">
        <v>614</v>
      </c>
      <c r="E23" s="56">
        <f t="shared" ref="E23:E30" si="13">D23/B23*100</f>
        <v>5.34052361485605</v>
      </c>
      <c r="F23" s="169">
        <v>10851</v>
      </c>
      <c r="G23" s="169">
        <v>10808</v>
      </c>
      <c r="H23" s="169">
        <v>43</v>
      </c>
      <c r="I23" s="56">
        <f t="shared" ref="I23:I30" si="14">H23/F23*100</f>
        <v>0.396276840844162</v>
      </c>
      <c r="J23" s="169">
        <v>10808</v>
      </c>
      <c r="K23" s="169">
        <v>10613</v>
      </c>
      <c r="L23" s="169">
        <v>285</v>
      </c>
      <c r="M23" s="56">
        <f t="shared" ref="M23:M30" si="15">L23/J23*100</f>
        <v>2.63693560325685</v>
      </c>
      <c r="N23" s="121">
        <v>10613</v>
      </c>
      <c r="O23" s="170">
        <v>119</v>
      </c>
      <c r="P23" s="66">
        <f t="shared" ref="P23:P28" si="16">D23+H23+L23+O23</f>
        <v>1061</v>
      </c>
      <c r="Q23" s="173">
        <f t="shared" ref="Q23:Q29" si="17">O23/N23*100</f>
        <v>1.12126637143126</v>
      </c>
      <c r="R23" s="79" t="s">
        <v>22</v>
      </c>
      <c r="S23" s="79"/>
      <c r="T23" s="84"/>
    </row>
    <row r="24" ht="16" customHeight="1" spans="1:20">
      <c r="A24" s="65">
        <v>45825</v>
      </c>
      <c r="B24" s="169">
        <v>11226</v>
      </c>
      <c r="C24" s="169">
        <v>10107</v>
      </c>
      <c r="D24" s="169">
        <v>795</v>
      </c>
      <c r="E24" s="56">
        <f t="shared" si="13"/>
        <v>7.08177445216462</v>
      </c>
      <c r="F24" s="169">
        <v>9506</v>
      </c>
      <c r="G24" s="169">
        <v>9446</v>
      </c>
      <c r="H24" s="169">
        <v>60</v>
      </c>
      <c r="I24" s="56">
        <f t="shared" si="14"/>
        <v>0.631180307174416</v>
      </c>
      <c r="J24" s="169">
        <v>9446</v>
      </c>
      <c r="K24" s="169">
        <v>9179</v>
      </c>
      <c r="L24" s="169">
        <v>267</v>
      </c>
      <c r="M24" s="56">
        <f t="shared" si="15"/>
        <v>2.82659326699132</v>
      </c>
      <c r="N24" s="121">
        <v>9187</v>
      </c>
      <c r="O24" s="170">
        <v>138</v>
      </c>
      <c r="P24" s="66">
        <f t="shared" si="16"/>
        <v>1260</v>
      </c>
      <c r="Q24" s="173">
        <f t="shared" si="17"/>
        <v>1.50212256449331</v>
      </c>
      <c r="R24" s="194">
        <f>SUM(B23:B28)</f>
        <v>64667</v>
      </c>
      <c r="S24" s="129">
        <f>SUM(P23:P28)</f>
        <v>6600</v>
      </c>
      <c r="T24" s="156">
        <f>S24/R24*100</f>
        <v>10.2061329580775</v>
      </c>
    </row>
    <row r="25" ht="16" customHeight="1" spans="1:20">
      <c r="A25" s="65">
        <v>45826</v>
      </c>
      <c r="B25" s="169">
        <v>10787</v>
      </c>
      <c r="C25" s="169">
        <v>9862</v>
      </c>
      <c r="D25" s="169">
        <v>615</v>
      </c>
      <c r="E25" s="56">
        <f t="shared" si="13"/>
        <v>5.70130712895152</v>
      </c>
      <c r="F25" s="169">
        <v>10137</v>
      </c>
      <c r="G25" s="169">
        <v>10073</v>
      </c>
      <c r="H25" s="169">
        <v>64</v>
      </c>
      <c r="I25" s="56">
        <f t="shared" si="14"/>
        <v>0.631350498175002</v>
      </c>
      <c r="J25" s="169">
        <v>10073</v>
      </c>
      <c r="K25" s="169">
        <v>9846</v>
      </c>
      <c r="L25" s="169">
        <v>227</v>
      </c>
      <c r="M25" s="56">
        <f t="shared" si="15"/>
        <v>2.25354909163109</v>
      </c>
      <c r="N25" s="121">
        <v>11019</v>
      </c>
      <c r="O25" s="170">
        <v>148</v>
      </c>
      <c r="P25" s="66">
        <f t="shared" si="16"/>
        <v>1054</v>
      </c>
      <c r="Q25" s="173">
        <f t="shared" si="17"/>
        <v>1.34313458571558</v>
      </c>
      <c r="R25" s="194"/>
      <c r="S25" s="129"/>
      <c r="T25" s="156"/>
    </row>
    <row r="26" ht="16" customHeight="1" spans="1:20">
      <c r="A26" s="65">
        <v>45827</v>
      </c>
      <c r="B26" s="169">
        <v>11204</v>
      </c>
      <c r="C26" s="169">
        <v>10148</v>
      </c>
      <c r="D26" s="169">
        <v>532</v>
      </c>
      <c r="E26" s="56">
        <f t="shared" si="13"/>
        <v>4.74830417707961</v>
      </c>
      <c r="F26" s="169">
        <v>12684</v>
      </c>
      <c r="G26" s="169">
        <v>12635</v>
      </c>
      <c r="H26" s="169">
        <v>49</v>
      </c>
      <c r="I26" s="56">
        <f t="shared" si="14"/>
        <v>0.386313465783664</v>
      </c>
      <c r="J26" s="169">
        <v>12635</v>
      </c>
      <c r="K26" s="169">
        <v>12284</v>
      </c>
      <c r="L26" s="169">
        <v>351</v>
      </c>
      <c r="M26" s="56">
        <f t="shared" si="15"/>
        <v>2.77799762564306</v>
      </c>
      <c r="N26" s="121">
        <v>11111</v>
      </c>
      <c r="O26" s="170">
        <v>94</v>
      </c>
      <c r="P26" s="66">
        <f t="shared" si="16"/>
        <v>1026</v>
      </c>
      <c r="Q26" s="173">
        <f t="shared" si="17"/>
        <v>0.846008460084601</v>
      </c>
      <c r="R26" s="194"/>
      <c r="S26" s="129"/>
      <c r="T26" s="156"/>
    </row>
    <row r="27" ht="16" customHeight="1" spans="1:20">
      <c r="A27" s="65">
        <v>45828</v>
      </c>
      <c r="B27" s="169">
        <v>9384</v>
      </c>
      <c r="C27" s="169">
        <v>8614</v>
      </c>
      <c r="D27" s="169">
        <v>556</v>
      </c>
      <c r="E27" s="56">
        <f t="shared" si="13"/>
        <v>5.92497868712702</v>
      </c>
      <c r="F27" s="169">
        <v>11697</v>
      </c>
      <c r="G27" s="169">
        <v>11592</v>
      </c>
      <c r="H27" s="169">
        <v>105</v>
      </c>
      <c r="I27" s="56">
        <f t="shared" si="14"/>
        <v>0.897666068222621</v>
      </c>
      <c r="J27" s="169">
        <v>11592</v>
      </c>
      <c r="K27" s="169">
        <v>11114</v>
      </c>
      <c r="L27" s="169">
        <v>478</v>
      </c>
      <c r="M27" s="56">
        <f t="shared" si="15"/>
        <v>4.12353347135956</v>
      </c>
      <c r="N27" s="121">
        <v>9767</v>
      </c>
      <c r="O27" s="170">
        <v>133</v>
      </c>
      <c r="P27" s="66">
        <f t="shared" si="16"/>
        <v>1272</v>
      </c>
      <c r="Q27" s="173">
        <f t="shared" si="17"/>
        <v>1.36172826865977</v>
      </c>
      <c r="R27" s="194"/>
      <c r="S27" s="129"/>
      <c r="T27" s="156"/>
    </row>
    <row r="28" ht="16" customHeight="1" spans="1:20">
      <c r="A28" s="65">
        <v>45829</v>
      </c>
      <c r="B28" s="169">
        <v>10569</v>
      </c>
      <c r="C28" s="169">
        <v>9860</v>
      </c>
      <c r="D28" s="169">
        <v>450</v>
      </c>
      <c r="E28" s="56">
        <f t="shared" si="13"/>
        <v>4.25773488504116</v>
      </c>
      <c r="F28" s="169">
        <v>12405</v>
      </c>
      <c r="G28" s="169">
        <v>12340</v>
      </c>
      <c r="H28" s="169">
        <v>65</v>
      </c>
      <c r="I28" s="56">
        <f t="shared" si="14"/>
        <v>0.523982265215639</v>
      </c>
      <c r="J28" s="169">
        <v>12340</v>
      </c>
      <c r="K28" s="169">
        <v>12066</v>
      </c>
      <c r="L28" s="169">
        <v>274</v>
      </c>
      <c r="M28" s="56">
        <f t="shared" si="15"/>
        <v>2.22042139384117</v>
      </c>
      <c r="N28" s="121">
        <v>11117</v>
      </c>
      <c r="O28" s="170">
        <v>138</v>
      </c>
      <c r="P28" s="66">
        <f t="shared" si="16"/>
        <v>927</v>
      </c>
      <c r="Q28" s="173">
        <f t="shared" si="17"/>
        <v>1.24134208869299</v>
      </c>
      <c r="R28" s="194"/>
      <c r="S28" s="129"/>
      <c r="T28" s="156"/>
    </row>
    <row r="29" s="29" customFormat="1" ht="16" customHeight="1" spans="1:20">
      <c r="A29" s="49" t="s">
        <v>29</v>
      </c>
      <c r="B29" s="182">
        <f>SUM(B23:B28)</f>
        <v>64667</v>
      </c>
      <c r="C29" s="182">
        <f t="shared" ref="B29:H29" si="18">SUM(C23:C28)</f>
        <v>59074</v>
      </c>
      <c r="D29" s="182">
        <f t="shared" si="18"/>
        <v>3562</v>
      </c>
      <c r="E29" s="51">
        <f t="shared" si="13"/>
        <v>5.50821902979882</v>
      </c>
      <c r="F29" s="182">
        <f t="shared" si="18"/>
        <v>67280</v>
      </c>
      <c r="G29" s="182">
        <f t="shared" si="18"/>
        <v>66894</v>
      </c>
      <c r="H29" s="182">
        <f t="shared" si="18"/>
        <v>386</v>
      </c>
      <c r="I29" s="51">
        <f t="shared" si="14"/>
        <v>0.57372175980975</v>
      </c>
      <c r="J29" s="182">
        <f t="shared" ref="J29:L29" si="19">SUM(J23:J28)</f>
        <v>66894</v>
      </c>
      <c r="K29" s="182">
        <f t="shared" si="19"/>
        <v>65102</v>
      </c>
      <c r="L29" s="182">
        <f t="shared" si="19"/>
        <v>1882</v>
      </c>
      <c r="M29" s="51">
        <f t="shared" si="15"/>
        <v>2.81340628456962</v>
      </c>
      <c r="N29" s="168">
        <f>SUM(N23:N28)</f>
        <v>62814</v>
      </c>
      <c r="O29" s="182">
        <f>SUM(O23:O28)</f>
        <v>770</v>
      </c>
      <c r="P29" s="50">
        <f>SUM(P23:P28)</f>
        <v>6600</v>
      </c>
      <c r="Q29" s="174">
        <f t="shared" si="17"/>
        <v>1.22584137294234</v>
      </c>
      <c r="R29" s="194"/>
      <c r="S29" s="80"/>
      <c r="T29" s="195"/>
    </row>
    <row r="30" ht="17" customHeight="1" spans="1:20">
      <c r="A30" s="183">
        <v>45830</v>
      </c>
      <c r="B30" s="184">
        <v>10013</v>
      </c>
      <c r="C30" s="184">
        <v>9544</v>
      </c>
      <c r="D30" s="184">
        <v>305</v>
      </c>
      <c r="E30" s="185">
        <f t="shared" si="13"/>
        <v>3.04604014780785</v>
      </c>
      <c r="F30" s="184">
        <v>10383</v>
      </c>
      <c r="G30" s="184">
        <v>10358</v>
      </c>
      <c r="H30" s="184">
        <v>25</v>
      </c>
      <c r="I30" s="185">
        <f t="shared" si="14"/>
        <v>0.240778195126649</v>
      </c>
      <c r="J30" s="184">
        <v>8140</v>
      </c>
      <c r="K30" s="184">
        <v>7625</v>
      </c>
      <c r="L30" s="184">
        <v>515</v>
      </c>
      <c r="M30" s="185">
        <f t="shared" si="15"/>
        <v>6.32678132678133</v>
      </c>
      <c r="N30" s="187">
        <v>8410</v>
      </c>
      <c r="O30" s="188">
        <v>146</v>
      </c>
      <c r="P30" s="187">
        <f>D30+H30+L30+O30</f>
        <v>991</v>
      </c>
      <c r="Q30" s="196"/>
      <c r="R30" s="196"/>
      <c r="S30" s="196"/>
      <c r="T30" s="197"/>
    </row>
    <row r="31" ht="16" customHeight="1" spans="1:20">
      <c r="A31" s="65">
        <v>45831</v>
      </c>
      <c r="B31" s="169">
        <v>12989</v>
      </c>
      <c r="C31" s="169">
        <v>12288</v>
      </c>
      <c r="D31" s="169">
        <v>383</v>
      </c>
      <c r="E31" s="56">
        <f t="shared" ref="E31:E37" si="20">D31/B31*100</f>
        <v>2.94864885672492</v>
      </c>
      <c r="F31" s="169">
        <v>11300</v>
      </c>
      <c r="G31" s="169">
        <v>11240</v>
      </c>
      <c r="H31" s="169">
        <v>60</v>
      </c>
      <c r="I31" s="56">
        <f t="shared" ref="I31:I37" si="21">H31/F31*100</f>
        <v>0.530973451327434</v>
      </c>
      <c r="J31" s="169">
        <v>12218</v>
      </c>
      <c r="K31" s="169">
        <v>11602</v>
      </c>
      <c r="L31" s="169">
        <v>616</v>
      </c>
      <c r="M31" s="56">
        <f t="shared" ref="M31:M37" si="22">L31/J31*100</f>
        <v>5.04174169258471</v>
      </c>
      <c r="N31" s="121">
        <v>8410</v>
      </c>
      <c r="O31" s="170">
        <v>151</v>
      </c>
      <c r="P31" s="66">
        <f t="shared" ref="P31:P36" si="23">D31+H31+L31+O31</f>
        <v>1210</v>
      </c>
      <c r="Q31" s="173">
        <f t="shared" ref="Q31:Q37" si="24">O31/N31*100</f>
        <v>1.79548156956005</v>
      </c>
      <c r="R31" s="79" t="s">
        <v>23</v>
      </c>
      <c r="S31" s="79"/>
      <c r="T31" s="84"/>
    </row>
    <row r="32" ht="16" customHeight="1" spans="1:20">
      <c r="A32" s="65">
        <v>45832</v>
      </c>
      <c r="B32" s="169">
        <v>11910</v>
      </c>
      <c r="C32" s="169">
        <v>10958</v>
      </c>
      <c r="D32" s="169">
        <v>703</v>
      </c>
      <c r="E32" s="56">
        <f t="shared" si="20"/>
        <v>5.90260285474391</v>
      </c>
      <c r="F32" s="169">
        <v>10261</v>
      </c>
      <c r="G32" s="169">
        <v>10218</v>
      </c>
      <c r="H32" s="169">
        <v>43</v>
      </c>
      <c r="I32" s="56">
        <f t="shared" si="21"/>
        <v>0.419062469544879</v>
      </c>
      <c r="J32" s="169">
        <v>10458</v>
      </c>
      <c r="K32" s="169">
        <v>10236</v>
      </c>
      <c r="L32" s="169">
        <v>222</v>
      </c>
      <c r="M32" s="56">
        <f t="shared" si="22"/>
        <v>2.122776821572</v>
      </c>
      <c r="N32" s="121">
        <v>13221</v>
      </c>
      <c r="O32" s="170">
        <v>116</v>
      </c>
      <c r="P32" s="66">
        <f t="shared" si="23"/>
        <v>1084</v>
      </c>
      <c r="Q32" s="173">
        <f t="shared" si="24"/>
        <v>0.877392027834506</v>
      </c>
      <c r="R32" s="194">
        <f>SUM(B30:B36)</f>
        <v>84222</v>
      </c>
      <c r="S32" s="129">
        <f>SUM(P30:P36)</f>
        <v>7460</v>
      </c>
      <c r="T32" s="156">
        <f>S32/R32*100</f>
        <v>8.85754315974449</v>
      </c>
    </row>
    <row r="33" ht="16" customHeight="1" spans="1:20">
      <c r="A33" s="65">
        <v>45833</v>
      </c>
      <c r="B33" s="169">
        <v>11260</v>
      </c>
      <c r="C33" s="169">
        <v>10404</v>
      </c>
      <c r="D33" s="169">
        <v>680</v>
      </c>
      <c r="E33" s="56">
        <f t="shared" si="20"/>
        <v>6.03907637655417</v>
      </c>
      <c r="F33" s="169">
        <v>10758</v>
      </c>
      <c r="G33" s="169">
        <v>10730</v>
      </c>
      <c r="H33" s="169">
        <v>28</v>
      </c>
      <c r="I33" s="56">
        <f t="shared" si="21"/>
        <v>0.260271425915598</v>
      </c>
      <c r="J33" s="169">
        <v>10745</v>
      </c>
      <c r="K33" s="169">
        <v>10624</v>
      </c>
      <c r="L33" s="169">
        <v>121</v>
      </c>
      <c r="M33" s="56">
        <f t="shared" si="22"/>
        <v>1.12610516519311</v>
      </c>
      <c r="N33" s="121">
        <v>9246</v>
      </c>
      <c r="O33" s="170">
        <v>276</v>
      </c>
      <c r="P33" s="66">
        <f t="shared" si="23"/>
        <v>1105</v>
      </c>
      <c r="Q33" s="173">
        <f t="shared" si="24"/>
        <v>2.98507462686567</v>
      </c>
      <c r="R33" s="194"/>
      <c r="S33" s="129"/>
      <c r="T33" s="156"/>
    </row>
    <row r="34" ht="16" customHeight="1" spans="1:20">
      <c r="A34" s="65">
        <v>45834</v>
      </c>
      <c r="B34" s="169">
        <v>12886</v>
      </c>
      <c r="C34" s="169">
        <v>12069</v>
      </c>
      <c r="D34" s="169">
        <v>587</v>
      </c>
      <c r="E34" s="56">
        <f t="shared" si="20"/>
        <v>4.55533136737545</v>
      </c>
      <c r="F34" s="169">
        <v>9518</v>
      </c>
      <c r="G34" s="169">
        <v>9497</v>
      </c>
      <c r="H34" s="169">
        <v>21</v>
      </c>
      <c r="I34" s="56">
        <f t="shared" si="21"/>
        <v>0.22063458709813</v>
      </c>
      <c r="J34" s="169">
        <v>10491</v>
      </c>
      <c r="K34" s="169">
        <v>10367</v>
      </c>
      <c r="L34" s="169">
        <v>124</v>
      </c>
      <c r="M34" s="56">
        <f t="shared" si="22"/>
        <v>1.18196549423315</v>
      </c>
      <c r="N34" s="121">
        <v>7324</v>
      </c>
      <c r="O34" s="170">
        <v>191</v>
      </c>
      <c r="P34" s="66">
        <f t="shared" si="23"/>
        <v>923</v>
      </c>
      <c r="Q34" s="173">
        <f t="shared" si="24"/>
        <v>2.60786455488804</v>
      </c>
      <c r="R34" s="194"/>
      <c r="S34" s="129"/>
      <c r="T34" s="156"/>
    </row>
    <row r="35" ht="16" customHeight="1" spans="1:20">
      <c r="A35" s="65">
        <v>45835</v>
      </c>
      <c r="B35" s="169">
        <v>11844</v>
      </c>
      <c r="C35" s="169">
        <v>11028</v>
      </c>
      <c r="D35" s="169">
        <v>656</v>
      </c>
      <c r="E35" s="56">
        <f t="shared" si="20"/>
        <v>5.5386693684566</v>
      </c>
      <c r="F35" s="169">
        <v>13746</v>
      </c>
      <c r="G35" s="169">
        <v>13720</v>
      </c>
      <c r="H35" s="169">
        <v>26</v>
      </c>
      <c r="I35" s="56">
        <f t="shared" si="21"/>
        <v>0.189145933362433</v>
      </c>
      <c r="J35" s="169">
        <v>12720</v>
      </c>
      <c r="K35" s="169">
        <v>12609</v>
      </c>
      <c r="L35" s="169">
        <v>111</v>
      </c>
      <c r="M35" s="56">
        <f t="shared" si="22"/>
        <v>0.872641509433962</v>
      </c>
      <c r="N35" s="121">
        <v>11894</v>
      </c>
      <c r="O35" s="170">
        <v>159</v>
      </c>
      <c r="P35" s="66">
        <f t="shared" si="23"/>
        <v>952</v>
      </c>
      <c r="Q35" s="173">
        <f t="shared" si="24"/>
        <v>1.33680847486127</v>
      </c>
      <c r="R35" s="194"/>
      <c r="S35" s="129"/>
      <c r="T35" s="156"/>
    </row>
    <row r="36" ht="16" customHeight="1" spans="1:20">
      <c r="A36" s="65">
        <v>45836</v>
      </c>
      <c r="B36" s="169">
        <v>13320</v>
      </c>
      <c r="C36" s="169">
        <v>12255</v>
      </c>
      <c r="D36" s="169">
        <v>832</v>
      </c>
      <c r="E36" s="56">
        <f t="shared" si="20"/>
        <v>6.24624624624625</v>
      </c>
      <c r="F36" s="169">
        <v>11974</v>
      </c>
      <c r="G36" s="169">
        <v>11940</v>
      </c>
      <c r="H36" s="169">
        <v>34</v>
      </c>
      <c r="I36" s="56">
        <f t="shared" si="21"/>
        <v>0.28394855520294</v>
      </c>
      <c r="J36" s="169">
        <v>11940</v>
      </c>
      <c r="K36" s="169">
        <v>11809</v>
      </c>
      <c r="L36" s="169">
        <v>131</v>
      </c>
      <c r="M36" s="56">
        <f t="shared" si="22"/>
        <v>1.09715242881072</v>
      </c>
      <c r="N36" s="121">
        <v>12796</v>
      </c>
      <c r="O36" s="170">
        <v>198</v>
      </c>
      <c r="P36" s="66">
        <f t="shared" si="23"/>
        <v>1195</v>
      </c>
      <c r="Q36" s="173">
        <f t="shared" si="24"/>
        <v>1.54735854954673</v>
      </c>
      <c r="R36" s="194"/>
      <c r="S36" s="129"/>
      <c r="T36" s="156"/>
    </row>
    <row r="37" ht="16" customHeight="1" spans="1:20">
      <c r="A37" s="49" t="s">
        <v>29</v>
      </c>
      <c r="B37" s="182">
        <f>SUM(B30:B36)</f>
        <v>84222</v>
      </c>
      <c r="C37" s="182">
        <f>SUM(C30:C36)</f>
        <v>78546</v>
      </c>
      <c r="D37" s="182">
        <f>SUM(D30:D36)</f>
        <v>4146</v>
      </c>
      <c r="E37" s="51">
        <f t="shared" si="20"/>
        <v>4.92270428154164</v>
      </c>
      <c r="F37" s="182">
        <f>SUM(F30:F36)</f>
        <v>77940</v>
      </c>
      <c r="G37" s="182">
        <f>SUM(G30:G36)</f>
        <v>77703</v>
      </c>
      <c r="H37" s="182">
        <f>SUM(H30:H36)</f>
        <v>237</v>
      </c>
      <c r="I37" s="51">
        <f t="shared" si="21"/>
        <v>0.304080061585835</v>
      </c>
      <c r="J37" s="182">
        <f>SUM(J30:J36)</f>
        <v>76712</v>
      </c>
      <c r="K37" s="182">
        <f>SUM(K30:K36)</f>
        <v>74872</v>
      </c>
      <c r="L37" s="182">
        <f>SUM(L30:L36)</f>
        <v>1840</v>
      </c>
      <c r="M37" s="51">
        <f t="shared" si="22"/>
        <v>2.39858170820732</v>
      </c>
      <c r="N37" s="168">
        <f>SUM(N30:N36)</f>
        <v>71301</v>
      </c>
      <c r="O37" s="182">
        <f>SUM(O30:O36)</f>
        <v>1237</v>
      </c>
      <c r="P37" s="50">
        <f>SUM(P30:P36)</f>
        <v>7460</v>
      </c>
      <c r="Q37" s="174">
        <f t="shared" si="24"/>
        <v>1.73489852877239</v>
      </c>
      <c r="R37" s="194"/>
      <c r="S37" s="80"/>
      <c r="T37" s="195"/>
    </row>
    <row r="38" ht="17" customHeight="1" spans="1:20">
      <c r="A38" s="180">
        <v>45837</v>
      </c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7"/>
      <c r="O38" s="181"/>
      <c r="P38" s="181"/>
      <c r="Q38" s="181"/>
      <c r="R38" s="181"/>
      <c r="S38" s="181"/>
      <c r="T38" s="190"/>
    </row>
    <row r="39" ht="16" customHeight="1" spans="1:20">
      <c r="A39" s="65">
        <v>45838</v>
      </c>
      <c r="B39" s="169">
        <v>8224</v>
      </c>
      <c r="C39" s="169">
        <v>7455</v>
      </c>
      <c r="D39" s="169">
        <v>536</v>
      </c>
      <c r="E39" s="56">
        <f>D39/B39*100</f>
        <v>6.51750972762646</v>
      </c>
      <c r="F39" s="169">
        <v>12690</v>
      </c>
      <c r="G39" s="169">
        <v>12672</v>
      </c>
      <c r="H39" s="169">
        <v>18</v>
      </c>
      <c r="I39" s="56">
        <f>H39/F39*100</f>
        <v>0.141843971631206</v>
      </c>
      <c r="J39" s="169">
        <v>12888</v>
      </c>
      <c r="K39" s="169">
        <v>12790</v>
      </c>
      <c r="L39" s="169">
        <v>98</v>
      </c>
      <c r="M39" s="56">
        <f>L39/J39*100</f>
        <v>0.760397268777157</v>
      </c>
      <c r="N39" s="121">
        <v>8172</v>
      </c>
      <c r="O39" s="170">
        <v>110</v>
      </c>
      <c r="P39" s="66">
        <f>D39+H39+L39+O39</f>
        <v>762</v>
      </c>
      <c r="Q39" s="173">
        <f>O39/N39*100</f>
        <v>1.34605971610377</v>
      </c>
      <c r="R39" s="79" t="s">
        <v>24</v>
      </c>
      <c r="S39" s="79"/>
      <c r="T39" s="84"/>
    </row>
    <row r="40" ht="16" customHeight="1" spans="1:20">
      <c r="A40" s="49" t="s">
        <v>29</v>
      </c>
      <c r="B40" s="182">
        <f>SUM(B39:B39)</f>
        <v>8224</v>
      </c>
      <c r="C40" s="182">
        <f>SUM(C39:C39)</f>
        <v>7455</v>
      </c>
      <c r="D40" s="182">
        <f>SUM(D39:D39)</f>
        <v>536</v>
      </c>
      <c r="E40" s="51">
        <f>D40/B40*100</f>
        <v>6.51750972762646</v>
      </c>
      <c r="F40" s="182">
        <f>SUM(F39:F39)</f>
        <v>12690</v>
      </c>
      <c r="G40" s="182">
        <f>SUM(G39:G39)</f>
        <v>12672</v>
      </c>
      <c r="H40" s="182">
        <f>SUM(H39:H39)</f>
        <v>18</v>
      </c>
      <c r="I40" s="51">
        <f>H40/F40*100</f>
        <v>0.141843971631206</v>
      </c>
      <c r="J40" s="182">
        <f>SUM(J39:J39)</f>
        <v>12888</v>
      </c>
      <c r="K40" s="182">
        <f>SUM(K39:K39)</f>
        <v>12790</v>
      </c>
      <c r="L40" s="182">
        <f>SUM(L39:L39)</f>
        <v>98</v>
      </c>
      <c r="M40" s="51">
        <f>L40/J40*100</f>
        <v>0.760397268777157</v>
      </c>
      <c r="N40" s="168">
        <f>N39</f>
        <v>8172</v>
      </c>
      <c r="O40" s="182">
        <f>SUM(O39:O39)</f>
        <v>110</v>
      </c>
      <c r="P40" s="50">
        <f>SUM(P38:P39)</f>
        <v>762</v>
      </c>
      <c r="Q40" s="174">
        <f>O40/N40*100</f>
        <v>1.34605971610377</v>
      </c>
      <c r="R40" s="198">
        <f>B39</f>
        <v>8224</v>
      </c>
      <c r="S40" s="129">
        <f>P39</f>
        <v>762</v>
      </c>
      <c r="T40" s="156">
        <f>S40/R40*100</f>
        <v>9.26556420233463</v>
      </c>
    </row>
    <row r="41" ht="17" customHeight="1" spans="1:20">
      <c r="A41" s="136" t="s">
        <v>25</v>
      </c>
      <c r="B41" s="186">
        <f>B40+B37+B29+B21+B13</f>
        <v>279532</v>
      </c>
      <c r="C41" s="186">
        <f>C40+C37+C29+C21+C13</f>
        <v>255185</v>
      </c>
      <c r="D41" s="186">
        <f>D40+D37+D29+D21+D13</f>
        <v>15872</v>
      </c>
      <c r="E41" s="164">
        <f>D41/B41*100</f>
        <v>5.67806190346722</v>
      </c>
      <c r="F41" s="186">
        <f t="shared" ref="F41:J41" si="25">F40+F37+F29+F21+F13</f>
        <v>281210</v>
      </c>
      <c r="G41" s="186">
        <f t="shared" si="25"/>
        <v>279119</v>
      </c>
      <c r="H41" s="186">
        <f t="shared" si="25"/>
        <v>2091</v>
      </c>
      <c r="I41" s="164">
        <f>H41/F41*100</f>
        <v>0.743572419188507</v>
      </c>
      <c r="J41" s="186">
        <f t="shared" ref="J41:N41" si="26">J40+J37+J29+J21+J13</f>
        <v>283904</v>
      </c>
      <c r="K41" s="186">
        <f t="shared" si="26"/>
        <v>275847</v>
      </c>
      <c r="L41" s="186">
        <f t="shared" si="26"/>
        <v>8093</v>
      </c>
      <c r="M41" s="164">
        <f>L41/J41*100</f>
        <v>2.85061147430117</v>
      </c>
      <c r="N41" s="137">
        <f>N40+N37+N29+N21+N13</f>
        <v>266298</v>
      </c>
      <c r="O41" s="186">
        <f>O40+O37+O29+O21+O13</f>
        <v>4898</v>
      </c>
      <c r="P41" s="189">
        <f>D41+H41+L41+O41</f>
        <v>30954</v>
      </c>
      <c r="Q41" s="174">
        <f>O41/N41*100</f>
        <v>1.83929282232687</v>
      </c>
      <c r="R41" s="199"/>
      <c r="S41" s="96"/>
      <c r="T41" s="200"/>
    </row>
  </sheetData>
  <mergeCells count="47">
    <mergeCell ref="A3:T3"/>
    <mergeCell ref="A6:T6"/>
    <mergeCell ref="R7:T7"/>
    <mergeCell ref="A14:T14"/>
    <mergeCell ref="R15:T15"/>
    <mergeCell ref="A22:T22"/>
    <mergeCell ref="R23:T23"/>
    <mergeCell ref="R31:T31"/>
    <mergeCell ref="A38:T38"/>
    <mergeCell ref="R39:T39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R8:R13"/>
    <mergeCell ref="R16:R21"/>
    <mergeCell ref="R24:R29"/>
    <mergeCell ref="R32:R37"/>
    <mergeCell ref="R40:R41"/>
    <mergeCell ref="S4:S5"/>
    <mergeCell ref="S8:S13"/>
    <mergeCell ref="S16:S21"/>
    <mergeCell ref="S24:S29"/>
    <mergeCell ref="S32:S37"/>
    <mergeCell ref="S40:S41"/>
    <mergeCell ref="T4:T5"/>
    <mergeCell ref="T8:T13"/>
    <mergeCell ref="T16:T21"/>
    <mergeCell ref="T24:T29"/>
    <mergeCell ref="T32:T37"/>
    <mergeCell ref="T40:T41"/>
    <mergeCell ref="A1:B2"/>
    <mergeCell ref="C1:T2"/>
  </mergeCells>
  <pageMargins left="0.251388888888889" right="0.251388888888889" top="0.251388888888889" bottom="0.251388888888889" header="0.251388888888889" footer="0.251388888888889"/>
  <pageSetup paperSize="9" scale="77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46"/>
  <sheetViews>
    <sheetView zoomScale="85" zoomScaleNormal="85" topLeftCell="A3" workbookViewId="0">
      <pane xSplit="1" ySplit="3" topLeftCell="B6" activePane="bottomRight" state="frozen"/>
      <selection/>
      <selection pane="topRight"/>
      <selection pane="bottomLeft"/>
      <selection pane="bottomRight" activeCell="A1" sqref="A1:B2"/>
    </sheetView>
  </sheetViews>
  <sheetFormatPr defaultColWidth="9" defaultRowHeight="15"/>
  <cols>
    <col min="1" max="1" width="11.1428571428571"/>
    <col min="2" max="2" width="7.57142857142857" customWidth="1"/>
    <col min="3" max="3" width="9.71428571428571" customWidth="1"/>
    <col min="4" max="4" width="10.1428571428571"/>
    <col min="5" max="6" width="9.57142857142857" customWidth="1"/>
    <col min="7" max="7" width="9.42857142857143" customWidth="1"/>
    <col min="9" max="9" width="12.8571428571429"/>
    <col min="10" max="10" width="10.4285714285714" customWidth="1"/>
    <col min="11" max="11" width="11.8571428571429" customWidth="1"/>
    <col min="12" max="12" width="10.8571428571429" customWidth="1"/>
    <col min="13" max="13" width="12.8571428571429"/>
    <col min="14" max="14" width="12.8571428571429" style="99"/>
    <col min="15" max="15" width="12.8571428571429"/>
    <col min="16" max="16" width="13.2857142857143" style="30" customWidth="1"/>
    <col min="17" max="17" width="10.1428571428571"/>
    <col min="18" max="18" width="13.5238095238095" customWidth="1"/>
    <col min="19" max="19" width="11.7142857142857" customWidth="1"/>
    <col min="20" max="20" width="13.2761904761905" customWidth="1"/>
  </cols>
  <sheetData>
    <row r="1" spans="1:20">
      <c r="A1" s="130"/>
      <c r="B1" s="131"/>
      <c r="C1" s="132" t="s">
        <v>26</v>
      </c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65"/>
      <c r="O1" s="133"/>
      <c r="P1" s="133"/>
      <c r="Q1" s="133"/>
      <c r="R1" s="133"/>
      <c r="S1" s="133"/>
      <c r="T1" s="138"/>
    </row>
    <row r="2" ht="67" customHeight="1" spans="1:20">
      <c r="A2" s="134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66"/>
      <c r="O2" s="3"/>
      <c r="P2" s="3"/>
      <c r="Q2" s="3"/>
      <c r="R2" s="3"/>
      <c r="S2" s="3"/>
      <c r="T2" s="139"/>
    </row>
    <row r="3" ht="21" customHeight="1" spans="1:20">
      <c r="A3" s="135" t="s">
        <v>30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67"/>
      <c r="O3" s="105"/>
      <c r="P3" s="105"/>
      <c r="Q3" s="105"/>
      <c r="R3" s="105"/>
      <c r="S3" s="105"/>
      <c r="T3" s="140"/>
    </row>
    <row r="4" spans="1:20">
      <c r="A4" s="41" t="s">
        <v>2</v>
      </c>
      <c r="B4" s="43" t="s">
        <v>3</v>
      </c>
      <c r="C4" s="43" t="s">
        <v>4</v>
      </c>
      <c r="D4" s="43" t="s">
        <v>5</v>
      </c>
      <c r="E4" s="43" t="s">
        <v>6</v>
      </c>
      <c r="F4" s="43" t="s">
        <v>7</v>
      </c>
      <c r="G4" s="43" t="s">
        <v>8</v>
      </c>
      <c r="H4" s="43" t="s">
        <v>5</v>
      </c>
      <c r="I4" s="43" t="s">
        <v>6</v>
      </c>
      <c r="J4" s="43" t="s">
        <v>9</v>
      </c>
      <c r="K4" s="43" t="s">
        <v>10</v>
      </c>
      <c r="L4" s="43" t="s">
        <v>11</v>
      </c>
      <c r="M4" s="43" t="s">
        <v>6</v>
      </c>
      <c r="N4" s="75" t="s">
        <v>12</v>
      </c>
      <c r="O4" s="42" t="s">
        <v>13</v>
      </c>
      <c r="P4" s="43" t="s">
        <v>14</v>
      </c>
      <c r="Q4" s="171" t="s">
        <v>15</v>
      </c>
      <c r="R4" s="43" t="s">
        <v>16</v>
      </c>
      <c r="S4" s="43" t="s">
        <v>17</v>
      </c>
      <c r="T4" s="76" t="s">
        <v>18</v>
      </c>
    </row>
    <row r="5" ht="38" customHeight="1" spans="1:20">
      <c r="A5" s="41"/>
      <c r="B5" s="43"/>
      <c r="C5" s="45"/>
      <c r="D5" s="45"/>
      <c r="E5" s="43"/>
      <c r="F5" s="43"/>
      <c r="G5" s="45"/>
      <c r="H5" s="45"/>
      <c r="I5" s="45"/>
      <c r="J5" s="45"/>
      <c r="K5" s="45"/>
      <c r="L5" s="45"/>
      <c r="M5" s="45"/>
      <c r="N5" s="77"/>
      <c r="O5" s="44"/>
      <c r="P5" s="45"/>
      <c r="Q5" s="172"/>
      <c r="R5" s="43"/>
      <c r="S5" s="43"/>
      <c r="T5" s="76"/>
    </row>
    <row r="6" ht="20" customHeight="1" spans="1:20">
      <c r="A6" s="46">
        <v>45839</v>
      </c>
      <c r="B6" s="47">
        <v>7482</v>
      </c>
      <c r="C6" s="47">
        <v>6049</v>
      </c>
      <c r="D6" s="47">
        <v>951</v>
      </c>
      <c r="E6" s="56">
        <f t="shared" ref="E6:E13" si="0">D6/B6*100</f>
        <v>12.71050521251</v>
      </c>
      <c r="F6" s="47">
        <v>11448</v>
      </c>
      <c r="G6" s="47">
        <v>11387</v>
      </c>
      <c r="H6" s="47">
        <v>61</v>
      </c>
      <c r="I6" s="56">
        <f t="shared" ref="I6:I13" si="1">H6/F6*100</f>
        <v>0.532844164919637</v>
      </c>
      <c r="J6" s="47">
        <v>12387</v>
      </c>
      <c r="K6" s="47">
        <v>12234</v>
      </c>
      <c r="L6" s="47">
        <v>153</v>
      </c>
      <c r="M6" s="56">
        <f t="shared" ref="M6:M14" si="2">L6/J6*100</f>
        <v>1.23516589973359</v>
      </c>
      <c r="N6" s="121">
        <v>11653</v>
      </c>
      <c r="O6" s="47">
        <v>355</v>
      </c>
      <c r="P6" s="151">
        <f>D6+H6+L6+O6</f>
        <v>1520</v>
      </c>
      <c r="Q6" s="173">
        <f>O6/N6*100</f>
        <v>3.04642581309534</v>
      </c>
      <c r="R6" s="79" t="s">
        <v>19</v>
      </c>
      <c r="S6" s="79"/>
      <c r="T6" s="84"/>
    </row>
    <row r="7" ht="20" customHeight="1" spans="1:20">
      <c r="A7" s="46">
        <v>45840</v>
      </c>
      <c r="B7" s="47">
        <v>13349</v>
      </c>
      <c r="C7" s="47">
        <v>11022</v>
      </c>
      <c r="D7" s="47">
        <v>975</v>
      </c>
      <c r="E7" s="56">
        <f t="shared" si="0"/>
        <v>7.30391789647165</v>
      </c>
      <c r="F7" s="47">
        <v>12083</v>
      </c>
      <c r="G7" s="47">
        <v>12049</v>
      </c>
      <c r="H7" s="47">
        <v>34</v>
      </c>
      <c r="I7" s="56">
        <f t="shared" si="1"/>
        <v>0.281387072746834</v>
      </c>
      <c r="J7" s="47">
        <v>12049</v>
      </c>
      <c r="K7" s="47">
        <v>11972</v>
      </c>
      <c r="L7" s="47">
        <v>77</v>
      </c>
      <c r="M7" s="56">
        <f t="shared" si="2"/>
        <v>0.639057183168728</v>
      </c>
      <c r="N7" s="121">
        <v>11916</v>
      </c>
      <c r="O7" s="47">
        <v>281</v>
      </c>
      <c r="P7" s="151">
        <f t="shared" ref="P7:P12" si="3">D7+H7+L7+O7</f>
        <v>1367</v>
      </c>
      <c r="Q7" s="173">
        <f t="shared" ref="Q6:Q11" si="4">O7/N7*100</f>
        <v>2.35817388385364</v>
      </c>
      <c r="R7" s="129">
        <f>SUM(B6:B10)</f>
        <v>54720</v>
      </c>
      <c r="S7" s="129">
        <f>SUM(P6:P10)</f>
        <v>6577</v>
      </c>
      <c r="T7" s="156">
        <f>S7/R7*100</f>
        <v>12.0193713450292</v>
      </c>
    </row>
    <row r="8" ht="20" customHeight="1" spans="1:20">
      <c r="A8" s="46">
        <v>45841</v>
      </c>
      <c r="B8" s="146">
        <v>10643</v>
      </c>
      <c r="C8" s="146">
        <v>9232</v>
      </c>
      <c r="D8" s="146">
        <v>992</v>
      </c>
      <c r="E8" s="56">
        <f t="shared" si="0"/>
        <v>9.32068025932538</v>
      </c>
      <c r="F8" s="146">
        <v>9565</v>
      </c>
      <c r="G8" s="146">
        <v>9498</v>
      </c>
      <c r="H8" s="146">
        <v>67</v>
      </c>
      <c r="I8" s="56">
        <f t="shared" si="1"/>
        <v>0.700470465237846</v>
      </c>
      <c r="J8" s="146">
        <v>9498</v>
      </c>
      <c r="K8" s="146">
        <v>9362</v>
      </c>
      <c r="L8" s="146">
        <v>136</v>
      </c>
      <c r="M8" s="56">
        <f t="shared" si="2"/>
        <v>1.43188039587282</v>
      </c>
      <c r="N8" s="121">
        <v>9904</v>
      </c>
      <c r="O8" s="146">
        <v>330</v>
      </c>
      <c r="P8" s="151">
        <f t="shared" si="3"/>
        <v>1525</v>
      </c>
      <c r="Q8" s="173">
        <f t="shared" si="4"/>
        <v>3.33198707592892</v>
      </c>
      <c r="R8" s="129"/>
      <c r="S8" s="129"/>
      <c r="T8" s="156"/>
    </row>
    <row r="9" ht="20" customHeight="1" spans="1:20">
      <c r="A9" s="46">
        <v>45842</v>
      </c>
      <c r="B9" s="146">
        <v>13078</v>
      </c>
      <c r="C9" s="146">
        <v>11892</v>
      </c>
      <c r="D9" s="146">
        <v>795</v>
      </c>
      <c r="E9" s="56">
        <f t="shared" si="0"/>
        <v>6.07891114849365</v>
      </c>
      <c r="F9" s="146">
        <v>11248</v>
      </c>
      <c r="G9" s="146">
        <v>11193</v>
      </c>
      <c r="H9" s="146">
        <v>55</v>
      </c>
      <c r="I9" s="56">
        <f t="shared" si="1"/>
        <v>0.488975817923186</v>
      </c>
      <c r="J9" s="146">
        <v>11193</v>
      </c>
      <c r="K9" s="146">
        <v>11002</v>
      </c>
      <c r="L9" s="146">
        <v>191</v>
      </c>
      <c r="M9" s="56">
        <f t="shared" si="2"/>
        <v>1.70642365764317</v>
      </c>
      <c r="N9" s="121">
        <v>11718</v>
      </c>
      <c r="O9" s="146">
        <v>351</v>
      </c>
      <c r="P9" s="151">
        <f t="shared" si="3"/>
        <v>1392</v>
      </c>
      <c r="Q9" s="173">
        <f t="shared" si="4"/>
        <v>2.99539170506912</v>
      </c>
      <c r="R9" s="129"/>
      <c r="S9" s="129"/>
      <c r="T9" s="156"/>
    </row>
    <row r="10" ht="20" customHeight="1" spans="1:20">
      <c r="A10" s="46">
        <v>45843</v>
      </c>
      <c r="B10" s="146">
        <v>10168</v>
      </c>
      <c r="C10" s="146">
        <v>9749</v>
      </c>
      <c r="D10" s="146">
        <v>561</v>
      </c>
      <c r="E10" s="56">
        <f t="shared" si="0"/>
        <v>5.51730920535012</v>
      </c>
      <c r="F10" s="146">
        <v>12619</v>
      </c>
      <c r="G10" s="146">
        <v>12578</v>
      </c>
      <c r="H10" s="146">
        <v>41</v>
      </c>
      <c r="I10" s="56">
        <f t="shared" si="1"/>
        <v>0.324906886441081</v>
      </c>
      <c r="J10" s="146">
        <v>12578</v>
      </c>
      <c r="K10" s="146">
        <v>12501</v>
      </c>
      <c r="L10" s="146">
        <v>77</v>
      </c>
      <c r="M10" s="56">
        <f t="shared" si="2"/>
        <v>0.612179996819844</v>
      </c>
      <c r="N10" s="121">
        <v>10890</v>
      </c>
      <c r="O10" s="146">
        <v>94</v>
      </c>
      <c r="P10" s="151">
        <f t="shared" si="3"/>
        <v>773</v>
      </c>
      <c r="Q10" s="173">
        <f t="shared" si="4"/>
        <v>0.863177226813591</v>
      </c>
      <c r="R10" s="129"/>
      <c r="S10" s="129"/>
      <c r="T10" s="156"/>
    </row>
    <row r="11" s="29" customFormat="1" ht="20" customHeight="1" spans="1:20">
      <c r="A11" s="49" t="s">
        <v>29</v>
      </c>
      <c r="B11" s="50">
        <f>SUM(B6:B10)</f>
        <v>54720</v>
      </c>
      <c r="C11" s="50">
        <f>SUM(C6:C10)</f>
        <v>47944</v>
      </c>
      <c r="D11" s="50">
        <f>SUM(D6:D10)</f>
        <v>4274</v>
      </c>
      <c r="E11" s="51">
        <f t="shared" si="0"/>
        <v>7.81067251461988</v>
      </c>
      <c r="F11" s="50">
        <f>SUM(F6:F10)</f>
        <v>56963</v>
      </c>
      <c r="G11" s="50">
        <f>SUM(G6:G10)</f>
        <v>56705</v>
      </c>
      <c r="H11" s="50">
        <f>SUM(H6:H10)</f>
        <v>258</v>
      </c>
      <c r="I11" s="51">
        <f t="shared" si="1"/>
        <v>0.452925583273353</v>
      </c>
      <c r="J11" s="50">
        <f>SUM(J6:J10)</f>
        <v>57705</v>
      </c>
      <c r="K11" s="50">
        <f>SUM(K6:K10)</f>
        <v>57071</v>
      </c>
      <c r="L11" s="50">
        <f>SUM(L6:L10)</f>
        <v>634</v>
      </c>
      <c r="M11" s="51">
        <f t="shared" si="2"/>
        <v>1.09869162117667</v>
      </c>
      <c r="N11" s="168">
        <f>SUM(N6:N10)</f>
        <v>56081</v>
      </c>
      <c r="O11" s="50">
        <f>SUM(O6:O10)</f>
        <v>1411</v>
      </c>
      <c r="P11" s="82">
        <f>SUM(P6:P10)</f>
        <v>6577</v>
      </c>
      <c r="Q11" s="174">
        <f t="shared" si="4"/>
        <v>2.51600363759562</v>
      </c>
      <c r="R11" s="129"/>
      <c r="S11" s="129"/>
      <c r="T11" s="156"/>
    </row>
    <row r="12" ht="20" customHeight="1" spans="1:20">
      <c r="A12" s="162">
        <v>45844</v>
      </c>
      <c r="B12" s="161">
        <v>0</v>
      </c>
      <c r="C12" s="161">
        <v>0</v>
      </c>
      <c r="D12" s="161">
        <v>0</v>
      </c>
      <c r="E12" s="51" t="e">
        <f t="shared" si="0"/>
        <v>#DIV/0!</v>
      </c>
      <c r="F12" s="161">
        <v>0</v>
      </c>
      <c r="G12" s="161">
        <v>0</v>
      </c>
      <c r="H12" s="161">
        <v>0</v>
      </c>
      <c r="I12" s="51" t="e">
        <f t="shared" si="1"/>
        <v>#DIV/0!</v>
      </c>
      <c r="J12" s="161">
        <v>0</v>
      </c>
      <c r="K12" s="161">
        <v>0</v>
      </c>
      <c r="L12" s="161">
        <v>0</v>
      </c>
      <c r="M12" s="51" t="e">
        <f t="shared" si="2"/>
        <v>#DIV/0!</v>
      </c>
      <c r="N12" s="161">
        <v>0</v>
      </c>
      <c r="O12" s="161">
        <v>0</v>
      </c>
      <c r="P12" s="161">
        <v>0</v>
      </c>
      <c r="Q12" s="161">
        <v>0</v>
      </c>
      <c r="R12" s="79" t="s">
        <v>21</v>
      </c>
      <c r="S12" s="79"/>
      <c r="T12" s="84"/>
    </row>
    <row r="13" ht="20" customHeight="1" spans="1:20">
      <c r="A13" s="65">
        <v>45845</v>
      </c>
      <c r="B13" s="66">
        <v>9058</v>
      </c>
      <c r="C13" s="66">
        <v>7949</v>
      </c>
      <c r="D13" s="66">
        <v>691</v>
      </c>
      <c r="E13" s="56">
        <f t="shared" si="0"/>
        <v>7.62861558843012</v>
      </c>
      <c r="F13" s="66">
        <v>11752</v>
      </c>
      <c r="G13" s="66">
        <v>11737</v>
      </c>
      <c r="H13" s="66">
        <v>15</v>
      </c>
      <c r="I13" s="56">
        <f t="shared" si="1"/>
        <v>0.127637848876787</v>
      </c>
      <c r="J13" s="169">
        <v>10644</v>
      </c>
      <c r="K13" s="169">
        <v>10578</v>
      </c>
      <c r="L13" s="169">
        <v>66</v>
      </c>
      <c r="M13" s="56">
        <f t="shared" si="2"/>
        <v>0.620067643742954</v>
      </c>
      <c r="N13" s="121">
        <v>7121</v>
      </c>
      <c r="O13" s="170">
        <v>157</v>
      </c>
      <c r="P13" s="151">
        <f>D13+H13+L13+O13</f>
        <v>929</v>
      </c>
      <c r="Q13" s="173">
        <f t="shared" ref="Q13:Q19" si="5">O13/N13*100</f>
        <v>2.20474652436456</v>
      </c>
      <c r="R13" s="175">
        <f>SUM(B12:B18)</f>
        <v>62326</v>
      </c>
      <c r="S13" s="89">
        <f>SUM(P12:P18)</f>
        <v>5550</v>
      </c>
      <c r="T13" s="90">
        <f>S13/R13*100</f>
        <v>8.90479093797131</v>
      </c>
    </row>
    <row r="14" ht="20" customHeight="1" spans="1:20">
      <c r="A14" s="65">
        <v>45846</v>
      </c>
      <c r="B14" s="121">
        <v>9811</v>
      </c>
      <c r="C14" s="121">
        <v>8359</v>
      </c>
      <c r="D14" s="121">
        <v>1093</v>
      </c>
      <c r="E14" s="56">
        <f t="shared" ref="E14:E21" si="6">D14/B14*100</f>
        <v>11.1405565181939</v>
      </c>
      <c r="F14" s="121">
        <v>11153</v>
      </c>
      <c r="G14" s="121">
        <v>11121</v>
      </c>
      <c r="H14" s="121">
        <v>32</v>
      </c>
      <c r="I14" s="56">
        <f t="shared" ref="I14:I21" si="7">H14/F14*100</f>
        <v>0.286918317941361</v>
      </c>
      <c r="J14" s="121">
        <v>10945</v>
      </c>
      <c r="K14" s="121">
        <v>10902</v>
      </c>
      <c r="L14" s="121">
        <v>43</v>
      </c>
      <c r="M14" s="56">
        <f t="shared" si="2"/>
        <v>0.392873458200091</v>
      </c>
      <c r="N14" s="121">
        <v>8778</v>
      </c>
      <c r="O14" s="121">
        <v>147</v>
      </c>
      <c r="P14" s="151">
        <f t="shared" ref="P13:P18" si="8">D14+H14+L14+O14</f>
        <v>1315</v>
      </c>
      <c r="Q14" s="173">
        <f t="shared" si="5"/>
        <v>1.67464114832536</v>
      </c>
      <c r="R14" s="176"/>
      <c r="S14" s="103"/>
      <c r="T14" s="104"/>
    </row>
    <row r="15" ht="20" customHeight="1" spans="1:20">
      <c r="A15" s="65">
        <v>45847</v>
      </c>
      <c r="B15" s="66">
        <v>11534</v>
      </c>
      <c r="C15" s="66">
        <v>10670</v>
      </c>
      <c r="D15" s="66">
        <v>674</v>
      </c>
      <c r="E15" s="56">
        <f t="shared" si="6"/>
        <v>5.84359285590428</v>
      </c>
      <c r="F15" s="66">
        <v>11394</v>
      </c>
      <c r="G15" s="66">
        <v>11364</v>
      </c>
      <c r="H15" s="66">
        <v>30</v>
      </c>
      <c r="I15" s="56">
        <f t="shared" si="7"/>
        <v>0.263296471827278</v>
      </c>
      <c r="J15" s="66">
        <v>10366</v>
      </c>
      <c r="K15" s="66">
        <v>10319</v>
      </c>
      <c r="L15" s="66">
        <v>47</v>
      </c>
      <c r="M15" s="56">
        <f t="shared" ref="M14:M21" si="9">L15/J15*100</f>
        <v>0.453405363688983</v>
      </c>
      <c r="N15" s="121">
        <v>0</v>
      </c>
      <c r="O15" s="66">
        <v>0</v>
      </c>
      <c r="P15" s="151">
        <f t="shared" si="8"/>
        <v>751</v>
      </c>
      <c r="Q15" s="173">
        <v>0</v>
      </c>
      <c r="R15" s="176"/>
      <c r="S15" s="85"/>
      <c r="T15" s="86"/>
    </row>
    <row r="16" ht="20" customHeight="1" spans="1:20">
      <c r="A16" s="65">
        <v>45848</v>
      </c>
      <c r="B16" s="66">
        <v>10445</v>
      </c>
      <c r="C16" s="66">
        <v>9505</v>
      </c>
      <c r="D16" s="66">
        <v>773</v>
      </c>
      <c r="E16" s="163">
        <f t="shared" si="6"/>
        <v>7.40067017711824</v>
      </c>
      <c r="F16" s="66">
        <v>9652</v>
      </c>
      <c r="G16" s="66">
        <v>9611</v>
      </c>
      <c r="H16" s="66">
        <v>41</v>
      </c>
      <c r="I16" s="163">
        <f t="shared" si="7"/>
        <v>0.424782428512225</v>
      </c>
      <c r="J16" s="66">
        <v>8804</v>
      </c>
      <c r="K16" s="66">
        <v>8692</v>
      </c>
      <c r="L16" s="66">
        <v>102</v>
      </c>
      <c r="M16" s="56">
        <f t="shared" si="9"/>
        <v>1.15856428895956</v>
      </c>
      <c r="N16" s="121">
        <v>8804</v>
      </c>
      <c r="O16" s="66">
        <v>112</v>
      </c>
      <c r="P16" s="151">
        <f t="shared" si="8"/>
        <v>1028</v>
      </c>
      <c r="Q16" s="173">
        <f t="shared" si="5"/>
        <v>1.27214902317129</v>
      </c>
      <c r="R16" s="176"/>
      <c r="S16" s="85"/>
      <c r="T16" s="86"/>
    </row>
    <row r="17" ht="20" customHeight="1" spans="1:20">
      <c r="A17" s="65">
        <v>45849</v>
      </c>
      <c r="B17" s="66">
        <v>10340</v>
      </c>
      <c r="C17" s="66">
        <v>9422</v>
      </c>
      <c r="D17" s="66">
        <v>590</v>
      </c>
      <c r="E17" s="56">
        <f t="shared" si="6"/>
        <v>5.70599613152805</v>
      </c>
      <c r="F17" s="66">
        <v>10694</v>
      </c>
      <c r="G17" s="66">
        <v>10661</v>
      </c>
      <c r="H17" s="66">
        <v>33</v>
      </c>
      <c r="I17" s="56">
        <f t="shared" si="7"/>
        <v>0.308584252852067</v>
      </c>
      <c r="J17" s="66">
        <v>10661</v>
      </c>
      <c r="K17" s="66">
        <v>10592</v>
      </c>
      <c r="L17" s="66">
        <v>69</v>
      </c>
      <c r="M17" s="56">
        <f t="shared" si="9"/>
        <v>0.647218835006097</v>
      </c>
      <c r="N17" s="121">
        <v>7581</v>
      </c>
      <c r="O17" s="66">
        <v>55</v>
      </c>
      <c r="P17" s="151">
        <f t="shared" si="8"/>
        <v>747</v>
      </c>
      <c r="Q17" s="173">
        <f t="shared" si="5"/>
        <v>0.725497955414853</v>
      </c>
      <c r="R17" s="176"/>
      <c r="S17" s="85"/>
      <c r="T17" s="86"/>
    </row>
    <row r="18" ht="20" customHeight="1" spans="1:20">
      <c r="A18" s="65">
        <v>45850</v>
      </c>
      <c r="B18" s="66">
        <v>11138</v>
      </c>
      <c r="C18" s="66">
        <v>10176</v>
      </c>
      <c r="D18" s="66">
        <v>612</v>
      </c>
      <c r="E18" s="56">
        <f t="shared" si="6"/>
        <v>5.49470281917759</v>
      </c>
      <c r="F18" s="66">
        <v>11488</v>
      </c>
      <c r="G18" s="66">
        <v>11447</v>
      </c>
      <c r="H18" s="66">
        <v>41</v>
      </c>
      <c r="I18" s="56">
        <f t="shared" si="7"/>
        <v>0.356894150417827</v>
      </c>
      <c r="J18" s="66">
        <v>11447</v>
      </c>
      <c r="K18" s="66">
        <v>11367</v>
      </c>
      <c r="L18" s="66">
        <v>80</v>
      </c>
      <c r="M18" s="56">
        <f t="shared" si="9"/>
        <v>0.698873067179174</v>
      </c>
      <c r="N18" s="121">
        <v>6929</v>
      </c>
      <c r="O18" s="66">
        <v>47</v>
      </c>
      <c r="P18" s="151">
        <f t="shared" si="8"/>
        <v>780</v>
      </c>
      <c r="Q18" s="173">
        <f t="shared" si="5"/>
        <v>0.678308558233511</v>
      </c>
      <c r="R18" s="176"/>
      <c r="S18" s="85"/>
      <c r="T18" s="86"/>
    </row>
    <row r="19" s="29" customFormat="1" ht="20" customHeight="1" spans="1:20">
      <c r="A19" s="49" t="s">
        <v>29</v>
      </c>
      <c r="B19" s="50">
        <f>SUM(B12:B18)</f>
        <v>62326</v>
      </c>
      <c r="C19" s="50">
        <f>SUM(C12:C18)</f>
        <v>56081</v>
      </c>
      <c r="D19" s="50">
        <f>SUM(D12:D18)</f>
        <v>4433</v>
      </c>
      <c r="E19" s="51">
        <f t="shared" si="6"/>
        <v>7.11260148252736</v>
      </c>
      <c r="F19" s="50">
        <f>SUM(F12:F18)</f>
        <v>66133</v>
      </c>
      <c r="G19" s="50">
        <f>SUM(G12:G18)</f>
        <v>65941</v>
      </c>
      <c r="H19" s="50">
        <f>SUM(H12:H18)</f>
        <v>192</v>
      </c>
      <c r="I19" s="51">
        <f t="shared" si="7"/>
        <v>0.290324043971996</v>
      </c>
      <c r="J19" s="50">
        <f>SUM(J12:J18)</f>
        <v>62867</v>
      </c>
      <c r="K19" s="50">
        <f>SUM(K12:K18)</f>
        <v>62450</v>
      </c>
      <c r="L19" s="50">
        <f>SUM(L12:L18)</f>
        <v>407</v>
      </c>
      <c r="M19" s="51">
        <f t="shared" si="9"/>
        <v>0.647398476148059</v>
      </c>
      <c r="N19" s="50">
        <f>SUM(N13:N18)</f>
        <v>39213</v>
      </c>
      <c r="O19" s="50">
        <f>SUM(O12:O18)</f>
        <v>518</v>
      </c>
      <c r="P19" s="50">
        <f>SUM(P12:P18)</f>
        <v>5550</v>
      </c>
      <c r="Q19" s="174">
        <f t="shared" si="5"/>
        <v>1.32099048784842</v>
      </c>
      <c r="R19" s="177"/>
      <c r="S19" s="87"/>
      <c r="T19" s="88"/>
    </row>
    <row r="20" ht="20" customHeight="1" spans="1:20">
      <c r="A20" s="52">
        <v>45851</v>
      </c>
      <c r="B20" s="161">
        <v>0</v>
      </c>
      <c r="C20" s="161">
        <v>0</v>
      </c>
      <c r="D20" s="161">
        <v>0</v>
      </c>
      <c r="E20" s="51" t="e">
        <f t="shared" si="6"/>
        <v>#DIV/0!</v>
      </c>
      <c r="F20" s="161">
        <v>0</v>
      </c>
      <c r="G20" s="161">
        <v>0</v>
      </c>
      <c r="H20" s="161">
        <v>0</v>
      </c>
      <c r="I20" s="51" t="e">
        <f t="shared" si="7"/>
        <v>#DIV/0!</v>
      </c>
      <c r="J20" s="161">
        <v>0</v>
      </c>
      <c r="K20" s="161">
        <v>0</v>
      </c>
      <c r="L20" s="161">
        <v>0</v>
      </c>
      <c r="M20" s="51" t="e">
        <f t="shared" si="9"/>
        <v>#DIV/0!</v>
      </c>
      <c r="N20" s="161">
        <v>0</v>
      </c>
      <c r="O20" s="161">
        <v>0</v>
      </c>
      <c r="P20" s="161">
        <v>0</v>
      </c>
      <c r="Q20" s="161">
        <v>0</v>
      </c>
      <c r="R20" s="79" t="s">
        <v>22</v>
      </c>
      <c r="S20" s="79"/>
      <c r="T20" s="84"/>
    </row>
    <row r="21" ht="20" customHeight="1" spans="1:20">
      <c r="A21" s="65">
        <v>45852</v>
      </c>
      <c r="B21" s="66">
        <v>11290</v>
      </c>
      <c r="C21" s="66">
        <v>10305</v>
      </c>
      <c r="D21" s="66">
        <v>600</v>
      </c>
      <c r="E21" s="56">
        <f t="shared" si="6"/>
        <v>5.31443755535872</v>
      </c>
      <c r="F21" s="66">
        <v>9998</v>
      </c>
      <c r="G21" s="66">
        <v>9971</v>
      </c>
      <c r="H21" s="66">
        <v>27</v>
      </c>
      <c r="I21" s="56">
        <f t="shared" si="7"/>
        <v>0.27005401080216</v>
      </c>
      <c r="J21" s="66">
        <v>9971</v>
      </c>
      <c r="K21" s="66">
        <v>9948</v>
      </c>
      <c r="L21" s="66">
        <v>23</v>
      </c>
      <c r="M21" s="56">
        <f t="shared" si="9"/>
        <v>0.230668939925785</v>
      </c>
      <c r="N21" s="121">
        <v>11194</v>
      </c>
      <c r="O21" s="66">
        <v>365</v>
      </c>
      <c r="P21" s="151">
        <f t="shared" ref="P21:P26" si="10">D21+H21+L21+O21</f>
        <v>1015</v>
      </c>
      <c r="Q21" s="173">
        <f t="shared" ref="Q21:Q27" si="11">O21/N21*100</f>
        <v>3.26067536180096</v>
      </c>
      <c r="R21" s="175">
        <f>SUM(B20:B26)</f>
        <v>67389</v>
      </c>
      <c r="S21" s="89">
        <f>SUM(P20:P26)</f>
        <v>4956</v>
      </c>
      <c r="T21" s="90">
        <f>S21/R21*100</f>
        <v>7.35431598628856</v>
      </c>
    </row>
    <row r="22" ht="20" customHeight="1" spans="1:20">
      <c r="A22" s="65">
        <v>45853</v>
      </c>
      <c r="B22" s="121">
        <v>11943</v>
      </c>
      <c r="C22" s="121">
        <v>11116</v>
      </c>
      <c r="D22" s="66">
        <v>572</v>
      </c>
      <c r="E22" s="56">
        <f t="shared" ref="E22:E28" si="12">D22/B22*100</f>
        <v>4.78941639454074</v>
      </c>
      <c r="F22" s="66">
        <v>10458</v>
      </c>
      <c r="G22" s="66">
        <v>10422</v>
      </c>
      <c r="H22" s="66">
        <v>36</v>
      </c>
      <c r="I22" s="56">
        <f t="shared" ref="I22:I28" si="13">H22/F22*100</f>
        <v>0.344234079173838</v>
      </c>
      <c r="J22" s="66">
        <v>10422</v>
      </c>
      <c r="K22" s="66">
        <v>10371</v>
      </c>
      <c r="L22" s="66">
        <v>51</v>
      </c>
      <c r="M22" s="56">
        <f t="shared" ref="M22:M30" si="14">L22/J22*100</f>
        <v>0.489349453080023</v>
      </c>
      <c r="N22" s="121">
        <v>9906</v>
      </c>
      <c r="O22" s="66">
        <v>92</v>
      </c>
      <c r="P22" s="151">
        <f t="shared" si="10"/>
        <v>751</v>
      </c>
      <c r="Q22" s="173">
        <f t="shared" si="11"/>
        <v>0.92873006258833</v>
      </c>
      <c r="R22" s="176"/>
      <c r="S22" s="103"/>
      <c r="T22" s="104"/>
    </row>
    <row r="23" ht="20" customHeight="1" spans="1:20">
      <c r="A23" s="65">
        <v>45854</v>
      </c>
      <c r="B23" s="66">
        <v>9674</v>
      </c>
      <c r="C23" s="66">
        <v>9005</v>
      </c>
      <c r="D23" s="66">
        <v>604</v>
      </c>
      <c r="E23" s="56">
        <f t="shared" si="12"/>
        <v>6.24353938391565</v>
      </c>
      <c r="F23" s="66">
        <v>10839</v>
      </c>
      <c r="G23" s="66">
        <v>10766</v>
      </c>
      <c r="H23" s="66">
        <v>73</v>
      </c>
      <c r="I23" s="56">
        <f t="shared" si="13"/>
        <v>0.67349386474767</v>
      </c>
      <c r="J23" s="66">
        <v>10766</v>
      </c>
      <c r="K23" s="66">
        <v>10686</v>
      </c>
      <c r="L23" s="66">
        <v>80</v>
      </c>
      <c r="M23" s="56">
        <f t="shared" si="14"/>
        <v>0.743080066877206</v>
      </c>
      <c r="N23" s="121">
        <v>12771</v>
      </c>
      <c r="O23" s="66">
        <v>88</v>
      </c>
      <c r="P23" s="151">
        <f t="shared" si="10"/>
        <v>845</v>
      </c>
      <c r="Q23" s="173">
        <f t="shared" si="11"/>
        <v>0.689061154177433</v>
      </c>
      <c r="R23" s="176"/>
      <c r="S23" s="103"/>
      <c r="T23" s="104"/>
    </row>
    <row r="24" ht="20" customHeight="1" spans="1:20">
      <c r="A24" s="65">
        <v>45855</v>
      </c>
      <c r="B24" s="66">
        <v>10096</v>
      </c>
      <c r="C24" s="66">
        <v>9429</v>
      </c>
      <c r="D24" s="66">
        <v>603</v>
      </c>
      <c r="E24" s="56">
        <f t="shared" si="12"/>
        <v>5.97266244057052</v>
      </c>
      <c r="F24" s="66">
        <v>12473</v>
      </c>
      <c r="G24" s="66">
        <v>12456</v>
      </c>
      <c r="H24" s="66">
        <v>17</v>
      </c>
      <c r="I24" s="56">
        <f t="shared" si="13"/>
        <v>0.136294395895133</v>
      </c>
      <c r="J24" s="66">
        <v>12456</v>
      </c>
      <c r="K24" s="66">
        <v>12381</v>
      </c>
      <c r="L24" s="66">
        <v>75</v>
      </c>
      <c r="M24" s="56">
        <f t="shared" si="14"/>
        <v>0.602119460500963</v>
      </c>
      <c r="N24" s="121">
        <v>8783</v>
      </c>
      <c r="O24" s="66">
        <v>91</v>
      </c>
      <c r="P24" s="151">
        <f t="shared" si="10"/>
        <v>786</v>
      </c>
      <c r="Q24" s="173">
        <f t="shared" si="11"/>
        <v>1.03609245132643</v>
      </c>
      <c r="R24" s="176"/>
      <c r="S24" s="85"/>
      <c r="T24" s="86"/>
    </row>
    <row r="25" ht="20" customHeight="1" spans="1:20">
      <c r="A25" s="65">
        <v>45856</v>
      </c>
      <c r="B25" s="66">
        <v>12103</v>
      </c>
      <c r="C25" s="66">
        <v>11421</v>
      </c>
      <c r="D25" s="66">
        <v>525</v>
      </c>
      <c r="E25" s="56">
        <f t="shared" si="12"/>
        <v>4.33776749566223</v>
      </c>
      <c r="F25" s="66">
        <v>11421</v>
      </c>
      <c r="G25" s="66">
        <v>11396</v>
      </c>
      <c r="H25" s="66">
        <v>25</v>
      </c>
      <c r="I25" s="56">
        <f t="shared" si="13"/>
        <v>0.218895017949391</v>
      </c>
      <c r="J25" s="66">
        <v>11396</v>
      </c>
      <c r="K25" s="66">
        <v>11378</v>
      </c>
      <c r="L25" s="66">
        <v>18</v>
      </c>
      <c r="M25" s="56">
        <f t="shared" si="14"/>
        <v>0.157950157950158</v>
      </c>
      <c r="N25" s="121">
        <v>13437</v>
      </c>
      <c r="O25" s="66">
        <v>195</v>
      </c>
      <c r="P25" s="66">
        <f t="shared" si="10"/>
        <v>763</v>
      </c>
      <c r="Q25" s="173">
        <f t="shared" si="11"/>
        <v>1.45121678946193</v>
      </c>
      <c r="R25" s="176"/>
      <c r="S25" s="85"/>
      <c r="T25" s="86"/>
    </row>
    <row r="26" ht="20" customHeight="1" spans="1:20">
      <c r="A26" s="65">
        <v>45857</v>
      </c>
      <c r="B26" s="66">
        <v>12283</v>
      </c>
      <c r="C26" s="66">
        <v>11507</v>
      </c>
      <c r="D26" s="66">
        <v>555</v>
      </c>
      <c r="E26" s="56">
        <f t="shared" si="12"/>
        <v>4.51844012049174</v>
      </c>
      <c r="F26" s="66">
        <v>10557</v>
      </c>
      <c r="G26" s="66">
        <v>10520</v>
      </c>
      <c r="H26" s="66">
        <v>37</v>
      </c>
      <c r="I26" s="56">
        <f t="shared" si="13"/>
        <v>0.350478355593445</v>
      </c>
      <c r="J26" s="66">
        <v>10520</v>
      </c>
      <c r="K26" s="66">
        <v>10500</v>
      </c>
      <c r="L26" s="66">
        <v>20</v>
      </c>
      <c r="M26" s="56">
        <f t="shared" si="14"/>
        <v>0.190114068441065</v>
      </c>
      <c r="N26" s="121">
        <v>9082</v>
      </c>
      <c r="O26" s="66">
        <v>184</v>
      </c>
      <c r="P26" s="66">
        <f t="shared" si="10"/>
        <v>796</v>
      </c>
      <c r="Q26" s="173">
        <f t="shared" si="11"/>
        <v>2.02598546575644</v>
      </c>
      <c r="R26" s="176"/>
      <c r="S26" s="85"/>
      <c r="T26" s="86"/>
    </row>
    <row r="27" ht="20" customHeight="1" spans="1:20">
      <c r="A27" s="49" t="s">
        <v>29</v>
      </c>
      <c r="B27" s="50">
        <f>SUM(B20:B26)</f>
        <v>67389</v>
      </c>
      <c r="C27" s="50">
        <f>SUM(C20:C26)</f>
        <v>62783</v>
      </c>
      <c r="D27" s="50">
        <f>SUM(D20:D26)</f>
        <v>3459</v>
      </c>
      <c r="E27" s="51">
        <f t="shared" si="12"/>
        <v>5.13288518897743</v>
      </c>
      <c r="F27" s="50">
        <f>SUM(F20:F26)</f>
        <v>65746</v>
      </c>
      <c r="G27" s="50">
        <f>SUM(G20:G26)</f>
        <v>65531</v>
      </c>
      <c r="H27" s="50">
        <f>SUM(H20:H26)</f>
        <v>215</v>
      </c>
      <c r="I27" s="51">
        <f t="shared" si="13"/>
        <v>0.327016092233748</v>
      </c>
      <c r="J27" s="50">
        <f t="shared" ref="J27:P27" si="15">SUM(J20:J26)</f>
        <v>65531</v>
      </c>
      <c r="K27" s="50">
        <f t="shared" si="15"/>
        <v>65264</v>
      </c>
      <c r="L27" s="50">
        <f t="shared" si="15"/>
        <v>267</v>
      </c>
      <c r="M27" s="51">
        <f t="shared" si="14"/>
        <v>0.407440753231295</v>
      </c>
      <c r="N27" s="50">
        <f>SUM(N20:N26)</f>
        <v>65173</v>
      </c>
      <c r="O27" s="50">
        <f>SUM(O20:O26)</f>
        <v>1015</v>
      </c>
      <c r="P27" s="50">
        <f t="shared" si="15"/>
        <v>4956</v>
      </c>
      <c r="Q27" s="174">
        <f t="shared" si="11"/>
        <v>1.55739339910699</v>
      </c>
      <c r="R27" s="177"/>
      <c r="S27" s="87"/>
      <c r="T27" s="88"/>
    </row>
    <row r="28" ht="20" customHeight="1" spans="1:20">
      <c r="A28" s="52">
        <v>45858</v>
      </c>
      <c r="B28" s="161">
        <v>0</v>
      </c>
      <c r="C28" s="161">
        <v>0</v>
      </c>
      <c r="D28" s="161">
        <v>0</v>
      </c>
      <c r="E28" s="51" t="e">
        <f t="shared" si="12"/>
        <v>#DIV/0!</v>
      </c>
      <c r="F28" s="161">
        <v>0</v>
      </c>
      <c r="G28" s="161">
        <v>0</v>
      </c>
      <c r="H28" s="161">
        <v>0</v>
      </c>
      <c r="I28" s="51" t="e">
        <f t="shared" si="13"/>
        <v>#DIV/0!</v>
      </c>
      <c r="J28" s="161">
        <v>0</v>
      </c>
      <c r="K28" s="161">
        <v>0</v>
      </c>
      <c r="L28" s="161">
        <v>0</v>
      </c>
      <c r="M28" s="51" t="e">
        <f t="shared" si="14"/>
        <v>#DIV/0!</v>
      </c>
      <c r="N28" s="161">
        <v>0</v>
      </c>
      <c r="O28" s="161">
        <v>0</v>
      </c>
      <c r="P28" s="161">
        <v>0</v>
      </c>
      <c r="Q28" s="161">
        <v>0</v>
      </c>
      <c r="R28" s="79" t="s">
        <v>23</v>
      </c>
      <c r="S28" s="79"/>
      <c r="T28" s="84"/>
    </row>
    <row r="29" ht="20" customHeight="1" spans="1:20">
      <c r="A29" s="65">
        <v>45859</v>
      </c>
      <c r="B29" s="66">
        <v>10884</v>
      </c>
      <c r="C29" s="66">
        <v>10120</v>
      </c>
      <c r="D29" s="66">
        <v>424</v>
      </c>
      <c r="E29" s="56">
        <f t="shared" ref="E29:E41" si="16">D29/B29*100</f>
        <v>3.89562660786476</v>
      </c>
      <c r="F29" s="66">
        <v>11070</v>
      </c>
      <c r="G29" s="66">
        <v>11041</v>
      </c>
      <c r="H29" s="66">
        <v>29</v>
      </c>
      <c r="I29" s="56">
        <f t="shared" ref="I29:I41" si="17">H29/F29*100</f>
        <v>0.26196928635953</v>
      </c>
      <c r="J29" s="66">
        <v>11041</v>
      </c>
      <c r="K29" s="66">
        <v>11012</v>
      </c>
      <c r="L29" s="66">
        <v>29</v>
      </c>
      <c r="M29" s="56">
        <f t="shared" si="14"/>
        <v>0.26265736799203</v>
      </c>
      <c r="N29" s="121">
        <v>9853</v>
      </c>
      <c r="O29" s="66">
        <v>102</v>
      </c>
      <c r="P29" s="66">
        <f t="shared" ref="P29:P34" si="18">D29+H29+L29+O29</f>
        <v>584</v>
      </c>
      <c r="Q29" s="173">
        <f t="shared" ref="Q29:Q35" si="19">O29/N29*100</f>
        <v>1.03521770019283</v>
      </c>
      <c r="R29" s="175">
        <f>SUM(B28:B34)</f>
        <v>83377</v>
      </c>
      <c r="S29" s="89">
        <f>SUM(P28:P34)</f>
        <v>4505</v>
      </c>
      <c r="T29" s="90">
        <f>S29/R29*100</f>
        <v>5.40316873958046</v>
      </c>
    </row>
    <row r="30" ht="20" customHeight="1" spans="1:20">
      <c r="A30" s="65">
        <v>45860</v>
      </c>
      <c r="B30" s="121">
        <v>14229</v>
      </c>
      <c r="C30" s="121">
        <v>13366</v>
      </c>
      <c r="D30" s="66">
        <v>581</v>
      </c>
      <c r="E30" s="56">
        <f t="shared" si="16"/>
        <v>4.08321034506993</v>
      </c>
      <c r="F30" s="66">
        <v>13366</v>
      </c>
      <c r="G30" s="66">
        <v>13349</v>
      </c>
      <c r="H30" s="66">
        <v>17</v>
      </c>
      <c r="I30" s="56">
        <f t="shared" si="17"/>
        <v>0.127188388448302</v>
      </c>
      <c r="J30" s="66">
        <v>13349</v>
      </c>
      <c r="K30" s="66">
        <v>13260</v>
      </c>
      <c r="L30" s="66">
        <v>89</v>
      </c>
      <c r="M30" s="56">
        <f t="shared" si="14"/>
        <v>0.666716607985617</v>
      </c>
      <c r="N30" s="121">
        <v>11842</v>
      </c>
      <c r="O30" s="66">
        <v>177</v>
      </c>
      <c r="P30" s="121">
        <f t="shared" si="18"/>
        <v>864</v>
      </c>
      <c r="Q30" s="173">
        <f t="shared" si="19"/>
        <v>1.49467995271069</v>
      </c>
      <c r="R30" s="176"/>
      <c r="S30" s="103"/>
      <c r="T30" s="104"/>
    </row>
    <row r="31" ht="20" customHeight="1" spans="1:20">
      <c r="A31" s="65">
        <v>45861</v>
      </c>
      <c r="B31" s="66">
        <v>14278</v>
      </c>
      <c r="C31" s="66">
        <v>13291</v>
      </c>
      <c r="D31" s="66">
        <v>645</v>
      </c>
      <c r="E31" s="56">
        <f t="shared" si="16"/>
        <v>4.51743941728533</v>
      </c>
      <c r="F31" s="66">
        <v>13505</v>
      </c>
      <c r="G31" s="66">
        <v>13479</v>
      </c>
      <c r="H31" s="66">
        <v>26</v>
      </c>
      <c r="I31" s="56">
        <f t="shared" si="17"/>
        <v>0.192521288411699</v>
      </c>
      <c r="J31" s="66">
        <v>13479</v>
      </c>
      <c r="K31" s="66">
        <v>13469</v>
      </c>
      <c r="L31" s="66">
        <v>10</v>
      </c>
      <c r="M31" s="56">
        <f t="shared" ref="M29:M36" si="20">L31/J31*100</f>
        <v>0.0741894799317457</v>
      </c>
      <c r="N31" s="121">
        <v>13840</v>
      </c>
      <c r="O31" s="66">
        <v>134</v>
      </c>
      <c r="P31" s="66">
        <f t="shared" si="18"/>
        <v>815</v>
      </c>
      <c r="Q31" s="173">
        <f t="shared" si="19"/>
        <v>0.968208092485549</v>
      </c>
      <c r="R31" s="176"/>
      <c r="S31" s="103"/>
      <c r="T31" s="104"/>
    </row>
    <row r="32" ht="20" customHeight="1" spans="1:20">
      <c r="A32" s="65">
        <v>45862</v>
      </c>
      <c r="B32" s="66">
        <v>15795</v>
      </c>
      <c r="C32" s="66">
        <v>14843</v>
      </c>
      <c r="D32" s="66">
        <v>509</v>
      </c>
      <c r="E32" s="56">
        <f t="shared" si="16"/>
        <v>3.22253877809433</v>
      </c>
      <c r="F32" s="66">
        <v>11893</v>
      </c>
      <c r="G32" s="66">
        <v>11869</v>
      </c>
      <c r="H32" s="66">
        <v>24</v>
      </c>
      <c r="I32" s="56">
        <f t="shared" si="17"/>
        <v>0.201799377785252</v>
      </c>
      <c r="J32" s="66">
        <v>11869</v>
      </c>
      <c r="K32" s="66">
        <v>11860</v>
      </c>
      <c r="L32" s="66">
        <v>9</v>
      </c>
      <c r="M32" s="56">
        <f t="shared" si="20"/>
        <v>0.0758277866711602</v>
      </c>
      <c r="N32" s="121">
        <v>13333</v>
      </c>
      <c r="O32" s="66">
        <v>105</v>
      </c>
      <c r="P32" s="66">
        <f t="shared" si="18"/>
        <v>647</v>
      </c>
      <c r="Q32" s="173">
        <f t="shared" si="19"/>
        <v>0.7875196879922</v>
      </c>
      <c r="R32" s="176"/>
      <c r="S32" s="85"/>
      <c r="T32" s="86"/>
    </row>
    <row r="33" ht="20" customHeight="1" spans="1:20">
      <c r="A33" s="65">
        <v>45863</v>
      </c>
      <c r="B33" s="66">
        <v>13114</v>
      </c>
      <c r="C33" s="66">
        <v>12280</v>
      </c>
      <c r="D33" s="66">
        <v>561</v>
      </c>
      <c r="E33" s="56">
        <f t="shared" si="16"/>
        <v>4.27787097758121</v>
      </c>
      <c r="F33" s="66">
        <v>13520</v>
      </c>
      <c r="G33" s="66">
        <v>13488</v>
      </c>
      <c r="H33" s="66">
        <v>32</v>
      </c>
      <c r="I33" s="56">
        <f t="shared" si="17"/>
        <v>0.236686390532544</v>
      </c>
      <c r="J33" s="66">
        <v>13488</v>
      </c>
      <c r="K33" s="66">
        <v>13473</v>
      </c>
      <c r="L33" s="66">
        <v>15</v>
      </c>
      <c r="M33" s="56">
        <f t="shared" si="20"/>
        <v>0.111209964412811</v>
      </c>
      <c r="N33" s="121">
        <v>16037</v>
      </c>
      <c r="O33" s="66">
        <v>198</v>
      </c>
      <c r="P33" s="66">
        <f t="shared" si="18"/>
        <v>806</v>
      </c>
      <c r="Q33" s="173">
        <f t="shared" si="19"/>
        <v>1.23464488370643</v>
      </c>
      <c r="R33" s="176"/>
      <c r="S33" s="85"/>
      <c r="T33" s="86"/>
    </row>
    <row r="34" ht="20" customHeight="1" spans="1:20">
      <c r="A34" s="65">
        <v>45864</v>
      </c>
      <c r="B34" s="66">
        <v>15077</v>
      </c>
      <c r="C34" s="66">
        <v>13476</v>
      </c>
      <c r="D34" s="66">
        <v>615</v>
      </c>
      <c r="E34" s="56">
        <f t="shared" si="16"/>
        <v>4.07906082111826</v>
      </c>
      <c r="F34" s="66">
        <v>12451</v>
      </c>
      <c r="G34" s="66">
        <v>12410</v>
      </c>
      <c r="H34" s="66">
        <v>41</v>
      </c>
      <c r="I34" s="56">
        <f t="shared" si="17"/>
        <v>0.329290820014457</v>
      </c>
      <c r="J34" s="66">
        <v>12410</v>
      </c>
      <c r="K34" s="66">
        <v>12400</v>
      </c>
      <c r="L34" s="66">
        <v>10</v>
      </c>
      <c r="M34" s="56">
        <f t="shared" si="20"/>
        <v>0.08058017727639</v>
      </c>
      <c r="N34" s="121">
        <v>10422</v>
      </c>
      <c r="O34" s="66">
        <v>123</v>
      </c>
      <c r="P34" s="66">
        <f t="shared" si="18"/>
        <v>789</v>
      </c>
      <c r="Q34" s="173">
        <f t="shared" si="19"/>
        <v>1.18019573978123</v>
      </c>
      <c r="R34" s="176"/>
      <c r="S34" s="85"/>
      <c r="T34" s="86"/>
    </row>
    <row r="35" ht="20" customHeight="1" spans="1:20">
      <c r="A35" s="49" t="s">
        <v>29</v>
      </c>
      <c r="B35" s="50">
        <f>SUM(B28:B34)</f>
        <v>83377</v>
      </c>
      <c r="C35" s="50">
        <f>SUM(C28:C34)</f>
        <v>77376</v>
      </c>
      <c r="D35" s="50">
        <f>SUM(D28:D34)</f>
        <v>3335</v>
      </c>
      <c r="E35" s="51">
        <f t="shared" si="16"/>
        <v>3.99990405027765</v>
      </c>
      <c r="F35" s="50">
        <f>SUM(F28:F34)</f>
        <v>75805</v>
      </c>
      <c r="G35" s="50">
        <f>SUM(G28:G34)</f>
        <v>75636</v>
      </c>
      <c r="H35" s="50">
        <f>SUM(H28:H34)</f>
        <v>169</v>
      </c>
      <c r="I35" s="51">
        <f t="shared" si="17"/>
        <v>0.222940439285008</v>
      </c>
      <c r="J35" s="50">
        <f t="shared" ref="J35:P35" si="21">SUM(J28:J34)</f>
        <v>75636</v>
      </c>
      <c r="K35" s="50">
        <f t="shared" si="21"/>
        <v>75474</v>
      </c>
      <c r="L35" s="50">
        <f t="shared" si="21"/>
        <v>162</v>
      </c>
      <c r="M35" s="51">
        <f t="shared" si="20"/>
        <v>0.214183722037125</v>
      </c>
      <c r="N35" s="50">
        <f>SUM(N28:N34)</f>
        <v>75327</v>
      </c>
      <c r="O35" s="50">
        <f>SUM(O28:O34)</f>
        <v>839</v>
      </c>
      <c r="P35" s="50">
        <f t="shared" si="21"/>
        <v>4505</v>
      </c>
      <c r="Q35" s="174">
        <f t="shared" si="19"/>
        <v>1.11381045309119</v>
      </c>
      <c r="R35" s="177"/>
      <c r="S35" s="87"/>
      <c r="T35" s="88"/>
    </row>
    <row r="36" ht="20" customHeight="1" spans="1:20">
      <c r="A36" s="52">
        <v>45865</v>
      </c>
      <c r="B36" s="161">
        <v>0</v>
      </c>
      <c r="C36" s="161">
        <v>0</v>
      </c>
      <c r="D36" s="161">
        <v>0</v>
      </c>
      <c r="E36" s="51" t="e">
        <f t="shared" si="16"/>
        <v>#DIV/0!</v>
      </c>
      <c r="F36" s="161">
        <v>0</v>
      </c>
      <c r="G36" s="161">
        <v>0</v>
      </c>
      <c r="H36" s="161">
        <v>0</v>
      </c>
      <c r="I36" s="51" t="e">
        <f t="shared" si="17"/>
        <v>#DIV/0!</v>
      </c>
      <c r="J36" s="161">
        <v>0</v>
      </c>
      <c r="K36" s="161">
        <v>0</v>
      </c>
      <c r="L36" s="161">
        <v>0</v>
      </c>
      <c r="M36" s="51" t="e">
        <f t="shared" si="20"/>
        <v>#DIV/0!</v>
      </c>
      <c r="N36" s="161">
        <v>0</v>
      </c>
      <c r="O36" s="161">
        <v>0</v>
      </c>
      <c r="P36" s="161">
        <v>0</v>
      </c>
      <c r="Q36" s="161">
        <v>0</v>
      </c>
      <c r="R36" s="79" t="s">
        <v>24</v>
      </c>
      <c r="S36" s="79"/>
      <c r="T36" s="84"/>
    </row>
    <row r="37" ht="20" customHeight="1" spans="1:20">
      <c r="A37" s="65">
        <v>45866</v>
      </c>
      <c r="B37" s="66">
        <v>11225</v>
      </c>
      <c r="C37" s="66">
        <v>10388</v>
      </c>
      <c r="D37" s="66">
        <v>622</v>
      </c>
      <c r="E37" s="56">
        <f t="shared" si="16"/>
        <v>5.54120267260579</v>
      </c>
      <c r="F37" s="66">
        <v>11082</v>
      </c>
      <c r="G37" s="66">
        <v>11068</v>
      </c>
      <c r="H37" s="66">
        <v>14</v>
      </c>
      <c r="I37" s="56">
        <f t="shared" si="17"/>
        <v>0.126330987186428</v>
      </c>
      <c r="J37" s="66">
        <v>11074</v>
      </c>
      <c r="K37" s="66">
        <v>11061</v>
      </c>
      <c r="L37" s="66">
        <v>13</v>
      </c>
      <c r="M37" s="56">
        <f t="shared" ref="M37:M42" si="22">L37/J37*100</f>
        <v>0.117392089579195</v>
      </c>
      <c r="N37" s="121">
        <v>12645</v>
      </c>
      <c r="O37" s="66">
        <v>83</v>
      </c>
      <c r="P37" s="66">
        <f>D37+H37+L37+O37</f>
        <v>732</v>
      </c>
      <c r="Q37" s="173">
        <f>O37/N37*100</f>
        <v>0.656385923289838</v>
      </c>
      <c r="R37" s="175">
        <f>SUM(B36:B40)</f>
        <v>51019</v>
      </c>
      <c r="S37" s="89">
        <f>SUM(P36:P40)</f>
        <v>2925</v>
      </c>
      <c r="T37" s="90">
        <f>S37/R37*100</f>
        <v>5.73315823516729</v>
      </c>
    </row>
    <row r="38" ht="20" customHeight="1" spans="1:20">
      <c r="A38" s="65">
        <v>45867</v>
      </c>
      <c r="B38" s="121">
        <v>13015</v>
      </c>
      <c r="C38" s="121">
        <v>11973</v>
      </c>
      <c r="D38" s="66">
        <v>320</v>
      </c>
      <c r="E38" s="56">
        <f t="shared" si="16"/>
        <v>2.45870149827123</v>
      </c>
      <c r="F38" s="66">
        <v>13451</v>
      </c>
      <c r="G38" s="66">
        <v>13422</v>
      </c>
      <c r="H38" s="66">
        <v>29</v>
      </c>
      <c r="I38" s="56">
        <f t="shared" si="17"/>
        <v>0.215597353356628</v>
      </c>
      <c r="J38" s="66">
        <v>13416</v>
      </c>
      <c r="K38" s="66">
        <v>13369</v>
      </c>
      <c r="L38" s="66">
        <v>47</v>
      </c>
      <c r="M38" s="56">
        <f t="shared" si="22"/>
        <v>0.350327966607036</v>
      </c>
      <c r="N38" s="121">
        <v>13923</v>
      </c>
      <c r="O38" s="66">
        <v>140</v>
      </c>
      <c r="P38" s="66">
        <f>D38+H38+L38+O38</f>
        <v>536</v>
      </c>
      <c r="Q38" s="173">
        <f>O38/N38*100</f>
        <v>1.00553041729512</v>
      </c>
      <c r="R38" s="176"/>
      <c r="S38" s="103"/>
      <c r="T38" s="104"/>
    </row>
    <row r="39" ht="20" customHeight="1" spans="1:20">
      <c r="A39" s="65">
        <v>45868</v>
      </c>
      <c r="B39" s="121">
        <v>13137</v>
      </c>
      <c r="C39" s="121">
        <v>12242</v>
      </c>
      <c r="D39" s="66">
        <v>578</v>
      </c>
      <c r="E39" s="56">
        <f t="shared" si="16"/>
        <v>4.39978686153612</v>
      </c>
      <c r="F39" s="66">
        <v>9594</v>
      </c>
      <c r="G39" s="66">
        <v>9571</v>
      </c>
      <c r="H39" s="66">
        <v>23</v>
      </c>
      <c r="I39" s="56">
        <f t="shared" si="17"/>
        <v>0.239733166562435</v>
      </c>
      <c r="J39" s="66">
        <v>9571</v>
      </c>
      <c r="K39" s="66">
        <v>9532</v>
      </c>
      <c r="L39" s="66">
        <v>39</v>
      </c>
      <c r="M39" s="56">
        <f t="shared" si="22"/>
        <v>0.407480931982029</v>
      </c>
      <c r="N39" s="121">
        <v>14215</v>
      </c>
      <c r="O39" s="66">
        <v>184</v>
      </c>
      <c r="P39" s="66">
        <f>D39+H39+L39+O39</f>
        <v>824</v>
      </c>
      <c r="Q39" s="173">
        <f>O39/N39*100</f>
        <v>1.29440731621527</v>
      </c>
      <c r="R39" s="176"/>
      <c r="S39" s="103"/>
      <c r="T39" s="104"/>
    </row>
    <row r="40" ht="20" customHeight="1" spans="1:20">
      <c r="A40" s="65">
        <v>45869</v>
      </c>
      <c r="B40" s="66">
        <v>13642</v>
      </c>
      <c r="C40" s="66">
        <v>12822</v>
      </c>
      <c r="D40" s="66">
        <v>541</v>
      </c>
      <c r="E40" s="56">
        <f t="shared" si="16"/>
        <v>3.96569417973904</v>
      </c>
      <c r="F40" s="66">
        <v>14970</v>
      </c>
      <c r="G40" s="66">
        <v>14945</v>
      </c>
      <c r="H40" s="66">
        <v>25</v>
      </c>
      <c r="I40" s="56">
        <f t="shared" si="17"/>
        <v>0.167000668002672</v>
      </c>
      <c r="J40" s="66">
        <v>14945</v>
      </c>
      <c r="K40" s="66">
        <v>14939</v>
      </c>
      <c r="L40" s="66">
        <v>6</v>
      </c>
      <c r="M40" s="56">
        <f t="shared" si="22"/>
        <v>0.040147206423553</v>
      </c>
      <c r="N40" s="121">
        <v>14180</v>
      </c>
      <c r="O40" s="66">
        <v>261</v>
      </c>
      <c r="P40" s="66">
        <f>D40+H40+L40+O40</f>
        <v>833</v>
      </c>
      <c r="Q40" s="173">
        <f>O40/N40*100</f>
        <v>1.84062059238364</v>
      </c>
      <c r="R40" s="176"/>
      <c r="S40" s="103"/>
      <c r="T40" s="104"/>
    </row>
    <row r="41" ht="20" customHeight="1" spans="1:20">
      <c r="A41" s="49" t="s">
        <v>29</v>
      </c>
      <c r="B41" s="50">
        <f>SUM(B36:B40)</f>
        <v>51019</v>
      </c>
      <c r="C41" s="50">
        <f>SUM(C36:C40)</f>
        <v>47425</v>
      </c>
      <c r="D41" s="50">
        <f>SUM(D36:D40)</f>
        <v>2061</v>
      </c>
      <c r="E41" s="51">
        <f t="shared" si="16"/>
        <v>4.03967149493326</v>
      </c>
      <c r="F41" s="50">
        <f>SUM(F36:F40)</f>
        <v>49097</v>
      </c>
      <c r="G41" s="50">
        <f>SUM(G36:G40)</f>
        <v>49006</v>
      </c>
      <c r="H41" s="50">
        <f>SUM(H36:H40)</f>
        <v>91</v>
      </c>
      <c r="I41" s="51">
        <f t="shared" si="17"/>
        <v>0.185347373566613</v>
      </c>
      <c r="J41" s="50">
        <f>SUM(J36:J40)</f>
        <v>49006</v>
      </c>
      <c r="K41" s="50">
        <f>SUM(K36:K40)</f>
        <v>48901</v>
      </c>
      <c r="L41" s="50">
        <f>SUM(L36:L40)</f>
        <v>105</v>
      </c>
      <c r="M41" s="51">
        <f t="shared" si="22"/>
        <v>0.214259478431213</v>
      </c>
      <c r="N41" s="50">
        <f>SUM(N37:N40)</f>
        <v>54963</v>
      </c>
      <c r="O41" s="50">
        <f>SUM(O36:O40)</f>
        <v>668</v>
      </c>
      <c r="P41" s="50">
        <f>SUM(P36:P40)</f>
        <v>2925</v>
      </c>
      <c r="Q41" s="174">
        <f>O41/N41*100</f>
        <v>1.21536306242381</v>
      </c>
      <c r="R41" s="176"/>
      <c r="S41" s="85"/>
      <c r="T41" s="86"/>
    </row>
    <row r="42" ht="20" customHeight="1" spans="1:20">
      <c r="A42" s="136" t="s">
        <v>25</v>
      </c>
      <c r="B42" s="137">
        <f>B41+B35+B27+B19+B11</f>
        <v>318831</v>
      </c>
      <c r="C42" s="137">
        <f>C41+C35+C27+C19+C11</f>
        <v>291609</v>
      </c>
      <c r="D42" s="137">
        <f>D41+D35+D27+D19+D11</f>
        <v>17562</v>
      </c>
      <c r="E42" s="164">
        <f t="shared" ref="E40:E42" si="23">D42/B42*100</f>
        <v>5.50824731597617</v>
      </c>
      <c r="F42" s="137">
        <f t="shared" ref="B42:H42" si="24">F41+F35+F27+F19+F11</f>
        <v>313744</v>
      </c>
      <c r="G42" s="137">
        <f t="shared" si="24"/>
        <v>312819</v>
      </c>
      <c r="H42" s="137">
        <f t="shared" si="24"/>
        <v>925</v>
      </c>
      <c r="I42" s="164">
        <f t="shared" ref="I40:I42" si="25">H42/F42*100</f>
        <v>0.294826355245041</v>
      </c>
      <c r="J42" s="137">
        <f t="shared" ref="J42:L42" si="26">J41+J35+J27+J19+J11</f>
        <v>310745</v>
      </c>
      <c r="K42" s="137">
        <f t="shared" si="26"/>
        <v>309160</v>
      </c>
      <c r="L42" s="137">
        <f t="shared" si="26"/>
        <v>1575</v>
      </c>
      <c r="M42" s="164">
        <f t="shared" si="22"/>
        <v>0.506846449661298</v>
      </c>
      <c r="N42" s="137">
        <f>N41+N35+N27+N19+N11</f>
        <v>290757</v>
      </c>
      <c r="O42" s="137">
        <f>O41+O35+O27+O19+O11</f>
        <v>4451</v>
      </c>
      <c r="P42" s="137">
        <f>D42+H42+L42+O42</f>
        <v>24513</v>
      </c>
      <c r="Q42" s="178">
        <f>P42/B42*100</f>
        <v>7.68839918326637</v>
      </c>
      <c r="R42" s="179"/>
      <c r="S42" s="142"/>
      <c r="T42" s="143"/>
    </row>
    <row r="46" spans="13:13">
      <c r="M46" s="99"/>
    </row>
  </sheetData>
  <mergeCells count="43">
    <mergeCell ref="A3:T3"/>
    <mergeCell ref="R6:T6"/>
    <mergeCell ref="R12:T12"/>
    <mergeCell ref="R20:T20"/>
    <mergeCell ref="R28:T28"/>
    <mergeCell ref="R36:T36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R7:R11"/>
    <mergeCell ref="R13:R19"/>
    <mergeCell ref="R21:R27"/>
    <mergeCell ref="R29:R35"/>
    <mergeCell ref="R37:R42"/>
    <mergeCell ref="S4:S5"/>
    <mergeCell ref="S7:S11"/>
    <mergeCell ref="S13:S19"/>
    <mergeCell ref="S21:S27"/>
    <mergeCell ref="S29:S35"/>
    <mergeCell ref="S37:S42"/>
    <mergeCell ref="T4:T5"/>
    <mergeCell ref="T7:T11"/>
    <mergeCell ref="T13:T19"/>
    <mergeCell ref="T21:T27"/>
    <mergeCell ref="T29:T35"/>
    <mergeCell ref="T37:T42"/>
    <mergeCell ref="A1:B2"/>
    <mergeCell ref="C1:T2"/>
  </mergeCells>
  <pageMargins left="0.251388888888889" right="0.251388888888889" top="0.251388888888889" bottom="0.251388888888889" header="0.251388888888889" footer="0.251388888888889"/>
  <pageSetup paperSize="9" scale="64" orientation="landscape"/>
  <headerFooter/>
  <ignoredErrors>
    <ignoredError sqref="E34" evalError="1" emptyCellReference="1"/>
    <ignoredError sqref="I35" formula="1"/>
    <ignoredError sqref="J35:L35 F35:H35 B35:C35 R29" emptyCellReferenc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42"/>
  <sheetViews>
    <sheetView topLeftCell="A3" workbookViewId="0">
      <pane xSplit="1" ySplit="3" topLeftCell="B6" activePane="bottomRight" state="frozen"/>
      <selection/>
      <selection pane="topRight"/>
      <selection pane="bottomLeft"/>
      <selection pane="bottomRight" activeCell="P10" sqref="P10"/>
    </sheetView>
  </sheetViews>
  <sheetFormatPr defaultColWidth="9" defaultRowHeight="15"/>
  <cols>
    <col min="1" max="1" width="11.1428571428571"/>
    <col min="2" max="2" width="7.57142857142857" customWidth="1"/>
    <col min="3" max="3" width="9.71428571428571" customWidth="1"/>
    <col min="4" max="4" width="10.1428571428571"/>
    <col min="5" max="6" width="9.57142857142857" customWidth="1"/>
    <col min="7" max="7" width="9.42857142857143" customWidth="1"/>
    <col min="9" max="9" width="12.8571428571429"/>
    <col min="10" max="10" width="10.4285714285714" customWidth="1"/>
    <col min="11" max="11" width="11.8571428571429" customWidth="1"/>
    <col min="12" max="12" width="10.8571428571429" customWidth="1"/>
    <col min="13" max="15" width="12.8571428571429"/>
    <col min="16" max="16" width="13.2857142857143" style="30" customWidth="1"/>
    <col min="17" max="18" width="10.1428571428571"/>
  </cols>
  <sheetData>
    <row r="1" spans="1:20">
      <c r="A1" s="130"/>
      <c r="B1" s="131"/>
      <c r="C1" s="132" t="s">
        <v>26</v>
      </c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8"/>
    </row>
    <row r="2" ht="67" customHeight="1" spans="1:20">
      <c r="A2" s="134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139"/>
    </row>
    <row r="3" ht="21" customHeight="1" spans="1:20">
      <c r="A3" s="135" t="s">
        <v>31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40"/>
    </row>
    <row r="4" spans="1:20">
      <c r="A4" s="41" t="s">
        <v>2</v>
      </c>
      <c r="B4" s="43" t="s">
        <v>3</v>
      </c>
      <c r="C4" s="43" t="s">
        <v>4</v>
      </c>
      <c r="D4" s="43" t="s">
        <v>5</v>
      </c>
      <c r="E4" s="43" t="s">
        <v>6</v>
      </c>
      <c r="F4" s="43" t="s">
        <v>7</v>
      </c>
      <c r="G4" s="43" t="s">
        <v>8</v>
      </c>
      <c r="H4" s="43" t="s">
        <v>5</v>
      </c>
      <c r="I4" s="43" t="s">
        <v>6</v>
      </c>
      <c r="J4" s="43" t="s">
        <v>9</v>
      </c>
      <c r="K4" s="43" t="s">
        <v>10</v>
      </c>
      <c r="L4" s="43" t="s">
        <v>11</v>
      </c>
      <c r="M4" s="43" t="s">
        <v>6</v>
      </c>
      <c r="N4" s="75" t="s">
        <v>12</v>
      </c>
      <c r="O4" s="43" t="s">
        <v>13</v>
      </c>
      <c r="P4" s="43" t="s">
        <v>14</v>
      </c>
      <c r="Q4" s="42" t="s">
        <v>32</v>
      </c>
      <c r="R4" s="43" t="s">
        <v>16</v>
      </c>
      <c r="S4" s="43" t="s">
        <v>17</v>
      </c>
      <c r="T4" s="76" t="s">
        <v>18</v>
      </c>
    </row>
    <row r="5" ht="38" customHeight="1" spans="1:20">
      <c r="A5" s="41"/>
      <c r="B5" s="43"/>
      <c r="C5" s="45"/>
      <c r="D5" s="45"/>
      <c r="E5" s="43"/>
      <c r="F5" s="43"/>
      <c r="G5" s="45"/>
      <c r="H5" s="45"/>
      <c r="I5" s="45"/>
      <c r="J5" s="45"/>
      <c r="K5" s="45"/>
      <c r="L5" s="45"/>
      <c r="M5" s="45"/>
      <c r="N5" s="77"/>
      <c r="O5" s="43"/>
      <c r="P5" s="45"/>
      <c r="Q5" s="44"/>
      <c r="R5" s="43"/>
      <c r="S5" s="43"/>
      <c r="T5" s="76"/>
    </row>
    <row r="6" ht="18" customHeight="1" spans="1:20">
      <c r="A6" s="46">
        <v>45870</v>
      </c>
      <c r="B6" s="47">
        <v>14332</v>
      </c>
      <c r="C6" s="47">
        <v>13483</v>
      </c>
      <c r="D6" s="47">
        <v>437</v>
      </c>
      <c r="E6" s="56">
        <f t="shared" ref="E6:E36" si="0">D6/B6*100</f>
        <v>3.04912084845102</v>
      </c>
      <c r="F6" s="47">
        <v>11911</v>
      </c>
      <c r="G6" s="47">
        <v>11886</v>
      </c>
      <c r="H6" s="47">
        <v>25</v>
      </c>
      <c r="I6" s="56">
        <f t="shared" ref="I6:I36" si="1">H6/F6*100</f>
        <v>0.209890017630761</v>
      </c>
      <c r="J6" s="47">
        <v>11886</v>
      </c>
      <c r="K6" s="47">
        <v>11845</v>
      </c>
      <c r="L6" s="47">
        <v>41</v>
      </c>
      <c r="M6" s="56">
        <f t="shared" ref="M6:M36" si="2">L6/J6*100</f>
        <v>0.344943631162712</v>
      </c>
      <c r="N6" s="57">
        <v>15047</v>
      </c>
      <c r="O6" s="47">
        <v>96</v>
      </c>
      <c r="P6" s="151">
        <f>D6+H6+L6+O6</f>
        <v>599</v>
      </c>
      <c r="Q6" s="153">
        <f t="shared" ref="Q6:Q14" si="3">O6/N6*100</f>
        <v>0.638000930418024</v>
      </c>
      <c r="R6" s="79" t="s">
        <v>19</v>
      </c>
      <c r="S6" s="79"/>
      <c r="T6" s="84"/>
    </row>
    <row r="7" ht="18" customHeight="1" spans="1:20">
      <c r="A7" s="46">
        <v>45871</v>
      </c>
      <c r="B7" s="47">
        <v>11884</v>
      </c>
      <c r="C7" s="47">
        <v>11771</v>
      </c>
      <c r="D7" s="47">
        <v>423</v>
      </c>
      <c r="E7" s="56">
        <f t="shared" si="0"/>
        <v>3.55940760686637</v>
      </c>
      <c r="F7" s="47">
        <v>11156</v>
      </c>
      <c r="G7" s="47">
        <v>11146</v>
      </c>
      <c r="H7" s="47">
        <v>13</v>
      </c>
      <c r="I7" s="56">
        <f t="shared" si="1"/>
        <v>0.116529221943349</v>
      </c>
      <c r="J7" s="47">
        <v>9783</v>
      </c>
      <c r="K7" s="47">
        <v>9746</v>
      </c>
      <c r="L7" s="47">
        <v>32</v>
      </c>
      <c r="M7" s="56">
        <f t="shared" si="2"/>
        <v>0.327098027190024</v>
      </c>
      <c r="N7" s="57">
        <v>11710</v>
      </c>
      <c r="O7" s="47">
        <v>131</v>
      </c>
      <c r="P7" s="151">
        <f>D7+H7+L7+O7</f>
        <v>599</v>
      </c>
      <c r="Q7" s="153">
        <f t="shared" si="3"/>
        <v>1.11870196413322</v>
      </c>
      <c r="R7" s="89">
        <f>SUM(B6:B8)</f>
        <v>26216</v>
      </c>
      <c r="S7" s="89">
        <f>SUM(P6:P8)</f>
        <v>1198</v>
      </c>
      <c r="T7" s="90">
        <f>S7/R7*100</f>
        <v>4.56972841013122</v>
      </c>
    </row>
    <row r="8" ht="18" customHeight="1" spans="1:20">
      <c r="A8" s="144">
        <v>45872</v>
      </c>
      <c r="B8" s="145"/>
      <c r="C8" s="145"/>
      <c r="D8" s="145"/>
      <c r="E8" s="71"/>
      <c r="F8" s="145"/>
      <c r="G8" s="145"/>
      <c r="H8" s="145"/>
      <c r="I8" s="71"/>
      <c r="J8" s="145"/>
      <c r="K8" s="145"/>
      <c r="L8" s="145"/>
      <c r="M8" s="71"/>
      <c r="N8" s="71"/>
      <c r="O8" s="145"/>
      <c r="P8" s="83"/>
      <c r="Q8" s="154"/>
      <c r="R8" s="85"/>
      <c r="S8" s="85"/>
      <c r="T8" s="86"/>
    </row>
    <row r="9" ht="18" customHeight="1" spans="1:20">
      <c r="A9" s="49" t="s">
        <v>29</v>
      </c>
      <c r="B9" s="50">
        <f>SUM(B6:B8)</f>
        <v>26216</v>
      </c>
      <c r="C9" s="50">
        <f t="shared" ref="B9:H9" si="4">SUM(C6:C8)</f>
        <v>25254</v>
      </c>
      <c r="D9" s="50">
        <f t="shared" si="4"/>
        <v>860</v>
      </c>
      <c r="E9" s="51">
        <f>D9/B9*100</f>
        <v>3.28043942630455</v>
      </c>
      <c r="F9" s="50">
        <f t="shared" si="4"/>
        <v>23067</v>
      </c>
      <c r="G9" s="50">
        <f t="shared" si="4"/>
        <v>23032</v>
      </c>
      <c r="H9" s="50">
        <f t="shared" si="4"/>
        <v>38</v>
      </c>
      <c r="I9" s="51">
        <f>H9/F9*100</f>
        <v>0.164737503793298</v>
      </c>
      <c r="J9" s="50">
        <f t="shared" ref="J9:L9" si="5">SUM(J6:J8)</f>
        <v>21669</v>
      </c>
      <c r="K9" s="50">
        <f t="shared" si="5"/>
        <v>21591</v>
      </c>
      <c r="L9" s="50">
        <f t="shared" si="5"/>
        <v>73</v>
      </c>
      <c r="M9" s="51">
        <f>L9/J9*100</f>
        <v>0.336886796806498</v>
      </c>
      <c r="N9" s="50">
        <f>SUM(N6:N7)</f>
        <v>26757</v>
      </c>
      <c r="O9" s="50">
        <f>SUM(O6:O8)</f>
        <v>227</v>
      </c>
      <c r="P9" s="50">
        <f>SUM(P6:P8)</f>
        <v>1198</v>
      </c>
      <c r="Q9" s="128"/>
      <c r="R9" s="87"/>
      <c r="S9" s="87"/>
      <c r="T9" s="88"/>
    </row>
    <row r="10" ht="18" customHeight="1" spans="1:20">
      <c r="A10" s="46">
        <v>45873</v>
      </c>
      <c r="B10" s="146">
        <v>9697</v>
      </c>
      <c r="C10" s="146">
        <v>8890</v>
      </c>
      <c r="D10" s="146">
        <v>281</v>
      </c>
      <c r="E10" s="56">
        <f t="shared" si="0"/>
        <v>2.89780344436424</v>
      </c>
      <c r="F10" s="146">
        <v>11108</v>
      </c>
      <c r="G10" s="146">
        <v>11103</v>
      </c>
      <c r="H10" s="146">
        <v>5</v>
      </c>
      <c r="I10" s="56">
        <f t="shared" si="1"/>
        <v>0.0450126035289881</v>
      </c>
      <c r="J10" s="146">
        <v>8103</v>
      </c>
      <c r="K10" s="146">
        <v>8080</v>
      </c>
      <c r="L10" s="146">
        <v>23</v>
      </c>
      <c r="M10" s="56">
        <f t="shared" si="2"/>
        <v>0.283845489324941</v>
      </c>
      <c r="N10" s="57">
        <v>5999</v>
      </c>
      <c r="O10" s="146">
        <v>184</v>
      </c>
      <c r="P10" s="151">
        <f>D10+H10+L10+O10</f>
        <v>493</v>
      </c>
      <c r="Q10" s="153">
        <f t="shared" si="3"/>
        <v>3.06717786297716</v>
      </c>
      <c r="R10" s="79" t="s">
        <v>21</v>
      </c>
      <c r="S10" s="79"/>
      <c r="T10" s="84"/>
    </row>
    <row r="11" ht="18" customHeight="1" spans="1:20">
      <c r="A11" s="46">
        <v>45874</v>
      </c>
      <c r="B11" s="146">
        <v>12170</v>
      </c>
      <c r="C11" s="146">
        <v>10928</v>
      </c>
      <c r="D11" s="146">
        <v>537</v>
      </c>
      <c r="E11" s="56">
        <f t="shared" si="0"/>
        <v>4.41248972884141</v>
      </c>
      <c r="F11" s="146">
        <v>11104</v>
      </c>
      <c r="G11" s="146">
        <v>11050</v>
      </c>
      <c r="H11" s="146">
        <v>54</v>
      </c>
      <c r="I11" s="56">
        <f t="shared" si="1"/>
        <v>0.486311239193084</v>
      </c>
      <c r="J11" s="146">
        <v>9136</v>
      </c>
      <c r="K11" s="146">
        <v>8717</v>
      </c>
      <c r="L11" s="146">
        <v>419</v>
      </c>
      <c r="M11" s="56">
        <f t="shared" si="2"/>
        <v>4.58625218914186</v>
      </c>
      <c r="N11" s="57">
        <v>14575</v>
      </c>
      <c r="O11" s="146">
        <v>301</v>
      </c>
      <c r="P11" s="151">
        <f>D11+H11+L11+O11</f>
        <v>1311</v>
      </c>
      <c r="Q11" s="153">
        <f t="shared" si="3"/>
        <v>2.06518010291595</v>
      </c>
      <c r="R11" s="155">
        <f>SUM(B10:B16)</f>
        <v>51425</v>
      </c>
      <c r="S11" s="129">
        <f>SUM(P10:P16)</f>
        <v>4434</v>
      </c>
      <c r="T11" s="156">
        <f>S11/R11*100</f>
        <v>8.62226543509966</v>
      </c>
    </row>
    <row r="12" s="29" customFormat="1" ht="18" customHeight="1" spans="1:20">
      <c r="A12" s="59">
        <v>45875</v>
      </c>
      <c r="B12" s="57">
        <v>9162</v>
      </c>
      <c r="C12" s="57">
        <v>8596</v>
      </c>
      <c r="D12" s="57">
        <v>291</v>
      </c>
      <c r="E12" s="56">
        <f t="shared" si="0"/>
        <v>3.17616240995416</v>
      </c>
      <c r="F12" s="57">
        <v>9696</v>
      </c>
      <c r="G12" s="57">
        <v>9682</v>
      </c>
      <c r="H12" s="57">
        <v>14</v>
      </c>
      <c r="I12" s="56">
        <f t="shared" si="1"/>
        <v>0.144389438943894</v>
      </c>
      <c r="J12" s="57">
        <v>13059</v>
      </c>
      <c r="K12" s="57">
        <v>13036</v>
      </c>
      <c r="L12" s="57">
        <v>23</v>
      </c>
      <c r="M12" s="56">
        <f t="shared" si="2"/>
        <v>0.176123746075503</v>
      </c>
      <c r="N12" s="57">
        <v>11666</v>
      </c>
      <c r="O12" s="57">
        <v>295</v>
      </c>
      <c r="P12" s="57">
        <f>D12+H12+L12+O12</f>
        <v>623</v>
      </c>
      <c r="Q12" s="153">
        <f t="shared" si="3"/>
        <v>2.52871592662438</v>
      </c>
      <c r="R12" s="155"/>
      <c r="S12" s="129"/>
      <c r="T12" s="156"/>
    </row>
    <row r="13" ht="18" customHeight="1" spans="1:20">
      <c r="A13" s="65">
        <v>45876</v>
      </c>
      <c r="B13" s="147">
        <v>11553</v>
      </c>
      <c r="C13" s="147">
        <v>9762</v>
      </c>
      <c r="D13" s="147">
        <v>584</v>
      </c>
      <c r="E13" s="56">
        <f t="shared" si="0"/>
        <v>5.0549640785943</v>
      </c>
      <c r="F13" s="147">
        <v>10891</v>
      </c>
      <c r="G13" s="147">
        <v>10881</v>
      </c>
      <c r="H13" s="147">
        <v>10</v>
      </c>
      <c r="I13" s="56">
        <f t="shared" si="1"/>
        <v>0.0918189330639978</v>
      </c>
      <c r="J13" s="57">
        <v>12418</v>
      </c>
      <c r="K13" s="57">
        <v>12396</v>
      </c>
      <c r="L13" s="57">
        <v>22</v>
      </c>
      <c r="M13" s="56">
        <f t="shared" si="2"/>
        <v>0.177162183926558</v>
      </c>
      <c r="N13" s="57">
        <v>13772</v>
      </c>
      <c r="O13" s="57">
        <v>275</v>
      </c>
      <c r="P13" s="57">
        <f>D13+H13+L13+O13</f>
        <v>891</v>
      </c>
      <c r="Q13" s="153">
        <f t="shared" si="3"/>
        <v>1.99680511182109</v>
      </c>
      <c r="R13" s="155"/>
      <c r="S13" s="129"/>
      <c r="T13" s="156"/>
    </row>
    <row r="14" ht="18" customHeight="1" spans="1:20">
      <c r="A14" s="65">
        <v>45877</v>
      </c>
      <c r="B14" s="57">
        <v>8843</v>
      </c>
      <c r="C14" s="57">
        <v>6765</v>
      </c>
      <c r="D14" s="57">
        <v>737</v>
      </c>
      <c r="E14" s="56">
        <f t="shared" si="0"/>
        <v>8.33427569829243</v>
      </c>
      <c r="F14" s="57">
        <v>8078</v>
      </c>
      <c r="G14" s="57">
        <v>8049</v>
      </c>
      <c r="H14" s="57">
        <v>9</v>
      </c>
      <c r="I14" s="56">
        <f t="shared" si="1"/>
        <v>0.111413716266403</v>
      </c>
      <c r="J14" s="57">
        <v>8049</v>
      </c>
      <c r="K14" s="57">
        <v>8028</v>
      </c>
      <c r="L14" s="57">
        <v>21</v>
      </c>
      <c r="M14" s="56">
        <f t="shared" si="2"/>
        <v>0.260901975400671</v>
      </c>
      <c r="N14" s="57">
        <v>13500</v>
      </c>
      <c r="O14" s="57">
        <v>349</v>
      </c>
      <c r="P14" s="57">
        <f>D14+H14+L14+O14</f>
        <v>1116</v>
      </c>
      <c r="Q14" s="153">
        <f t="shared" ref="Q14:Q21" si="6">O14/N14*100</f>
        <v>2.58518518518518</v>
      </c>
      <c r="R14" s="155"/>
      <c r="S14" s="129"/>
      <c r="T14" s="156"/>
    </row>
    <row r="15" ht="18" customHeight="1" spans="1:20">
      <c r="A15" s="148">
        <v>45878</v>
      </c>
      <c r="B15" s="149" t="s">
        <v>33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7"/>
      <c r="R15" s="155"/>
      <c r="S15" s="129"/>
      <c r="T15" s="156"/>
    </row>
    <row r="16" s="29" customFormat="1" ht="18" customHeight="1" spans="1:20">
      <c r="A16" s="52">
        <v>45879</v>
      </c>
      <c r="B16" s="58"/>
      <c r="C16" s="58"/>
      <c r="D16" s="58"/>
      <c r="E16" s="71"/>
      <c r="F16" s="58"/>
      <c r="G16" s="58"/>
      <c r="H16" s="58"/>
      <c r="I16" s="152"/>
      <c r="J16" s="58"/>
      <c r="K16" s="58"/>
      <c r="L16" s="58"/>
      <c r="M16" s="71"/>
      <c r="N16" s="71"/>
      <c r="O16" s="58"/>
      <c r="P16" s="83"/>
      <c r="Q16" s="158"/>
      <c r="R16" s="155"/>
      <c r="S16" s="129"/>
      <c r="T16" s="156"/>
    </row>
    <row r="17" s="29" customFormat="1" ht="18" customHeight="1" spans="1:20">
      <c r="A17" s="49" t="s">
        <v>29</v>
      </c>
      <c r="B17" s="50">
        <f>SUM(B10:B16)</f>
        <v>51425</v>
      </c>
      <c r="C17" s="50">
        <f>SUM(C10:C16)</f>
        <v>44941</v>
      </c>
      <c r="D17" s="50">
        <f>SUM(D10:D16)</f>
        <v>2430</v>
      </c>
      <c r="E17" s="51">
        <f t="shared" si="0"/>
        <v>4.72532814778804</v>
      </c>
      <c r="F17" s="50">
        <f>SUM(F10:F16)</f>
        <v>50877</v>
      </c>
      <c r="G17" s="50">
        <f>SUM(G10:G16)</f>
        <v>50765</v>
      </c>
      <c r="H17" s="50">
        <f>SUM(H10:H16)</f>
        <v>92</v>
      </c>
      <c r="I17" s="51">
        <f t="shared" si="1"/>
        <v>0.180828272107239</v>
      </c>
      <c r="J17" s="50">
        <f t="shared" ref="J17:N17" si="7">SUM(J10:J16)</f>
        <v>50765</v>
      </c>
      <c r="K17" s="50">
        <f t="shared" si="7"/>
        <v>50257</v>
      </c>
      <c r="L17" s="50">
        <f t="shared" si="7"/>
        <v>508</v>
      </c>
      <c r="M17" s="51">
        <f t="shared" si="2"/>
        <v>1.00068945139368</v>
      </c>
      <c r="N17" s="50">
        <f>SUM(N10:N16)</f>
        <v>59512</v>
      </c>
      <c r="O17" s="50">
        <f>SUM(O10:O16)</f>
        <v>1404</v>
      </c>
      <c r="P17" s="82">
        <f>SUM(P10:P16)</f>
        <v>4434</v>
      </c>
      <c r="Q17" s="159"/>
      <c r="R17" s="155"/>
      <c r="S17" s="129"/>
      <c r="T17" s="156"/>
    </row>
    <row r="18" ht="18" customHeight="1" spans="1:20">
      <c r="A18" s="65">
        <v>45880</v>
      </c>
      <c r="B18" s="66">
        <v>10488</v>
      </c>
      <c r="C18" s="66">
        <v>9678</v>
      </c>
      <c r="D18" s="66">
        <v>656</v>
      </c>
      <c r="E18" s="56">
        <f t="shared" si="0"/>
        <v>6.25476735316552</v>
      </c>
      <c r="F18" s="66">
        <v>9570</v>
      </c>
      <c r="G18" s="66">
        <v>9558</v>
      </c>
      <c r="H18" s="66">
        <v>12</v>
      </c>
      <c r="I18" s="56">
        <f t="shared" si="1"/>
        <v>0.125391849529781</v>
      </c>
      <c r="J18" s="66">
        <v>7217</v>
      </c>
      <c r="K18" s="66">
        <v>7181</v>
      </c>
      <c r="L18" s="66">
        <v>36</v>
      </c>
      <c r="M18" s="56">
        <f t="shared" si="2"/>
        <v>0.498822225301372</v>
      </c>
      <c r="N18" s="57">
        <v>10079</v>
      </c>
      <c r="O18" s="57">
        <v>32</v>
      </c>
      <c r="P18" s="151">
        <f>D18+H18+L18+O18</f>
        <v>736</v>
      </c>
      <c r="Q18" s="153">
        <f t="shared" si="6"/>
        <v>0.317491814664153</v>
      </c>
      <c r="R18" s="79" t="s">
        <v>22</v>
      </c>
      <c r="S18" s="79"/>
      <c r="T18" s="84"/>
    </row>
    <row r="19" ht="18" customHeight="1" spans="1:20">
      <c r="A19" s="65">
        <v>45881</v>
      </c>
      <c r="B19" s="66">
        <v>7782</v>
      </c>
      <c r="C19" s="66">
        <v>6410</v>
      </c>
      <c r="D19" s="66">
        <v>629</v>
      </c>
      <c r="E19" s="56">
        <f t="shared" si="0"/>
        <v>8.08275507581599</v>
      </c>
      <c r="F19" s="66">
        <v>7334</v>
      </c>
      <c r="G19" s="66">
        <v>7255</v>
      </c>
      <c r="H19" s="66">
        <v>79</v>
      </c>
      <c r="I19" s="56">
        <f t="shared" si="1"/>
        <v>1.0771748022907</v>
      </c>
      <c r="J19" s="66">
        <v>9069</v>
      </c>
      <c r="K19" s="66">
        <v>9032</v>
      </c>
      <c r="L19" s="66">
        <v>37</v>
      </c>
      <c r="M19" s="56">
        <f t="shared" si="2"/>
        <v>0.407983239607454</v>
      </c>
      <c r="N19" s="57">
        <v>10673</v>
      </c>
      <c r="O19" s="57">
        <v>64</v>
      </c>
      <c r="P19" s="151">
        <f>D19+H19+L19+O19</f>
        <v>809</v>
      </c>
      <c r="Q19" s="153">
        <f t="shared" si="6"/>
        <v>0.59964396139792</v>
      </c>
      <c r="R19" s="80">
        <f>SUM(B18:B24)</f>
        <v>45370</v>
      </c>
      <c r="S19" s="129">
        <f>SUM(P18:P24)</f>
        <v>3024</v>
      </c>
      <c r="T19" s="156">
        <f>S19/R19*100</f>
        <v>6.66519726691646</v>
      </c>
    </row>
    <row r="20" ht="18" customHeight="1" spans="1:20">
      <c r="A20" s="59">
        <v>45882</v>
      </c>
      <c r="B20" s="66">
        <v>9961</v>
      </c>
      <c r="C20" s="66">
        <v>8888</v>
      </c>
      <c r="D20" s="66">
        <v>461</v>
      </c>
      <c r="E20" s="56">
        <f t="shared" si="0"/>
        <v>4.62804939263126</v>
      </c>
      <c r="F20" s="66">
        <v>8183</v>
      </c>
      <c r="G20" s="66">
        <v>8080</v>
      </c>
      <c r="H20" s="66">
        <v>49</v>
      </c>
      <c r="I20" s="56">
        <f t="shared" si="1"/>
        <v>0.598802395209581</v>
      </c>
      <c r="J20" s="66">
        <v>8048</v>
      </c>
      <c r="K20" s="66">
        <v>8032</v>
      </c>
      <c r="L20" s="66">
        <v>16</v>
      </c>
      <c r="M20" s="56">
        <f t="shared" si="2"/>
        <v>0.198807157057654</v>
      </c>
      <c r="N20" s="57">
        <v>8213</v>
      </c>
      <c r="O20" s="57">
        <v>61</v>
      </c>
      <c r="P20" s="151">
        <f>D20+H20+L20+O20</f>
        <v>587</v>
      </c>
      <c r="Q20" s="153">
        <f t="shared" si="6"/>
        <v>0.74272494825277</v>
      </c>
      <c r="R20" s="80"/>
      <c r="S20" s="80"/>
      <c r="T20" s="156"/>
    </row>
    <row r="21" ht="18" customHeight="1" spans="1:20">
      <c r="A21" s="65">
        <v>45883</v>
      </c>
      <c r="B21" s="66">
        <v>8592</v>
      </c>
      <c r="C21" s="66">
        <v>7888</v>
      </c>
      <c r="D21" s="66">
        <v>343</v>
      </c>
      <c r="E21" s="56">
        <f t="shared" si="0"/>
        <v>3.99208566108007</v>
      </c>
      <c r="F21" s="66">
        <v>8455</v>
      </c>
      <c r="G21" s="66">
        <v>8408</v>
      </c>
      <c r="H21" s="66">
        <v>47</v>
      </c>
      <c r="I21" s="56">
        <f t="shared" si="1"/>
        <v>0.555884092253105</v>
      </c>
      <c r="J21" s="66">
        <v>8887</v>
      </c>
      <c r="K21" s="66">
        <v>8869</v>
      </c>
      <c r="L21" s="66">
        <v>18</v>
      </c>
      <c r="M21" s="56">
        <f t="shared" si="2"/>
        <v>0.202543040396084</v>
      </c>
      <c r="N21" s="57">
        <v>4204</v>
      </c>
      <c r="O21" s="57">
        <v>176</v>
      </c>
      <c r="P21" s="151">
        <f>D21+H21+L21+O21</f>
        <v>584</v>
      </c>
      <c r="Q21" s="153">
        <f t="shared" si="6"/>
        <v>4.18648905803996</v>
      </c>
      <c r="R21" s="80"/>
      <c r="S21" s="129"/>
      <c r="T21" s="156"/>
    </row>
    <row r="22" ht="18" customHeight="1" spans="1:20">
      <c r="A22" s="148">
        <v>45884</v>
      </c>
      <c r="B22" s="149" t="s">
        <v>33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7"/>
      <c r="R22" s="80"/>
      <c r="S22" s="129"/>
      <c r="T22" s="156"/>
    </row>
    <row r="23" ht="18" customHeight="1" spans="1:20">
      <c r="A23" s="148">
        <v>45885</v>
      </c>
      <c r="B23" s="149" t="s">
        <v>33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7"/>
      <c r="R23" s="80"/>
      <c r="S23" s="129"/>
      <c r="T23" s="156"/>
    </row>
    <row r="24" s="29" customFormat="1" ht="18" customHeight="1" spans="1:20">
      <c r="A24" s="52">
        <v>45886</v>
      </c>
      <c r="B24" s="58">
        <v>8547</v>
      </c>
      <c r="C24" s="58">
        <v>8242</v>
      </c>
      <c r="D24" s="58">
        <v>219</v>
      </c>
      <c r="E24" s="71">
        <f t="shared" si="0"/>
        <v>2.56230256230256</v>
      </c>
      <c r="F24" s="58">
        <v>8242</v>
      </c>
      <c r="G24" s="58">
        <v>8209</v>
      </c>
      <c r="H24" s="58">
        <v>33</v>
      </c>
      <c r="I24" s="71">
        <f t="shared" si="1"/>
        <v>0.400388255277845</v>
      </c>
      <c r="J24" s="58">
        <v>5929</v>
      </c>
      <c r="K24" s="58">
        <v>5886</v>
      </c>
      <c r="L24" s="58">
        <v>23</v>
      </c>
      <c r="M24" s="71">
        <f t="shared" si="2"/>
        <v>0.387923764547141</v>
      </c>
      <c r="N24" s="71">
        <v>3752</v>
      </c>
      <c r="O24" s="58">
        <v>33</v>
      </c>
      <c r="P24" s="83">
        <f>D24+H24+L24+O24</f>
        <v>308</v>
      </c>
      <c r="Q24" s="160">
        <f t="shared" ref="Q24:Q31" si="8">O24/N24*100</f>
        <v>0.87953091684435</v>
      </c>
      <c r="R24" s="80"/>
      <c r="S24" s="129"/>
      <c r="T24" s="156"/>
    </row>
    <row r="25" customFormat="1" ht="18" customHeight="1" spans="1:20">
      <c r="A25" s="49" t="s">
        <v>29</v>
      </c>
      <c r="B25" s="50">
        <f>SUM(B18:B24)</f>
        <v>45370</v>
      </c>
      <c r="C25" s="50">
        <f>SUM(C18:C24)</f>
        <v>41106</v>
      </c>
      <c r="D25" s="50">
        <f>SUM(D18:D24)</f>
        <v>2308</v>
      </c>
      <c r="E25" s="51">
        <f t="shared" si="0"/>
        <v>5.08706193519947</v>
      </c>
      <c r="F25" s="50">
        <f>SUM(F18:F24)</f>
        <v>41784</v>
      </c>
      <c r="G25" s="50">
        <f>SUM(G18:G24)</f>
        <v>41510</v>
      </c>
      <c r="H25" s="50">
        <f>SUM(H18:H24)</f>
        <v>220</v>
      </c>
      <c r="I25" s="51">
        <f t="shared" si="1"/>
        <v>0.526517327206586</v>
      </c>
      <c r="J25" s="50">
        <f>SUM(J18:J24)</f>
        <v>39150</v>
      </c>
      <c r="K25" s="50">
        <f>SUM(K18:K24)</f>
        <v>39000</v>
      </c>
      <c r="L25" s="50">
        <f>SUM(L18:L24)</f>
        <v>130</v>
      </c>
      <c r="M25" s="51">
        <f t="shared" si="2"/>
        <v>0.33205619412516</v>
      </c>
      <c r="N25" s="50">
        <f>SUM(N18:N24)</f>
        <v>36921</v>
      </c>
      <c r="O25" s="50">
        <f>SUM(O18:O24)</f>
        <v>366</v>
      </c>
      <c r="P25" s="50">
        <f>SUM(P18:P24)</f>
        <v>3024</v>
      </c>
      <c r="Q25" s="153"/>
      <c r="R25" s="80"/>
      <c r="S25" s="129"/>
      <c r="T25" s="156"/>
    </row>
    <row r="26" ht="18" customHeight="1" spans="1:20">
      <c r="A26" s="65">
        <v>45887</v>
      </c>
      <c r="B26" s="66">
        <v>6890</v>
      </c>
      <c r="C26" s="66">
        <v>6696</v>
      </c>
      <c r="D26" s="66">
        <v>105</v>
      </c>
      <c r="E26" s="56">
        <f t="shared" si="0"/>
        <v>1.52394775036284</v>
      </c>
      <c r="F26" s="66">
        <v>7808</v>
      </c>
      <c r="G26" s="66">
        <v>7776</v>
      </c>
      <c r="H26" s="66">
        <v>32</v>
      </c>
      <c r="I26" s="56">
        <f t="shared" si="1"/>
        <v>0.409836065573771</v>
      </c>
      <c r="J26" s="66">
        <v>10056</v>
      </c>
      <c r="K26" s="66">
        <v>10037</v>
      </c>
      <c r="L26" s="66">
        <v>19</v>
      </c>
      <c r="M26" s="56">
        <f t="shared" si="2"/>
        <v>0.188941925218775</v>
      </c>
      <c r="N26" s="57">
        <v>8023</v>
      </c>
      <c r="O26" s="66">
        <v>191</v>
      </c>
      <c r="P26" s="151">
        <f t="shared" ref="P26:P31" si="9">D26+H26+L26+O26</f>
        <v>347</v>
      </c>
      <c r="Q26" s="153">
        <f t="shared" si="8"/>
        <v>2.38065561510657</v>
      </c>
      <c r="R26" s="79" t="s">
        <v>23</v>
      </c>
      <c r="S26" s="79"/>
      <c r="T26" s="84"/>
    </row>
    <row r="27" ht="18" customHeight="1" spans="1:20">
      <c r="A27" s="65">
        <v>45888</v>
      </c>
      <c r="B27" s="66">
        <v>11334</v>
      </c>
      <c r="C27" s="66">
        <v>10733</v>
      </c>
      <c r="D27" s="66">
        <v>527</v>
      </c>
      <c r="E27" s="56">
        <f t="shared" si="0"/>
        <v>4.64972648667725</v>
      </c>
      <c r="F27" s="66">
        <v>13121</v>
      </c>
      <c r="G27" s="66">
        <v>13098</v>
      </c>
      <c r="H27" s="66">
        <v>23</v>
      </c>
      <c r="I27" s="56">
        <f t="shared" si="1"/>
        <v>0.175291517414831</v>
      </c>
      <c r="J27" s="66">
        <v>7690</v>
      </c>
      <c r="K27" s="66">
        <v>7623</v>
      </c>
      <c r="L27" s="66">
        <v>67</v>
      </c>
      <c r="M27" s="56">
        <f t="shared" si="2"/>
        <v>0.871261378413524</v>
      </c>
      <c r="N27" s="57">
        <v>13237</v>
      </c>
      <c r="O27" s="66">
        <v>81</v>
      </c>
      <c r="P27" s="151">
        <f t="shared" si="9"/>
        <v>698</v>
      </c>
      <c r="Q27" s="153">
        <f t="shared" si="8"/>
        <v>0.611921130165445</v>
      </c>
      <c r="R27" s="155">
        <f>SUM(B26:B32)</f>
        <v>68039</v>
      </c>
      <c r="S27" s="129">
        <f>SUM(P26:P32)</f>
        <v>3822</v>
      </c>
      <c r="T27" s="156">
        <f>S27/R27*100</f>
        <v>5.61736651038375</v>
      </c>
    </row>
    <row r="28" ht="18" customHeight="1" spans="1:20">
      <c r="A28" s="65">
        <v>45889</v>
      </c>
      <c r="B28" s="66">
        <v>12010</v>
      </c>
      <c r="C28" s="66">
        <v>11516</v>
      </c>
      <c r="D28" s="66">
        <v>449</v>
      </c>
      <c r="E28" s="56">
        <f t="shared" si="0"/>
        <v>3.73855120732723</v>
      </c>
      <c r="F28" s="66">
        <v>12865</v>
      </c>
      <c r="G28" s="66">
        <v>12827</v>
      </c>
      <c r="H28" s="66">
        <v>38</v>
      </c>
      <c r="I28" s="56">
        <f t="shared" si="1"/>
        <v>0.295375048581422</v>
      </c>
      <c r="J28" s="66">
        <v>10848</v>
      </c>
      <c r="K28" s="66">
        <v>10704</v>
      </c>
      <c r="L28" s="66">
        <v>144</v>
      </c>
      <c r="M28" s="56">
        <f t="shared" si="2"/>
        <v>1.32743362831858</v>
      </c>
      <c r="N28" s="57">
        <v>10765</v>
      </c>
      <c r="O28" s="66">
        <v>48</v>
      </c>
      <c r="P28" s="151">
        <f t="shared" si="9"/>
        <v>679</v>
      </c>
      <c r="Q28" s="153">
        <f t="shared" si="8"/>
        <v>0.445889456572225</v>
      </c>
      <c r="R28" s="155"/>
      <c r="S28" s="129"/>
      <c r="T28" s="156"/>
    </row>
    <row r="29" ht="18" customHeight="1" spans="1:20">
      <c r="A29" s="65">
        <v>45890</v>
      </c>
      <c r="B29" s="66">
        <v>12150</v>
      </c>
      <c r="C29" s="66">
        <v>11422</v>
      </c>
      <c r="D29" s="66">
        <v>524</v>
      </c>
      <c r="E29" s="56">
        <f t="shared" si="0"/>
        <v>4.31275720164609</v>
      </c>
      <c r="F29" s="66">
        <v>11422</v>
      </c>
      <c r="G29" s="66">
        <v>11393</v>
      </c>
      <c r="H29" s="66">
        <v>29</v>
      </c>
      <c r="I29" s="56">
        <f t="shared" si="1"/>
        <v>0.253895990194362</v>
      </c>
      <c r="J29" s="66">
        <v>10788</v>
      </c>
      <c r="K29" s="66">
        <v>10715</v>
      </c>
      <c r="L29" s="66">
        <v>73</v>
      </c>
      <c r="M29" s="56">
        <f t="shared" si="2"/>
        <v>0.676677790137189</v>
      </c>
      <c r="N29" s="57">
        <v>8501</v>
      </c>
      <c r="O29" s="66">
        <v>119</v>
      </c>
      <c r="P29" s="151">
        <f t="shared" si="9"/>
        <v>745</v>
      </c>
      <c r="Q29" s="153">
        <f t="shared" si="8"/>
        <v>1.39983531349253</v>
      </c>
      <c r="R29" s="155"/>
      <c r="S29" s="129"/>
      <c r="T29" s="156"/>
    </row>
    <row r="30" ht="18" customHeight="1" spans="1:20">
      <c r="A30" s="65">
        <v>45891</v>
      </c>
      <c r="B30" s="121">
        <v>11276</v>
      </c>
      <c r="C30" s="121">
        <v>10723</v>
      </c>
      <c r="D30" s="66">
        <v>282</v>
      </c>
      <c r="E30" s="56">
        <f t="shared" si="0"/>
        <v>2.50088683930472</v>
      </c>
      <c r="F30" s="66">
        <v>10571</v>
      </c>
      <c r="G30" s="66">
        <v>10544</v>
      </c>
      <c r="H30" s="66">
        <v>27</v>
      </c>
      <c r="I30" s="56">
        <f t="shared" si="1"/>
        <v>0.255415760098382</v>
      </c>
      <c r="J30" s="66">
        <v>11557</v>
      </c>
      <c r="K30" s="66">
        <v>11140</v>
      </c>
      <c r="L30" s="66">
        <v>417</v>
      </c>
      <c r="M30" s="56">
        <f t="shared" si="2"/>
        <v>3.60820282080125</v>
      </c>
      <c r="N30" s="57">
        <v>13945</v>
      </c>
      <c r="O30" s="66">
        <v>44</v>
      </c>
      <c r="P30" s="151">
        <f t="shared" si="9"/>
        <v>770</v>
      </c>
      <c r="Q30" s="153">
        <f t="shared" si="8"/>
        <v>0.315525277877375</v>
      </c>
      <c r="R30" s="155"/>
      <c r="S30" s="129"/>
      <c r="T30" s="156"/>
    </row>
    <row r="31" ht="18" customHeight="1" spans="1:20">
      <c r="A31" s="65">
        <v>45892</v>
      </c>
      <c r="B31" s="66">
        <v>14379</v>
      </c>
      <c r="C31" s="66">
        <v>13789</v>
      </c>
      <c r="D31" s="66">
        <v>278</v>
      </c>
      <c r="E31" s="56">
        <f t="shared" si="0"/>
        <v>1.93337506085263</v>
      </c>
      <c r="F31" s="66">
        <v>13789</v>
      </c>
      <c r="G31" s="66">
        <v>13776</v>
      </c>
      <c r="H31" s="66">
        <v>13</v>
      </c>
      <c r="I31" s="56">
        <f t="shared" si="1"/>
        <v>0.0942780477191965</v>
      </c>
      <c r="J31" s="66">
        <v>13944</v>
      </c>
      <c r="K31" s="66">
        <v>13830</v>
      </c>
      <c r="L31" s="66">
        <v>114</v>
      </c>
      <c r="M31" s="56">
        <f t="shared" si="2"/>
        <v>0.817555938037866</v>
      </c>
      <c r="N31" s="57">
        <v>15605</v>
      </c>
      <c r="O31" s="66">
        <v>178</v>
      </c>
      <c r="P31" s="151">
        <f t="shared" si="9"/>
        <v>583</v>
      </c>
      <c r="Q31" s="153">
        <f t="shared" si="8"/>
        <v>1.14066004485742</v>
      </c>
      <c r="R31" s="155"/>
      <c r="S31" s="129"/>
      <c r="T31" s="156"/>
    </row>
    <row r="32" ht="18" customHeight="1" spans="1:20">
      <c r="A32" s="52">
        <v>45893</v>
      </c>
      <c r="B32" s="58"/>
      <c r="C32" s="58"/>
      <c r="D32" s="58"/>
      <c r="E32" s="71"/>
      <c r="F32" s="58"/>
      <c r="G32" s="58"/>
      <c r="H32" s="58"/>
      <c r="I32" s="71"/>
      <c r="J32" s="58"/>
      <c r="K32" s="58"/>
      <c r="L32" s="58"/>
      <c r="M32" s="71"/>
      <c r="N32" s="71"/>
      <c r="O32" s="58"/>
      <c r="P32" s="58"/>
      <c r="Q32" s="161"/>
      <c r="R32" s="155"/>
      <c r="S32" s="129"/>
      <c r="T32" s="156"/>
    </row>
    <row r="33" ht="18" customHeight="1" spans="1:20">
      <c r="A33" s="49" t="s">
        <v>29</v>
      </c>
      <c r="B33" s="50">
        <f>SUM(B26:B32)</f>
        <v>68039</v>
      </c>
      <c r="C33" s="50">
        <f>SUM(C26:C32)</f>
        <v>64879</v>
      </c>
      <c r="D33" s="50">
        <f>SUM(D26:D32)</f>
        <v>2165</v>
      </c>
      <c r="E33" s="51">
        <f t="shared" si="0"/>
        <v>3.18199855964961</v>
      </c>
      <c r="F33" s="50">
        <f>SUM(F26:F32)</f>
        <v>69576</v>
      </c>
      <c r="G33" s="50">
        <f>SUM(G26:G32)</f>
        <v>69414</v>
      </c>
      <c r="H33" s="50">
        <f>SUM(H26:H32)</f>
        <v>162</v>
      </c>
      <c r="I33" s="51">
        <f t="shared" si="1"/>
        <v>0.232838909968955</v>
      </c>
      <c r="J33" s="50">
        <f t="shared" ref="J33:N33" si="10">SUM(J26:J32)</f>
        <v>64883</v>
      </c>
      <c r="K33" s="50">
        <f t="shared" si="10"/>
        <v>64049</v>
      </c>
      <c r="L33" s="50">
        <f t="shared" si="10"/>
        <v>834</v>
      </c>
      <c r="M33" s="51">
        <f t="shared" si="2"/>
        <v>1.28539062620409</v>
      </c>
      <c r="N33" s="50">
        <f>SUM(N26:N32)</f>
        <v>70076</v>
      </c>
      <c r="O33" s="50">
        <f>SUM(O26:O32)</f>
        <v>661</v>
      </c>
      <c r="P33" s="50">
        <f>SUM(P26:P32)</f>
        <v>3822</v>
      </c>
      <c r="Q33" s="155"/>
      <c r="R33" s="155"/>
      <c r="S33" s="129"/>
      <c r="T33" s="156"/>
    </row>
    <row r="34" ht="18" customHeight="1" spans="1:20">
      <c r="A34" s="65">
        <v>45894</v>
      </c>
      <c r="B34" s="66">
        <v>15717</v>
      </c>
      <c r="C34" s="66">
        <v>14501</v>
      </c>
      <c r="D34" s="66">
        <v>912</v>
      </c>
      <c r="E34" s="56">
        <f t="shared" si="0"/>
        <v>5.80263409047528</v>
      </c>
      <c r="F34" s="66">
        <v>10091</v>
      </c>
      <c r="G34" s="66">
        <v>10078</v>
      </c>
      <c r="H34" s="66">
        <v>13</v>
      </c>
      <c r="I34" s="56">
        <f t="shared" si="1"/>
        <v>0.128827668219205</v>
      </c>
      <c r="J34" s="66">
        <v>11115</v>
      </c>
      <c r="K34" s="66">
        <v>10524</v>
      </c>
      <c r="L34" s="66">
        <v>861</v>
      </c>
      <c r="M34" s="56">
        <f t="shared" si="2"/>
        <v>7.74628879892038</v>
      </c>
      <c r="N34" s="57">
        <v>16596</v>
      </c>
      <c r="O34" s="66">
        <v>178</v>
      </c>
      <c r="P34" s="151">
        <f>D34+H34+L34+O34</f>
        <v>1964</v>
      </c>
      <c r="Q34" s="153">
        <f t="shared" ref="Q34:Q39" si="11">O34/N34*100</f>
        <v>1.07254760183177</v>
      </c>
      <c r="R34" s="79" t="s">
        <v>24</v>
      </c>
      <c r="S34" s="79"/>
      <c r="T34" s="84"/>
    </row>
    <row r="35" ht="18" customHeight="1" spans="1:20">
      <c r="A35" s="65">
        <v>45895</v>
      </c>
      <c r="B35" s="66">
        <v>12685</v>
      </c>
      <c r="C35" s="66">
        <v>12156</v>
      </c>
      <c r="D35" s="66">
        <v>417</v>
      </c>
      <c r="E35" s="56">
        <f t="shared" si="0"/>
        <v>3.28734726054395</v>
      </c>
      <c r="F35" s="66">
        <v>11695</v>
      </c>
      <c r="G35" s="66">
        <v>11666</v>
      </c>
      <c r="H35" s="66">
        <v>29</v>
      </c>
      <c r="I35" s="56">
        <f t="shared" si="1"/>
        <v>0.247969217614365</v>
      </c>
      <c r="J35" s="66">
        <v>13991</v>
      </c>
      <c r="K35" s="66">
        <v>13724</v>
      </c>
      <c r="L35" s="66">
        <v>267</v>
      </c>
      <c r="M35" s="56">
        <f t="shared" si="2"/>
        <v>1.90836966621399</v>
      </c>
      <c r="N35" s="57">
        <v>9808</v>
      </c>
      <c r="O35" s="66">
        <v>127</v>
      </c>
      <c r="P35" s="151">
        <f t="shared" ref="P34:P40" si="12">D35+H35+L35+O35</f>
        <v>840</v>
      </c>
      <c r="Q35" s="153">
        <f t="shared" si="11"/>
        <v>1.29486133768352</v>
      </c>
      <c r="R35" s="93">
        <f>SUM(B34:B40)</f>
        <v>76129</v>
      </c>
      <c r="S35" s="85">
        <f>SUM(P34:P40)</f>
        <v>6158</v>
      </c>
      <c r="T35" s="86">
        <f>S35/R35*100</f>
        <v>8.08890173258548</v>
      </c>
    </row>
    <row r="36" s="29" customFormat="1" ht="18" customHeight="1" spans="1:20">
      <c r="A36" s="59">
        <v>45896</v>
      </c>
      <c r="B36" s="66">
        <v>13285</v>
      </c>
      <c r="C36" s="66">
        <v>12221</v>
      </c>
      <c r="D36" s="66">
        <v>649</v>
      </c>
      <c r="E36" s="56">
        <f t="shared" si="0"/>
        <v>4.88520888219797</v>
      </c>
      <c r="F36" s="66">
        <v>9025</v>
      </c>
      <c r="G36" s="66">
        <v>8972</v>
      </c>
      <c r="H36" s="66">
        <v>53</v>
      </c>
      <c r="I36" s="56">
        <f t="shared" si="1"/>
        <v>0.587257617728532</v>
      </c>
      <c r="J36" s="66">
        <v>12422</v>
      </c>
      <c r="K36" s="66">
        <v>12162</v>
      </c>
      <c r="L36" s="66">
        <v>166</v>
      </c>
      <c r="M36" s="56">
        <f t="shared" si="2"/>
        <v>1.33633875382386</v>
      </c>
      <c r="N36" s="57">
        <v>15308</v>
      </c>
      <c r="O36" s="57">
        <v>166</v>
      </c>
      <c r="P36" s="151">
        <f t="shared" si="12"/>
        <v>1034</v>
      </c>
      <c r="Q36" s="153">
        <f t="shared" si="11"/>
        <v>1.08440031356154</v>
      </c>
      <c r="R36" s="93"/>
      <c r="S36" s="85"/>
      <c r="T36" s="86"/>
    </row>
    <row r="37" ht="18" customHeight="1" spans="1:20">
      <c r="A37" s="65">
        <v>45897</v>
      </c>
      <c r="B37" s="66">
        <v>12634</v>
      </c>
      <c r="C37" s="66">
        <v>11597</v>
      </c>
      <c r="D37" s="66">
        <v>836</v>
      </c>
      <c r="E37" s="56">
        <f t="shared" ref="E36:E42" si="13">D37/B37*100</f>
        <v>6.61706506252968</v>
      </c>
      <c r="F37" s="66">
        <v>11884</v>
      </c>
      <c r="G37" s="66">
        <v>11864</v>
      </c>
      <c r="H37" s="66">
        <v>20</v>
      </c>
      <c r="I37" s="56">
        <f t="shared" ref="I36:I42" si="14">H37/F37*100</f>
        <v>0.168293503870751</v>
      </c>
      <c r="J37" s="66">
        <v>11864</v>
      </c>
      <c r="K37" s="66">
        <v>11833</v>
      </c>
      <c r="L37" s="66">
        <v>31</v>
      </c>
      <c r="M37" s="56">
        <f t="shared" ref="M36:M42" si="15">L37/J37*100</f>
        <v>0.261294672960216</v>
      </c>
      <c r="N37" s="57">
        <v>9800</v>
      </c>
      <c r="O37" s="57">
        <v>85</v>
      </c>
      <c r="P37" s="151">
        <f t="shared" si="12"/>
        <v>972</v>
      </c>
      <c r="Q37" s="153">
        <f t="shared" si="11"/>
        <v>0.86734693877551</v>
      </c>
      <c r="R37" s="93"/>
      <c r="S37" s="85"/>
      <c r="T37" s="86"/>
    </row>
    <row r="38" ht="18" customHeight="1" spans="1:20">
      <c r="A38" s="65">
        <v>45898</v>
      </c>
      <c r="B38" s="66">
        <v>12518</v>
      </c>
      <c r="C38" s="66">
        <v>11773</v>
      </c>
      <c r="D38" s="66">
        <v>400</v>
      </c>
      <c r="E38" s="56">
        <f t="shared" si="13"/>
        <v>3.19539862597859</v>
      </c>
      <c r="F38" s="66">
        <v>12461</v>
      </c>
      <c r="G38" s="66">
        <v>12426</v>
      </c>
      <c r="H38" s="66">
        <v>35</v>
      </c>
      <c r="I38" s="56">
        <f t="shared" si="14"/>
        <v>0.280876334162587</v>
      </c>
      <c r="J38" s="66">
        <v>12426</v>
      </c>
      <c r="K38" s="66">
        <v>12108</v>
      </c>
      <c r="L38" s="66">
        <v>318</v>
      </c>
      <c r="M38" s="56">
        <f t="shared" si="15"/>
        <v>2.55915016900048</v>
      </c>
      <c r="N38" s="57">
        <v>14328</v>
      </c>
      <c r="O38" s="57">
        <v>91</v>
      </c>
      <c r="P38" s="151">
        <f t="shared" si="12"/>
        <v>844</v>
      </c>
      <c r="Q38" s="153">
        <f t="shared" si="11"/>
        <v>0.635120044667783</v>
      </c>
      <c r="R38" s="93"/>
      <c r="S38" s="85"/>
      <c r="T38" s="86"/>
    </row>
    <row r="39" ht="18" customHeight="1" spans="1:20">
      <c r="A39" s="65">
        <v>45899</v>
      </c>
      <c r="B39" s="66">
        <v>9290</v>
      </c>
      <c r="C39" s="66">
        <v>8841</v>
      </c>
      <c r="D39" s="66">
        <v>319</v>
      </c>
      <c r="E39" s="56">
        <f t="shared" si="13"/>
        <v>3.43379978471475</v>
      </c>
      <c r="F39" s="66">
        <v>12947</v>
      </c>
      <c r="G39" s="66">
        <v>12922</v>
      </c>
      <c r="H39" s="66">
        <v>25</v>
      </c>
      <c r="I39" s="56">
        <f t="shared" si="14"/>
        <v>0.193094925465359</v>
      </c>
      <c r="J39" s="66">
        <v>11439</v>
      </c>
      <c r="K39" s="66">
        <v>11387</v>
      </c>
      <c r="L39" s="66">
        <v>52</v>
      </c>
      <c r="M39" s="56">
        <f t="shared" si="15"/>
        <v>0.4545851910132</v>
      </c>
      <c r="N39" s="57">
        <v>12952</v>
      </c>
      <c r="O39" s="57">
        <v>108</v>
      </c>
      <c r="P39" s="151">
        <f t="shared" si="12"/>
        <v>504</v>
      </c>
      <c r="Q39" s="153">
        <f t="shared" si="11"/>
        <v>0.83384805435454</v>
      </c>
      <c r="R39" s="93"/>
      <c r="S39" s="85"/>
      <c r="T39" s="86"/>
    </row>
    <row r="40" ht="18" customHeight="1" spans="1:20">
      <c r="A40" s="52">
        <v>45900</v>
      </c>
      <c r="B40" s="58"/>
      <c r="C40" s="58"/>
      <c r="D40" s="58"/>
      <c r="E40" s="71"/>
      <c r="F40" s="58"/>
      <c r="G40" s="58"/>
      <c r="H40" s="58"/>
      <c r="I40" s="71"/>
      <c r="J40" s="58"/>
      <c r="K40" s="58"/>
      <c r="L40" s="58"/>
      <c r="M40" s="71"/>
      <c r="N40" s="71"/>
      <c r="O40" s="58"/>
      <c r="P40" s="83"/>
      <c r="Q40" s="154"/>
      <c r="R40" s="93"/>
      <c r="S40" s="85"/>
      <c r="T40" s="86"/>
    </row>
    <row r="41" ht="18" customHeight="1" spans="1:20">
      <c r="A41" s="49" t="s">
        <v>29</v>
      </c>
      <c r="B41" s="50">
        <f>SUM(B34:B40)</f>
        <v>76129</v>
      </c>
      <c r="C41" s="50">
        <f>SUM(C34:C40)</f>
        <v>71089</v>
      </c>
      <c r="D41" s="50">
        <f>SUM(D34:D40)</f>
        <v>3533</v>
      </c>
      <c r="E41" s="51">
        <f>D41/B41*100</f>
        <v>4.64080705118943</v>
      </c>
      <c r="F41" s="50">
        <f>SUM(F34:F40)</f>
        <v>68103</v>
      </c>
      <c r="G41" s="50">
        <f>SUM(G34:G40)</f>
        <v>67928</v>
      </c>
      <c r="H41" s="50">
        <f>SUM(H34:H40)</f>
        <v>175</v>
      </c>
      <c r="I41" s="51">
        <f>H41/F41*100</f>
        <v>0.256963716723199</v>
      </c>
      <c r="J41" s="50">
        <f>SUM(J34:J40)</f>
        <v>73257</v>
      </c>
      <c r="K41" s="50">
        <f>SUM(K34:K40)</f>
        <v>71738</v>
      </c>
      <c r="L41" s="50">
        <f>SUM(L34:L40)</f>
        <v>1695</v>
      </c>
      <c r="M41" s="51">
        <f>L41/J41*100</f>
        <v>2.31377206273803</v>
      </c>
      <c r="N41" s="50">
        <f>SUM(N34:N40)</f>
        <v>78792</v>
      </c>
      <c r="O41" s="50">
        <f>SUM(O34:O40)</f>
        <v>755</v>
      </c>
      <c r="P41" s="50">
        <f>SUM(P34:P40)</f>
        <v>6158</v>
      </c>
      <c r="Q41" s="93"/>
      <c r="R41" s="93"/>
      <c r="S41" s="85"/>
      <c r="T41" s="86"/>
    </row>
    <row r="42" ht="18" customHeight="1" spans="1:20">
      <c r="A42" s="136" t="s">
        <v>25</v>
      </c>
      <c r="B42" s="137">
        <f>B41+B33+B25+B17+B9</f>
        <v>267179</v>
      </c>
      <c r="C42" s="137">
        <f t="shared" ref="B42:I42" si="16">C41+C33+C25+C17+C9</f>
        <v>247269</v>
      </c>
      <c r="D42" s="137">
        <f t="shared" si="16"/>
        <v>11296</v>
      </c>
      <c r="E42" s="137"/>
      <c r="F42" s="137">
        <f t="shared" si="16"/>
        <v>253407</v>
      </c>
      <c r="G42" s="137">
        <f t="shared" si="16"/>
        <v>252649</v>
      </c>
      <c r="H42" s="137">
        <f t="shared" si="16"/>
        <v>687</v>
      </c>
      <c r="I42" s="137"/>
      <c r="J42" s="137">
        <f>J41+J33+J25+J17+J9</f>
        <v>249724</v>
      </c>
      <c r="K42" s="137">
        <f>K41+K33+K25+K17+K9</f>
        <v>246635</v>
      </c>
      <c r="L42" s="137">
        <f>L41+L33+L25+L17+L9</f>
        <v>3240</v>
      </c>
      <c r="M42" s="137"/>
      <c r="N42" s="137">
        <f>N41+N33+N25+N17+N9</f>
        <v>272058</v>
      </c>
      <c r="O42" s="137">
        <f>O41+O33+O25+O17+O9</f>
        <v>3413</v>
      </c>
      <c r="P42" s="137">
        <f>P41+P33+P25+P17+P9</f>
        <v>18636</v>
      </c>
      <c r="Q42" s="141"/>
      <c r="R42" s="141"/>
      <c r="S42" s="142"/>
      <c r="T42" s="143"/>
    </row>
  </sheetData>
  <mergeCells count="46">
    <mergeCell ref="A3:T3"/>
    <mergeCell ref="R6:T6"/>
    <mergeCell ref="R10:T10"/>
    <mergeCell ref="B15:Q15"/>
    <mergeCell ref="R18:T18"/>
    <mergeCell ref="B22:Q22"/>
    <mergeCell ref="B23:Q23"/>
    <mergeCell ref="R26:T26"/>
    <mergeCell ref="R34:T3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R7:R9"/>
    <mergeCell ref="R11:R17"/>
    <mergeCell ref="R19:R25"/>
    <mergeCell ref="R27:R33"/>
    <mergeCell ref="R35:R42"/>
    <mergeCell ref="S4:S5"/>
    <mergeCell ref="S7:S9"/>
    <mergeCell ref="S11:S17"/>
    <mergeCell ref="S19:S25"/>
    <mergeCell ref="S27:S33"/>
    <mergeCell ref="S35:S42"/>
    <mergeCell ref="T4:T5"/>
    <mergeCell ref="T7:T9"/>
    <mergeCell ref="T11:T17"/>
    <mergeCell ref="T19:T25"/>
    <mergeCell ref="T27:T33"/>
    <mergeCell ref="T35:T42"/>
    <mergeCell ref="A1:B2"/>
    <mergeCell ref="C1:T2"/>
  </mergeCells>
  <pageMargins left="0.251388888888889" right="0.251388888888889" top="0.472222222222222" bottom="0.251388888888889" header="0.251388888888889" footer="0.251388888888889"/>
  <pageSetup paperSize="9" scale="67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41"/>
  <sheetViews>
    <sheetView topLeftCell="A3" workbookViewId="0">
      <pane xSplit="1" ySplit="3" topLeftCell="B18" activePane="bottomRight" state="frozen"/>
      <selection/>
      <selection pane="topRight"/>
      <selection pane="bottomLeft"/>
      <selection pane="bottomRight" activeCell="S38" sqref="A1:S41"/>
    </sheetView>
  </sheetViews>
  <sheetFormatPr defaultColWidth="9" defaultRowHeight="15"/>
  <cols>
    <col min="1" max="1" width="11.1428571428571"/>
    <col min="2" max="2" width="7.57142857142857" customWidth="1"/>
    <col min="3" max="3" width="9.71428571428571" customWidth="1"/>
    <col min="4" max="4" width="10.1428571428571"/>
    <col min="5" max="6" width="9.57142857142857" customWidth="1"/>
    <col min="7" max="7" width="9.42857142857143" customWidth="1"/>
    <col min="9" max="9" width="12.8571428571429"/>
    <col min="10" max="10" width="10.4285714285714" customWidth="1"/>
    <col min="11" max="11" width="11.8571428571429" customWidth="1"/>
    <col min="12" max="12" width="10.8571428571429" customWidth="1"/>
    <col min="13" max="15" width="12.8571428571429"/>
    <col min="16" max="16" width="13.2857142857143" style="30" customWidth="1"/>
    <col min="17" max="17" width="10.1428571428571"/>
  </cols>
  <sheetData>
    <row r="1" spans="1:19">
      <c r="A1" s="130"/>
      <c r="B1" s="131"/>
      <c r="C1" s="132" t="s">
        <v>26</v>
      </c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8"/>
    </row>
    <row r="2" ht="67" customHeight="1" spans="1:19">
      <c r="A2" s="134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39"/>
    </row>
    <row r="3" ht="21" customHeight="1" spans="1:19">
      <c r="A3" s="135" t="s">
        <v>34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40"/>
    </row>
    <row r="4" spans="1:19">
      <c r="A4" s="41" t="s">
        <v>2</v>
      </c>
      <c r="B4" s="43" t="s">
        <v>3</v>
      </c>
      <c r="C4" s="43" t="s">
        <v>4</v>
      </c>
      <c r="D4" s="43" t="s">
        <v>5</v>
      </c>
      <c r="E4" s="43" t="s">
        <v>6</v>
      </c>
      <c r="F4" s="43" t="s">
        <v>7</v>
      </c>
      <c r="G4" s="43" t="s">
        <v>8</v>
      </c>
      <c r="H4" s="43" t="s">
        <v>5</v>
      </c>
      <c r="I4" s="43" t="s">
        <v>6</v>
      </c>
      <c r="J4" s="43" t="s">
        <v>9</v>
      </c>
      <c r="K4" s="43" t="s">
        <v>10</v>
      </c>
      <c r="L4" s="43" t="s">
        <v>11</v>
      </c>
      <c r="M4" s="43" t="s">
        <v>6</v>
      </c>
      <c r="N4" s="75" t="s">
        <v>12</v>
      </c>
      <c r="O4" s="43" t="s">
        <v>13</v>
      </c>
      <c r="P4" s="43" t="s">
        <v>14</v>
      </c>
      <c r="Q4" s="43" t="s">
        <v>16</v>
      </c>
      <c r="R4" s="43" t="s">
        <v>17</v>
      </c>
      <c r="S4" s="76" t="s">
        <v>18</v>
      </c>
    </row>
    <row r="5" ht="38" customHeight="1" spans="1:19">
      <c r="A5" s="41"/>
      <c r="B5" s="43"/>
      <c r="C5" s="45"/>
      <c r="D5" s="45"/>
      <c r="E5" s="43"/>
      <c r="F5" s="43"/>
      <c r="G5" s="45"/>
      <c r="H5" s="45"/>
      <c r="I5" s="45"/>
      <c r="J5" s="45"/>
      <c r="K5" s="45"/>
      <c r="L5" s="45"/>
      <c r="M5" s="45"/>
      <c r="N5" s="77"/>
      <c r="O5" s="43"/>
      <c r="P5" s="45"/>
      <c r="Q5" s="43"/>
      <c r="R5" s="43"/>
      <c r="S5" s="76"/>
    </row>
    <row r="6" ht="18" customHeight="1" spans="1:19">
      <c r="A6" s="46">
        <v>45901</v>
      </c>
      <c r="B6" s="47">
        <v>10978</v>
      </c>
      <c r="C6" s="47">
        <v>10362</v>
      </c>
      <c r="D6" s="47">
        <v>456</v>
      </c>
      <c r="E6" s="56">
        <f t="shared" ref="E6:E40" si="0">D6/B6*100</f>
        <v>4.15376206959373</v>
      </c>
      <c r="F6" s="47">
        <v>10967</v>
      </c>
      <c r="G6" s="47">
        <v>10930</v>
      </c>
      <c r="H6" s="47">
        <v>37</v>
      </c>
      <c r="I6" s="56">
        <f t="shared" ref="I6:I40" si="1">H6/F6*100</f>
        <v>0.3373757636546</v>
      </c>
      <c r="J6" s="47">
        <v>11477</v>
      </c>
      <c r="K6" s="47">
        <v>11397</v>
      </c>
      <c r="L6" s="47">
        <v>80</v>
      </c>
      <c r="M6" s="56">
        <f t="shared" ref="M6:M40" si="2">L6/J6*100</f>
        <v>0.697046266445935</v>
      </c>
      <c r="N6" s="57">
        <v>11858</v>
      </c>
      <c r="O6" s="47">
        <v>105</v>
      </c>
      <c r="P6" s="78">
        <f t="shared" ref="P6:P10" si="3">D6+H6+L6+O6</f>
        <v>678</v>
      </c>
      <c r="Q6" s="79" t="s">
        <v>19</v>
      </c>
      <c r="R6" s="79"/>
      <c r="S6" s="84"/>
    </row>
    <row r="7" ht="18" customHeight="1" spans="1:19">
      <c r="A7" s="46">
        <v>45902</v>
      </c>
      <c r="B7" s="47">
        <v>11564</v>
      </c>
      <c r="C7" s="47">
        <v>10203</v>
      </c>
      <c r="D7" s="47">
        <v>1240</v>
      </c>
      <c r="E7" s="56">
        <f t="shared" si="0"/>
        <v>10.722933241093</v>
      </c>
      <c r="F7" s="47">
        <v>11858</v>
      </c>
      <c r="G7" s="47">
        <v>11812</v>
      </c>
      <c r="H7" s="47">
        <v>46</v>
      </c>
      <c r="I7" s="56">
        <f t="shared" si="1"/>
        <v>0.387923764547141</v>
      </c>
      <c r="J7" s="47">
        <v>12748</v>
      </c>
      <c r="K7" s="47">
        <v>12495</v>
      </c>
      <c r="L7" s="47">
        <v>253</v>
      </c>
      <c r="M7" s="56">
        <f t="shared" si="2"/>
        <v>1.98462503922184</v>
      </c>
      <c r="N7" s="57">
        <v>18698</v>
      </c>
      <c r="O7" s="47">
        <v>111</v>
      </c>
      <c r="P7" s="78">
        <f t="shared" si="3"/>
        <v>1650</v>
      </c>
      <c r="Q7" s="89">
        <f>SUM(B6:B11)</f>
        <v>79289</v>
      </c>
      <c r="R7" s="89">
        <f>SUM(P6:P11)</f>
        <v>9346</v>
      </c>
      <c r="S7" s="90">
        <f>R7/Q7*100</f>
        <v>11.7872592667331</v>
      </c>
    </row>
    <row r="8" ht="18" customHeight="1" spans="1:19">
      <c r="A8" s="46">
        <v>45903</v>
      </c>
      <c r="B8" s="47">
        <v>15899</v>
      </c>
      <c r="C8" s="47">
        <v>13162</v>
      </c>
      <c r="D8" s="47">
        <v>2362</v>
      </c>
      <c r="E8" s="56">
        <f t="shared" si="0"/>
        <v>14.8562802691993</v>
      </c>
      <c r="F8" s="47">
        <v>11554</v>
      </c>
      <c r="G8" s="47">
        <v>11529</v>
      </c>
      <c r="H8" s="47">
        <v>25</v>
      </c>
      <c r="I8" s="56">
        <f t="shared" si="1"/>
        <v>0.216375281287866</v>
      </c>
      <c r="J8" s="47">
        <v>11529</v>
      </c>
      <c r="K8" s="47">
        <v>11363</v>
      </c>
      <c r="L8" s="47">
        <v>166</v>
      </c>
      <c r="M8" s="56">
        <f t="shared" si="2"/>
        <v>1.43984734148669</v>
      </c>
      <c r="N8" s="57">
        <v>13541</v>
      </c>
      <c r="O8" s="47">
        <v>149</v>
      </c>
      <c r="P8" s="78">
        <f t="shared" si="3"/>
        <v>2702</v>
      </c>
      <c r="Q8" s="85"/>
      <c r="R8" s="85"/>
      <c r="S8" s="86"/>
    </row>
    <row r="9" ht="18" customHeight="1" spans="1:19">
      <c r="A9" s="46">
        <v>45904</v>
      </c>
      <c r="B9" s="47">
        <v>16134</v>
      </c>
      <c r="C9" s="47">
        <v>15038</v>
      </c>
      <c r="D9" s="47">
        <v>936</v>
      </c>
      <c r="E9" s="56">
        <f t="shared" si="0"/>
        <v>5.80141316474526</v>
      </c>
      <c r="F9" s="47">
        <v>14519</v>
      </c>
      <c r="G9" s="47">
        <v>14508</v>
      </c>
      <c r="H9" s="47">
        <v>11</v>
      </c>
      <c r="I9" s="56">
        <f t="shared" si="1"/>
        <v>0.0757627935808251</v>
      </c>
      <c r="J9" s="47">
        <v>8798</v>
      </c>
      <c r="K9" s="47">
        <v>8791</v>
      </c>
      <c r="L9" s="47">
        <v>7</v>
      </c>
      <c r="M9" s="56">
        <f t="shared" si="2"/>
        <v>0.0795635371675381</v>
      </c>
      <c r="N9" s="57">
        <v>13263</v>
      </c>
      <c r="O9" s="47">
        <v>142</v>
      </c>
      <c r="P9" s="78">
        <f t="shared" ref="P9:P13" si="4">D9+H9+L9+O9</f>
        <v>1096</v>
      </c>
      <c r="Q9" s="85"/>
      <c r="R9" s="85"/>
      <c r="S9" s="86"/>
    </row>
    <row r="10" ht="18" customHeight="1" spans="1:19">
      <c r="A10" s="46">
        <v>45905</v>
      </c>
      <c r="B10" s="47">
        <v>11960</v>
      </c>
      <c r="C10" s="47">
        <v>9933</v>
      </c>
      <c r="D10" s="47">
        <v>1893</v>
      </c>
      <c r="E10" s="56">
        <f t="shared" si="0"/>
        <v>15.8277591973244</v>
      </c>
      <c r="F10" s="47">
        <v>12736</v>
      </c>
      <c r="G10" s="47">
        <v>12730</v>
      </c>
      <c r="H10" s="47">
        <v>6</v>
      </c>
      <c r="I10" s="56">
        <f t="shared" si="1"/>
        <v>0.0471105527638191</v>
      </c>
      <c r="J10" s="47">
        <v>13192</v>
      </c>
      <c r="K10" s="47">
        <v>13180</v>
      </c>
      <c r="L10" s="47">
        <v>12</v>
      </c>
      <c r="M10" s="56">
        <f t="shared" si="2"/>
        <v>0.0909642207398423</v>
      </c>
      <c r="N10" s="57">
        <v>12587</v>
      </c>
      <c r="O10" s="47">
        <v>46</v>
      </c>
      <c r="P10" s="78">
        <f t="shared" si="4"/>
        <v>1957</v>
      </c>
      <c r="Q10" s="85"/>
      <c r="R10" s="85"/>
      <c r="S10" s="86"/>
    </row>
    <row r="11" ht="18" customHeight="1" spans="1:19">
      <c r="A11" s="46">
        <v>45906</v>
      </c>
      <c r="B11" s="47">
        <v>12754</v>
      </c>
      <c r="C11" s="47">
        <v>11459</v>
      </c>
      <c r="D11" s="47">
        <v>1129</v>
      </c>
      <c r="E11" s="56">
        <f t="shared" si="0"/>
        <v>8.85212482358476</v>
      </c>
      <c r="F11" s="47">
        <v>11786</v>
      </c>
      <c r="G11" s="47">
        <v>11782</v>
      </c>
      <c r="H11" s="47">
        <v>4</v>
      </c>
      <c r="I11" s="56">
        <f t="shared" si="1"/>
        <v>0.0339385711861531</v>
      </c>
      <c r="J11" s="47">
        <v>13029</v>
      </c>
      <c r="K11" s="47">
        <v>12997</v>
      </c>
      <c r="L11" s="47">
        <v>32</v>
      </c>
      <c r="M11" s="56">
        <f t="shared" si="2"/>
        <v>0.245605955944432</v>
      </c>
      <c r="N11" s="57">
        <v>12699</v>
      </c>
      <c r="O11" s="47">
        <v>98</v>
      </c>
      <c r="P11" s="78">
        <f t="shared" si="4"/>
        <v>1263</v>
      </c>
      <c r="Q11" s="85"/>
      <c r="R11" s="85"/>
      <c r="S11" s="86"/>
    </row>
    <row r="12" ht="18" customHeight="1" spans="1:19">
      <c r="A12" s="49" t="s">
        <v>29</v>
      </c>
      <c r="B12" s="50">
        <f>SUM(B6:B11)</f>
        <v>79289</v>
      </c>
      <c r="C12" s="50">
        <f>SUM(C6:C11)</f>
        <v>70157</v>
      </c>
      <c r="D12" s="50">
        <f>SUM(D6:D11)</f>
        <v>8016</v>
      </c>
      <c r="E12" s="51">
        <f t="shared" si="0"/>
        <v>10.1098513034595</v>
      </c>
      <c r="F12" s="50">
        <f>SUM(F6:F11)</f>
        <v>73420</v>
      </c>
      <c r="G12" s="50">
        <f>SUM(G6:G11)</f>
        <v>73291</v>
      </c>
      <c r="H12" s="50">
        <f>SUM(H6:H11)</f>
        <v>129</v>
      </c>
      <c r="I12" s="51">
        <f t="shared" si="1"/>
        <v>0.175701443748297</v>
      </c>
      <c r="J12" s="50">
        <f>SUM(J6:J11)</f>
        <v>70773</v>
      </c>
      <c r="K12" s="50">
        <f>SUM(K6:K11)</f>
        <v>70223</v>
      </c>
      <c r="L12" s="50">
        <f>SUM(L6:L11)</f>
        <v>550</v>
      </c>
      <c r="M12" s="51">
        <f t="shared" si="2"/>
        <v>0.777132522289574</v>
      </c>
      <c r="N12" s="50">
        <f>SUM(N6:N11)</f>
        <v>82646</v>
      </c>
      <c r="O12" s="50">
        <f>SUM(O6:O11)</f>
        <v>651</v>
      </c>
      <c r="P12" s="50">
        <f>SUM(P6:P11)</f>
        <v>9346</v>
      </c>
      <c r="Q12" s="87"/>
      <c r="R12" s="87"/>
      <c r="S12" s="88"/>
    </row>
    <row r="13" ht="18" customHeight="1" spans="1:19">
      <c r="A13" s="52">
        <v>45907</v>
      </c>
      <c r="B13" s="54"/>
      <c r="C13" s="54"/>
      <c r="D13" s="54"/>
      <c r="E13" s="71" t="e">
        <f t="shared" si="0"/>
        <v>#DIV/0!</v>
      </c>
      <c r="F13" s="54"/>
      <c r="G13" s="54"/>
      <c r="H13" s="54"/>
      <c r="I13" s="71" t="e">
        <f t="shared" si="1"/>
        <v>#DIV/0!</v>
      </c>
      <c r="J13" s="54"/>
      <c r="K13" s="54"/>
      <c r="L13" s="54"/>
      <c r="M13" s="71" t="e">
        <f t="shared" si="2"/>
        <v>#DIV/0!</v>
      </c>
      <c r="N13" s="54"/>
      <c r="O13" s="54"/>
      <c r="P13" s="83">
        <f t="shared" si="4"/>
        <v>0</v>
      </c>
      <c r="Q13" s="79" t="s">
        <v>21</v>
      </c>
      <c r="R13" s="79"/>
      <c r="S13" s="84"/>
    </row>
    <row r="14" ht="18" customHeight="1" spans="1:19">
      <c r="A14" s="65">
        <v>45908</v>
      </c>
      <c r="B14" s="57">
        <v>20305</v>
      </c>
      <c r="C14" s="57">
        <v>18898</v>
      </c>
      <c r="D14" s="57">
        <v>1089</v>
      </c>
      <c r="E14" s="56">
        <f t="shared" si="0"/>
        <v>5.36321103176558</v>
      </c>
      <c r="F14" s="57">
        <v>10650</v>
      </c>
      <c r="G14" s="57">
        <v>10642</v>
      </c>
      <c r="H14" s="57">
        <v>8</v>
      </c>
      <c r="I14" s="56">
        <f t="shared" si="1"/>
        <v>0.0751173708920188</v>
      </c>
      <c r="J14" s="57">
        <v>14640</v>
      </c>
      <c r="K14" s="57">
        <v>14625</v>
      </c>
      <c r="L14" s="57">
        <v>15</v>
      </c>
      <c r="M14" s="56">
        <f t="shared" si="2"/>
        <v>0.102459016393443</v>
      </c>
      <c r="N14" s="57">
        <v>14462</v>
      </c>
      <c r="O14" s="57">
        <v>44</v>
      </c>
      <c r="P14" s="78">
        <f t="shared" ref="P14:P19" si="5">D14+H14+L14+O14</f>
        <v>1156</v>
      </c>
      <c r="Q14" s="89">
        <f>SUM(B13:B19)</f>
        <v>82025</v>
      </c>
      <c r="R14" s="89">
        <f>SUM(P13:P19)</f>
        <v>6606</v>
      </c>
      <c r="S14" s="90">
        <f>R14/Q14*100</f>
        <v>8.05364218226151</v>
      </c>
    </row>
    <row r="15" ht="18" customHeight="1" spans="1:19">
      <c r="A15" s="65">
        <v>45909</v>
      </c>
      <c r="B15" s="15">
        <v>13013</v>
      </c>
      <c r="C15" s="15">
        <v>11930</v>
      </c>
      <c r="D15" s="15">
        <v>871</v>
      </c>
      <c r="E15" s="48">
        <f t="shared" si="0"/>
        <v>6.69330669330669</v>
      </c>
      <c r="F15" s="15">
        <v>12705</v>
      </c>
      <c r="G15" s="15">
        <v>12675</v>
      </c>
      <c r="H15" s="15">
        <v>30</v>
      </c>
      <c r="I15" s="48">
        <f t="shared" si="1"/>
        <v>0.236127508854782</v>
      </c>
      <c r="J15" s="15">
        <v>11915</v>
      </c>
      <c r="K15" s="15">
        <v>11905</v>
      </c>
      <c r="L15" s="15">
        <v>10</v>
      </c>
      <c r="M15" s="48">
        <f t="shared" si="2"/>
        <v>0.0839278220730172</v>
      </c>
      <c r="N15" s="15">
        <v>15843</v>
      </c>
      <c r="O15" s="15">
        <v>90</v>
      </c>
      <c r="P15" s="78">
        <f t="shared" si="5"/>
        <v>1001</v>
      </c>
      <c r="Q15" s="85"/>
      <c r="R15" s="85"/>
      <c r="S15" s="86"/>
    </row>
    <row r="16" customFormat="1" ht="18" customHeight="1" spans="1:19">
      <c r="A16" s="65">
        <v>45910</v>
      </c>
      <c r="B16" s="15">
        <v>13029</v>
      </c>
      <c r="C16" s="15">
        <v>12069</v>
      </c>
      <c r="D16" s="15">
        <v>673</v>
      </c>
      <c r="E16" s="48">
        <f t="shared" si="0"/>
        <v>5.16540026095633</v>
      </c>
      <c r="F16" s="15">
        <v>13817</v>
      </c>
      <c r="G16" s="15">
        <v>13779</v>
      </c>
      <c r="H16" s="15">
        <v>38</v>
      </c>
      <c r="I16" s="48">
        <f t="shared" si="1"/>
        <v>0.275023521748571</v>
      </c>
      <c r="J16" s="15">
        <v>13545</v>
      </c>
      <c r="K16" s="15">
        <v>13494</v>
      </c>
      <c r="L16" s="15">
        <v>51</v>
      </c>
      <c r="M16" s="48">
        <f t="shared" si="2"/>
        <v>0.376522702104097</v>
      </c>
      <c r="N16" s="15">
        <v>13995</v>
      </c>
      <c r="O16" s="15">
        <v>55</v>
      </c>
      <c r="P16" s="78">
        <f t="shared" si="5"/>
        <v>817</v>
      </c>
      <c r="Q16" s="85"/>
      <c r="R16" s="85"/>
      <c r="S16" s="86"/>
    </row>
    <row r="17" customFormat="1" ht="18" customHeight="1" spans="1:19">
      <c r="A17" s="65">
        <v>45911</v>
      </c>
      <c r="B17" s="15">
        <v>9391</v>
      </c>
      <c r="C17" s="15">
        <v>7409</v>
      </c>
      <c r="D17" s="15">
        <v>1852</v>
      </c>
      <c r="E17" s="48">
        <f t="shared" si="0"/>
        <v>19.721009477159</v>
      </c>
      <c r="F17" s="15">
        <v>10444</v>
      </c>
      <c r="G17" s="15">
        <v>10426</v>
      </c>
      <c r="H17" s="15">
        <v>18</v>
      </c>
      <c r="I17" s="48">
        <f t="shared" si="1"/>
        <v>0.172347759479127</v>
      </c>
      <c r="J17" s="15">
        <v>12423</v>
      </c>
      <c r="K17" s="15">
        <v>12364</v>
      </c>
      <c r="L17" s="15">
        <v>59</v>
      </c>
      <c r="M17" s="48">
        <f t="shared" si="2"/>
        <v>0.474925541334621</v>
      </c>
      <c r="N17" s="15">
        <v>11871</v>
      </c>
      <c r="O17" s="15">
        <v>62</v>
      </c>
      <c r="P17" s="78">
        <f t="shared" si="5"/>
        <v>1991</v>
      </c>
      <c r="Q17" s="85"/>
      <c r="R17" s="85"/>
      <c r="S17" s="86"/>
    </row>
    <row r="18" customFormat="1" ht="18" customHeight="1" spans="1:19">
      <c r="A18" s="65">
        <v>45912</v>
      </c>
      <c r="B18" s="15">
        <v>12457</v>
      </c>
      <c r="C18" s="15">
        <v>11920</v>
      </c>
      <c r="D18" s="15">
        <v>455</v>
      </c>
      <c r="E18" s="48">
        <f t="shared" si="0"/>
        <v>3.65256482299109</v>
      </c>
      <c r="F18" s="15">
        <v>11328</v>
      </c>
      <c r="G18" s="15">
        <v>11296</v>
      </c>
      <c r="H18" s="15">
        <v>32</v>
      </c>
      <c r="I18" s="48">
        <f t="shared" si="1"/>
        <v>0.282485875706215</v>
      </c>
      <c r="J18" s="15">
        <v>11012</v>
      </c>
      <c r="K18" s="15">
        <v>10651</v>
      </c>
      <c r="L18" s="15">
        <v>361</v>
      </c>
      <c r="M18" s="48">
        <f t="shared" si="2"/>
        <v>3.27824191790774</v>
      </c>
      <c r="N18" s="15">
        <v>7983</v>
      </c>
      <c r="O18" s="15">
        <v>204</v>
      </c>
      <c r="P18" s="78">
        <f t="shared" si="5"/>
        <v>1052</v>
      </c>
      <c r="Q18" s="85"/>
      <c r="R18" s="85"/>
      <c r="S18" s="86"/>
    </row>
    <row r="19" s="29" customFormat="1" ht="18" customHeight="1" spans="1:19">
      <c r="A19" s="65">
        <v>45913</v>
      </c>
      <c r="B19" s="15">
        <v>13830</v>
      </c>
      <c r="C19" s="15">
        <v>13524</v>
      </c>
      <c r="D19" s="15">
        <v>242</v>
      </c>
      <c r="E19" s="48">
        <f t="shared" si="0"/>
        <v>1.74981923355025</v>
      </c>
      <c r="F19" s="15">
        <v>9586</v>
      </c>
      <c r="G19" s="15">
        <v>9529</v>
      </c>
      <c r="H19" s="15">
        <v>57</v>
      </c>
      <c r="I19" s="48">
        <f t="shared" si="1"/>
        <v>0.594617150010432</v>
      </c>
      <c r="J19" s="15">
        <v>11816</v>
      </c>
      <c r="K19" s="15">
        <v>11634</v>
      </c>
      <c r="L19" s="15">
        <v>182</v>
      </c>
      <c r="M19" s="48">
        <f t="shared" si="2"/>
        <v>1.54028436018957</v>
      </c>
      <c r="N19" s="15">
        <v>11363</v>
      </c>
      <c r="O19" s="15">
        <v>108</v>
      </c>
      <c r="P19" s="78">
        <f t="shared" si="5"/>
        <v>589</v>
      </c>
      <c r="Q19" s="85"/>
      <c r="R19" s="85"/>
      <c r="S19" s="86"/>
    </row>
    <row r="20" s="29" customFormat="1" ht="18" customHeight="1" spans="1:19">
      <c r="A20" s="49" t="s">
        <v>29</v>
      </c>
      <c r="B20" s="50">
        <f>SUM(B13:B19)</f>
        <v>82025</v>
      </c>
      <c r="C20" s="50">
        <f>SUM(C13:C19)</f>
        <v>75750</v>
      </c>
      <c r="D20" s="50">
        <f>SUM(D13:D19)</f>
        <v>5182</v>
      </c>
      <c r="E20" s="51">
        <f t="shared" si="0"/>
        <v>6.31758610179823</v>
      </c>
      <c r="F20" s="50">
        <f>SUM(F13:F19)</f>
        <v>68530</v>
      </c>
      <c r="G20" s="50">
        <f>SUM(G13:G19)</f>
        <v>68347</v>
      </c>
      <c r="H20" s="50">
        <f>SUM(H13:H19)</f>
        <v>183</v>
      </c>
      <c r="I20" s="51">
        <f t="shared" si="1"/>
        <v>0.267036334452065</v>
      </c>
      <c r="J20" s="50">
        <f>SUM(J13:J19)</f>
        <v>75351</v>
      </c>
      <c r="K20" s="50">
        <f>SUM(K13:K19)</f>
        <v>74673</v>
      </c>
      <c r="L20" s="50">
        <f>SUM(L13:L19)</f>
        <v>678</v>
      </c>
      <c r="M20" s="51">
        <f t="shared" si="2"/>
        <v>0.899788987538321</v>
      </c>
      <c r="N20" s="50">
        <f>SUM(N13:N19)</f>
        <v>75517</v>
      </c>
      <c r="O20" s="50">
        <f>SUM(O13:O19)</f>
        <v>563</v>
      </c>
      <c r="P20" s="82">
        <f>SUM(P13:P19)</f>
        <v>6606</v>
      </c>
      <c r="Q20" s="128"/>
      <c r="R20" s="87"/>
      <c r="S20" s="88"/>
    </row>
    <row r="21" ht="18" customHeight="1" spans="1:19">
      <c r="A21" s="52">
        <v>45914</v>
      </c>
      <c r="B21" s="58"/>
      <c r="C21" s="58"/>
      <c r="D21" s="58"/>
      <c r="E21" s="71" t="e">
        <f t="shared" si="0"/>
        <v>#DIV/0!</v>
      </c>
      <c r="F21" s="58"/>
      <c r="G21" s="58"/>
      <c r="H21" s="58"/>
      <c r="I21" s="71" t="e">
        <f t="shared" si="1"/>
        <v>#DIV/0!</v>
      </c>
      <c r="J21" s="58"/>
      <c r="K21" s="58"/>
      <c r="L21" s="58"/>
      <c r="M21" s="71" t="e">
        <f t="shared" si="2"/>
        <v>#DIV/0!</v>
      </c>
      <c r="N21" s="54"/>
      <c r="O21" s="54"/>
      <c r="P21" s="83">
        <f>D21+H21+L21+O21</f>
        <v>0</v>
      </c>
      <c r="Q21" s="79" t="s">
        <v>22</v>
      </c>
      <c r="R21" s="79"/>
      <c r="S21" s="84"/>
    </row>
    <row r="22" ht="18" customHeight="1" spans="1:19">
      <c r="A22" s="59">
        <v>45915</v>
      </c>
      <c r="B22" s="15">
        <v>15012</v>
      </c>
      <c r="C22" s="15">
        <v>14439</v>
      </c>
      <c r="D22" s="15">
        <v>326</v>
      </c>
      <c r="E22" s="48">
        <f t="shared" si="0"/>
        <v>2.17159605648814</v>
      </c>
      <c r="F22" s="15">
        <v>11571</v>
      </c>
      <c r="G22" s="15">
        <v>11507</v>
      </c>
      <c r="H22" s="15">
        <v>64</v>
      </c>
      <c r="I22" s="48">
        <f t="shared" si="1"/>
        <v>0.55310690519402</v>
      </c>
      <c r="J22" s="15">
        <v>10753</v>
      </c>
      <c r="K22" s="15">
        <v>10604</v>
      </c>
      <c r="L22" s="15">
        <v>149</v>
      </c>
      <c r="M22" s="48">
        <f t="shared" si="2"/>
        <v>1.38565981586534</v>
      </c>
      <c r="N22" s="15">
        <v>11657</v>
      </c>
      <c r="O22" s="15">
        <v>170</v>
      </c>
      <c r="P22" s="123">
        <f t="shared" ref="P22:P27" si="6">D22+H22+L22+O22</f>
        <v>709</v>
      </c>
      <c r="Q22" s="89">
        <f>SUM(B21:B27)</f>
        <v>73123</v>
      </c>
      <c r="R22" s="89">
        <f>SUM(P21:P27)</f>
        <v>4763</v>
      </c>
      <c r="S22" s="90">
        <f>R22/Q22*100</f>
        <v>6.51368242550224</v>
      </c>
    </row>
    <row r="23" ht="18" customHeight="1" spans="1:19">
      <c r="A23" s="59">
        <v>45916</v>
      </c>
      <c r="B23" s="15">
        <v>12241</v>
      </c>
      <c r="C23" s="15">
        <v>11813</v>
      </c>
      <c r="D23" s="15">
        <v>313</v>
      </c>
      <c r="E23" s="48">
        <f t="shared" si="0"/>
        <v>2.5569806388367</v>
      </c>
      <c r="F23" s="15">
        <v>10972</v>
      </c>
      <c r="G23" s="15">
        <v>10941</v>
      </c>
      <c r="H23" s="15">
        <v>31</v>
      </c>
      <c r="I23" s="48">
        <f t="shared" si="1"/>
        <v>0.282537367845425</v>
      </c>
      <c r="J23" s="15">
        <v>11715</v>
      </c>
      <c r="K23" s="15">
        <v>11684</v>
      </c>
      <c r="L23" s="15">
        <v>31</v>
      </c>
      <c r="M23" s="48">
        <f t="shared" si="2"/>
        <v>0.264618011096884</v>
      </c>
      <c r="N23" s="15">
        <v>14441</v>
      </c>
      <c r="O23" s="15">
        <v>194</v>
      </c>
      <c r="P23" s="123">
        <f t="shared" si="6"/>
        <v>569</v>
      </c>
      <c r="Q23" s="85"/>
      <c r="R23" s="85"/>
      <c r="S23" s="86"/>
    </row>
    <row r="24" customFormat="1" ht="18" customHeight="1" spans="1:19">
      <c r="A24" s="59">
        <v>45917</v>
      </c>
      <c r="B24" s="15">
        <v>11948</v>
      </c>
      <c r="C24" s="15">
        <v>11126</v>
      </c>
      <c r="D24" s="15">
        <v>705</v>
      </c>
      <c r="E24" s="48">
        <f t="shared" si="0"/>
        <v>5.90056913290927</v>
      </c>
      <c r="F24" s="15">
        <v>10508</v>
      </c>
      <c r="G24" s="15">
        <v>10459</v>
      </c>
      <c r="H24" s="15">
        <v>49</v>
      </c>
      <c r="I24" s="48">
        <f t="shared" si="1"/>
        <v>0.46631138180434</v>
      </c>
      <c r="J24" s="15">
        <v>10459</v>
      </c>
      <c r="K24" s="15">
        <v>10399</v>
      </c>
      <c r="L24" s="15">
        <v>60</v>
      </c>
      <c r="M24" s="48">
        <f t="shared" si="2"/>
        <v>0.573668610765848</v>
      </c>
      <c r="N24" s="15">
        <v>12600</v>
      </c>
      <c r="O24" s="15">
        <v>331</v>
      </c>
      <c r="P24" s="123">
        <f t="shared" si="6"/>
        <v>1145</v>
      </c>
      <c r="Q24" s="85"/>
      <c r="R24" s="85"/>
      <c r="S24" s="86"/>
    </row>
    <row r="25" customFormat="1" ht="18" customHeight="1" spans="1:19">
      <c r="A25" s="59">
        <v>45918</v>
      </c>
      <c r="B25" s="15">
        <v>10490</v>
      </c>
      <c r="C25" s="15">
        <v>10048</v>
      </c>
      <c r="D25" s="15">
        <v>314</v>
      </c>
      <c r="E25" s="48">
        <f t="shared" si="0"/>
        <v>2.99332697807436</v>
      </c>
      <c r="F25" s="15">
        <v>16601</v>
      </c>
      <c r="G25" s="15">
        <v>16554</v>
      </c>
      <c r="H25" s="15">
        <v>47</v>
      </c>
      <c r="I25" s="48">
        <f t="shared" si="1"/>
        <v>0.283115474971387</v>
      </c>
      <c r="J25" s="15">
        <v>16554</v>
      </c>
      <c r="K25" s="15">
        <v>16481</v>
      </c>
      <c r="L25" s="15">
        <v>73</v>
      </c>
      <c r="M25" s="48">
        <f t="shared" si="2"/>
        <v>0.440981031774798</v>
      </c>
      <c r="N25" s="15">
        <v>12173</v>
      </c>
      <c r="O25" s="15">
        <v>412</v>
      </c>
      <c r="P25" s="123">
        <f t="shared" si="6"/>
        <v>846</v>
      </c>
      <c r="Q25" s="85"/>
      <c r="R25" s="85"/>
      <c r="S25" s="86"/>
    </row>
    <row r="26" customFormat="1" ht="18" customHeight="1" spans="1:19">
      <c r="A26" s="59">
        <v>45919</v>
      </c>
      <c r="B26" s="15">
        <v>10392</v>
      </c>
      <c r="C26" s="15">
        <v>9532</v>
      </c>
      <c r="D26" s="15">
        <v>709</v>
      </c>
      <c r="E26" s="48">
        <f t="shared" si="0"/>
        <v>6.8225558121632</v>
      </c>
      <c r="F26" s="15">
        <v>9729</v>
      </c>
      <c r="G26" s="15">
        <v>9640</v>
      </c>
      <c r="H26" s="15">
        <v>89</v>
      </c>
      <c r="I26" s="48">
        <f t="shared" si="1"/>
        <v>0.914790831534587</v>
      </c>
      <c r="J26" s="15">
        <v>9640</v>
      </c>
      <c r="K26" s="15">
        <v>9332</v>
      </c>
      <c r="L26" s="15">
        <v>308</v>
      </c>
      <c r="M26" s="48">
        <f t="shared" si="2"/>
        <v>3.19502074688797</v>
      </c>
      <c r="N26" s="15">
        <v>9674</v>
      </c>
      <c r="O26" s="15">
        <v>63</v>
      </c>
      <c r="P26" s="123">
        <f t="shared" si="6"/>
        <v>1169</v>
      </c>
      <c r="Q26" s="85"/>
      <c r="R26" s="85"/>
      <c r="S26" s="86"/>
    </row>
    <row r="27" s="29" customFormat="1" ht="18" customHeight="1" spans="1:19">
      <c r="A27" s="59">
        <v>45920</v>
      </c>
      <c r="B27" s="15">
        <v>13040</v>
      </c>
      <c r="C27" s="15">
        <v>12790</v>
      </c>
      <c r="D27" s="15">
        <v>182</v>
      </c>
      <c r="E27" s="48">
        <f t="shared" si="0"/>
        <v>1.39570552147239</v>
      </c>
      <c r="F27" s="15">
        <v>14316</v>
      </c>
      <c r="G27" s="15">
        <v>14292</v>
      </c>
      <c r="H27" s="15">
        <v>24</v>
      </c>
      <c r="I27" s="48">
        <f t="shared" si="1"/>
        <v>0.167644593461861</v>
      </c>
      <c r="J27" s="15">
        <v>13443</v>
      </c>
      <c r="K27" s="15">
        <v>13371</v>
      </c>
      <c r="L27" s="15">
        <v>72</v>
      </c>
      <c r="M27" s="48">
        <f t="shared" si="2"/>
        <v>0.535594733318456</v>
      </c>
      <c r="N27" s="15">
        <v>14712</v>
      </c>
      <c r="O27" s="15">
        <v>47</v>
      </c>
      <c r="P27" s="123">
        <f t="shared" si="6"/>
        <v>325</v>
      </c>
      <c r="Q27" s="85"/>
      <c r="R27" s="85"/>
      <c r="S27" s="86"/>
    </row>
    <row r="28" customFormat="1" ht="18" customHeight="1" spans="1:19">
      <c r="A28" s="49" t="s">
        <v>29</v>
      </c>
      <c r="B28" s="50">
        <f>SUM(B21:B27)</f>
        <v>73123</v>
      </c>
      <c r="C28" s="50">
        <f>SUM(C21:C27)</f>
        <v>69748</v>
      </c>
      <c r="D28" s="50">
        <f>SUM(D21:D27)</f>
        <v>2549</v>
      </c>
      <c r="E28" s="51">
        <f t="shared" si="0"/>
        <v>3.48590730686651</v>
      </c>
      <c r="F28" s="50">
        <f>SUM(F21:F27)</f>
        <v>73697</v>
      </c>
      <c r="G28" s="50">
        <f>SUM(G21:G27)</f>
        <v>73393</v>
      </c>
      <c r="H28" s="50">
        <f>SUM(H21:H27)</f>
        <v>304</v>
      </c>
      <c r="I28" s="51">
        <f t="shared" si="1"/>
        <v>0.412499830386583</v>
      </c>
      <c r="J28" s="50">
        <f>SUM(J21:J27)</f>
        <v>72564</v>
      </c>
      <c r="K28" s="50">
        <f>SUM(K21:K27)</f>
        <v>71871</v>
      </c>
      <c r="L28" s="50">
        <f>SUM(L21:L27)</f>
        <v>693</v>
      </c>
      <c r="M28" s="51">
        <f t="shared" si="2"/>
        <v>0.955019017694725</v>
      </c>
      <c r="N28" s="50">
        <f>SUM(N21:N27)</f>
        <v>75257</v>
      </c>
      <c r="O28" s="50">
        <f>SUM(O21:O27)</f>
        <v>1217</v>
      </c>
      <c r="P28" s="50">
        <f>SUM(P21:P27)</f>
        <v>4763</v>
      </c>
      <c r="Q28" s="87"/>
      <c r="R28" s="87"/>
      <c r="S28" s="88"/>
    </row>
    <row r="29" ht="18" customHeight="1" spans="1:19">
      <c r="A29" s="52">
        <v>45921</v>
      </c>
      <c r="B29" s="58"/>
      <c r="C29" s="58"/>
      <c r="D29" s="58"/>
      <c r="E29" s="71" t="e">
        <f t="shared" si="0"/>
        <v>#DIV/0!</v>
      </c>
      <c r="F29" s="58"/>
      <c r="G29" s="58"/>
      <c r="H29" s="58"/>
      <c r="I29" s="71" t="e">
        <f t="shared" si="1"/>
        <v>#DIV/0!</v>
      </c>
      <c r="J29" s="58"/>
      <c r="K29" s="58"/>
      <c r="L29" s="58"/>
      <c r="M29" s="71" t="e">
        <f t="shared" si="2"/>
        <v>#DIV/0!</v>
      </c>
      <c r="N29" s="54"/>
      <c r="O29" s="58"/>
      <c r="P29" s="83">
        <f>D29+H29+L29+O29</f>
        <v>0</v>
      </c>
      <c r="Q29" s="79" t="s">
        <v>23</v>
      </c>
      <c r="R29" s="79"/>
      <c r="S29" s="84"/>
    </row>
    <row r="30" ht="18" customHeight="1" spans="1:19">
      <c r="A30" s="65">
        <v>45922</v>
      </c>
      <c r="B30" s="121">
        <v>12985</v>
      </c>
      <c r="C30" s="121">
        <v>12353</v>
      </c>
      <c r="D30" s="66">
        <v>492</v>
      </c>
      <c r="E30" s="56">
        <f t="shared" si="0"/>
        <v>3.78898729303042</v>
      </c>
      <c r="F30" s="66">
        <v>10523</v>
      </c>
      <c r="G30" s="66">
        <v>10486</v>
      </c>
      <c r="H30" s="66">
        <v>37</v>
      </c>
      <c r="I30" s="56">
        <f t="shared" si="1"/>
        <v>0.351610757388577</v>
      </c>
      <c r="J30" s="66">
        <v>11335</v>
      </c>
      <c r="K30" s="66">
        <v>11168</v>
      </c>
      <c r="L30" s="66">
        <v>167</v>
      </c>
      <c r="M30" s="56">
        <f t="shared" si="2"/>
        <v>1.47331274812528</v>
      </c>
      <c r="N30" s="57">
        <v>11168</v>
      </c>
      <c r="O30" s="66">
        <v>117</v>
      </c>
      <c r="P30" s="78">
        <f t="shared" ref="P30:P35" si="7">D30+H30+L30+O30</f>
        <v>813</v>
      </c>
      <c r="Q30" s="89">
        <f>SUM(B29:B35)</f>
        <v>76286</v>
      </c>
      <c r="R30" s="89">
        <f>SUM(P29:P35)</f>
        <v>7475</v>
      </c>
      <c r="S30" s="90">
        <f>R30/Q30*100</f>
        <v>9.79865243950397</v>
      </c>
    </row>
    <row r="31" ht="18" customHeight="1" spans="1:19">
      <c r="A31" s="65">
        <v>45923</v>
      </c>
      <c r="B31" s="66">
        <v>14247</v>
      </c>
      <c r="C31" s="66">
        <v>13402</v>
      </c>
      <c r="D31" s="66">
        <v>738</v>
      </c>
      <c r="E31" s="56">
        <f t="shared" si="0"/>
        <v>5.18003790271636</v>
      </c>
      <c r="F31" s="66">
        <v>14259</v>
      </c>
      <c r="G31" s="66">
        <v>14228</v>
      </c>
      <c r="H31" s="66">
        <v>31</v>
      </c>
      <c r="I31" s="56">
        <f t="shared" si="1"/>
        <v>0.217406550248966</v>
      </c>
      <c r="J31" s="66">
        <v>14228</v>
      </c>
      <c r="K31" s="66">
        <v>14127</v>
      </c>
      <c r="L31" s="66">
        <v>101</v>
      </c>
      <c r="M31" s="56">
        <f t="shared" si="2"/>
        <v>0.709867866179365</v>
      </c>
      <c r="N31" s="57">
        <v>14127</v>
      </c>
      <c r="O31" s="66">
        <v>67</v>
      </c>
      <c r="P31" s="78">
        <f t="shared" si="7"/>
        <v>937</v>
      </c>
      <c r="Q31" s="85"/>
      <c r="R31" s="85"/>
      <c r="S31" s="86"/>
    </row>
    <row r="32" ht="18" customHeight="1" spans="1:19">
      <c r="A32" s="65">
        <v>45924</v>
      </c>
      <c r="B32" s="66">
        <v>11960</v>
      </c>
      <c r="C32" s="66">
        <v>11272</v>
      </c>
      <c r="D32" s="66">
        <v>601</v>
      </c>
      <c r="E32" s="56">
        <f t="shared" si="0"/>
        <v>5.02508361204013</v>
      </c>
      <c r="F32" s="66">
        <v>12251</v>
      </c>
      <c r="G32" s="66">
        <v>12238</v>
      </c>
      <c r="H32" s="66">
        <v>13</v>
      </c>
      <c r="I32" s="56">
        <f t="shared" si="1"/>
        <v>0.106113786629663</v>
      </c>
      <c r="J32" s="66">
        <v>11453</v>
      </c>
      <c r="K32" s="66">
        <v>11290</v>
      </c>
      <c r="L32" s="66">
        <v>163</v>
      </c>
      <c r="M32" s="56">
        <f t="shared" si="2"/>
        <v>1.42320789312844</v>
      </c>
      <c r="N32" s="57">
        <v>11290</v>
      </c>
      <c r="O32" s="66">
        <v>47</v>
      </c>
      <c r="P32" s="78">
        <f t="shared" si="7"/>
        <v>824</v>
      </c>
      <c r="Q32" s="85"/>
      <c r="R32" s="85"/>
      <c r="S32" s="86"/>
    </row>
    <row r="33" ht="18" customHeight="1" spans="1:19">
      <c r="A33" s="65">
        <v>45925</v>
      </c>
      <c r="B33" s="66">
        <v>13910</v>
      </c>
      <c r="C33" s="66">
        <v>13253</v>
      </c>
      <c r="D33" s="66">
        <v>411</v>
      </c>
      <c r="E33" s="56">
        <f t="shared" si="0"/>
        <v>2.95470884255931</v>
      </c>
      <c r="F33" s="66">
        <v>12536</v>
      </c>
      <c r="G33" s="66">
        <v>12500</v>
      </c>
      <c r="H33" s="66">
        <v>36</v>
      </c>
      <c r="I33" s="56">
        <f t="shared" si="1"/>
        <v>0.28717294192725</v>
      </c>
      <c r="J33" s="66">
        <v>13285</v>
      </c>
      <c r="K33" s="66">
        <v>13202</v>
      </c>
      <c r="L33" s="66">
        <v>83</v>
      </c>
      <c r="M33" s="56">
        <f t="shared" si="2"/>
        <v>0.624764772299586</v>
      </c>
      <c r="N33" s="57">
        <v>8602</v>
      </c>
      <c r="O33" s="66">
        <v>186</v>
      </c>
      <c r="P33" s="78">
        <f t="shared" si="7"/>
        <v>716</v>
      </c>
      <c r="Q33" s="85"/>
      <c r="R33" s="85"/>
      <c r="S33" s="86"/>
    </row>
    <row r="34" ht="18" customHeight="1" spans="1:19">
      <c r="A34" s="65">
        <v>45926</v>
      </c>
      <c r="B34" s="66">
        <v>11156</v>
      </c>
      <c r="C34" s="66">
        <v>10377</v>
      </c>
      <c r="D34" s="66">
        <v>562</v>
      </c>
      <c r="E34" s="56">
        <f t="shared" si="0"/>
        <v>5.03764790247401</v>
      </c>
      <c r="F34" s="66">
        <v>11079</v>
      </c>
      <c r="G34" s="66">
        <v>11030</v>
      </c>
      <c r="H34" s="66">
        <v>49</v>
      </c>
      <c r="I34" s="56">
        <f t="shared" si="1"/>
        <v>0.44227818395162</v>
      </c>
      <c r="J34" s="66">
        <v>9564</v>
      </c>
      <c r="K34" s="66">
        <v>8271</v>
      </c>
      <c r="L34" s="66">
        <v>1293</v>
      </c>
      <c r="M34" s="56">
        <f t="shared" si="2"/>
        <v>13.5194479297365</v>
      </c>
      <c r="N34" s="57">
        <v>10198</v>
      </c>
      <c r="O34" s="66">
        <v>183</v>
      </c>
      <c r="P34" s="78">
        <f t="shared" si="7"/>
        <v>2087</v>
      </c>
      <c r="Q34" s="85"/>
      <c r="R34" s="85"/>
      <c r="S34" s="86"/>
    </row>
    <row r="35" ht="18" customHeight="1" spans="1:19">
      <c r="A35" s="65">
        <v>45927</v>
      </c>
      <c r="B35" s="121">
        <v>12028</v>
      </c>
      <c r="C35" s="121">
        <v>11057</v>
      </c>
      <c r="D35" s="121">
        <v>640</v>
      </c>
      <c r="E35" s="56">
        <f t="shared" si="0"/>
        <v>5.32091785833056</v>
      </c>
      <c r="F35" s="121">
        <v>11094</v>
      </c>
      <c r="G35" s="121">
        <v>10971</v>
      </c>
      <c r="H35" s="121">
        <v>123</v>
      </c>
      <c r="I35" s="56">
        <f t="shared" si="1"/>
        <v>1.10870740941049</v>
      </c>
      <c r="J35" s="121">
        <v>12434</v>
      </c>
      <c r="K35" s="121">
        <v>11232</v>
      </c>
      <c r="L35" s="121">
        <v>1202</v>
      </c>
      <c r="M35" s="56">
        <f t="shared" si="2"/>
        <v>9.66704198166318</v>
      </c>
      <c r="N35" s="57">
        <v>10355</v>
      </c>
      <c r="O35" s="121">
        <v>133</v>
      </c>
      <c r="P35" s="78">
        <f t="shared" si="7"/>
        <v>2098</v>
      </c>
      <c r="Q35" s="85"/>
      <c r="R35" s="85"/>
      <c r="S35" s="86"/>
    </row>
    <row r="36" ht="18" customHeight="1" spans="1:19">
      <c r="A36" s="49" t="s">
        <v>29</v>
      </c>
      <c r="B36" s="50">
        <f>SUM(B29:B35)</f>
        <v>76286</v>
      </c>
      <c r="C36" s="50">
        <f>SUM(C29:C35)</f>
        <v>71714</v>
      </c>
      <c r="D36" s="50">
        <f>SUM(D29:D35)</f>
        <v>3444</v>
      </c>
      <c r="E36" s="51">
        <f t="shared" si="0"/>
        <v>4.51458983299688</v>
      </c>
      <c r="F36" s="50">
        <f>SUM(F29:F35)</f>
        <v>71742</v>
      </c>
      <c r="G36" s="50">
        <f>SUM(G29:G35)</f>
        <v>71453</v>
      </c>
      <c r="H36" s="50">
        <f>SUM(H29:H35)</f>
        <v>289</v>
      </c>
      <c r="I36" s="51">
        <f t="shared" si="1"/>
        <v>0.402832371553623</v>
      </c>
      <c r="J36" s="50">
        <f>SUM(J29:J35)</f>
        <v>72299</v>
      </c>
      <c r="K36" s="50">
        <f>SUM(K29:K35)</f>
        <v>69290</v>
      </c>
      <c r="L36" s="50">
        <f>SUM(L29:L35)</f>
        <v>3009</v>
      </c>
      <c r="M36" s="51">
        <f t="shared" si="2"/>
        <v>4.16188329022531</v>
      </c>
      <c r="N36" s="50">
        <f>SUM(N29:N35)</f>
        <v>65740</v>
      </c>
      <c r="O36" s="50">
        <f>SUM(O29:O35)</f>
        <v>733</v>
      </c>
      <c r="P36" s="50">
        <f>SUM(P29:P35)</f>
        <v>7475</v>
      </c>
      <c r="Q36" s="87"/>
      <c r="R36" s="87"/>
      <c r="S36" s="88"/>
    </row>
    <row r="37" ht="18" customHeight="1" spans="1:19">
      <c r="A37" s="60">
        <v>45928</v>
      </c>
      <c r="B37" s="58"/>
      <c r="C37" s="58"/>
      <c r="D37" s="58"/>
      <c r="E37" s="71" t="e">
        <f t="shared" si="0"/>
        <v>#DIV/0!</v>
      </c>
      <c r="F37" s="58"/>
      <c r="G37" s="58"/>
      <c r="H37" s="58"/>
      <c r="I37" s="71" t="e">
        <f t="shared" si="1"/>
        <v>#DIV/0!</v>
      </c>
      <c r="J37" s="58"/>
      <c r="K37" s="58"/>
      <c r="L37" s="58"/>
      <c r="M37" s="71" t="e">
        <f t="shared" si="2"/>
        <v>#DIV/0!</v>
      </c>
      <c r="N37" s="54"/>
      <c r="O37" s="54"/>
      <c r="P37" s="83">
        <f t="shared" ref="P37:P39" si="8">D37+H37+L37+O37</f>
        <v>0</v>
      </c>
      <c r="Q37" s="79" t="s">
        <v>24</v>
      </c>
      <c r="R37" s="79"/>
      <c r="S37" s="84"/>
    </row>
    <row r="38" ht="18" customHeight="1" spans="1:19">
      <c r="A38" s="65">
        <v>45929</v>
      </c>
      <c r="B38" s="66">
        <v>13245</v>
      </c>
      <c r="C38" s="66">
        <v>12462</v>
      </c>
      <c r="D38" s="66">
        <v>529</v>
      </c>
      <c r="E38" s="56">
        <f t="shared" si="0"/>
        <v>3.99395998489996</v>
      </c>
      <c r="F38" s="66">
        <v>12630</v>
      </c>
      <c r="G38" s="66">
        <v>12591</v>
      </c>
      <c r="H38" s="66">
        <v>39</v>
      </c>
      <c r="I38" s="56">
        <f t="shared" si="1"/>
        <v>0.308788598574822</v>
      </c>
      <c r="J38" s="66">
        <v>10021</v>
      </c>
      <c r="K38" s="66">
        <v>9883</v>
      </c>
      <c r="L38" s="66">
        <v>138</v>
      </c>
      <c r="M38" s="56">
        <f t="shared" si="2"/>
        <v>1.3771080730466</v>
      </c>
      <c r="N38" s="57">
        <v>12310</v>
      </c>
      <c r="O38" s="57">
        <v>172</v>
      </c>
      <c r="P38" s="78">
        <f t="shared" si="8"/>
        <v>878</v>
      </c>
      <c r="Q38" s="93">
        <f>SUM(B38:B39)</f>
        <v>25237</v>
      </c>
      <c r="R38" s="85">
        <f>SUM(P38:P39)</f>
        <v>2424</v>
      </c>
      <c r="S38" s="86">
        <f>R38/Q38*100</f>
        <v>9.60494512025994</v>
      </c>
    </row>
    <row r="39" ht="18" customHeight="1" spans="1:19">
      <c r="A39" s="65">
        <v>45930</v>
      </c>
      <c r="B39" s="66">
        <v>11992</v>
      </c>
      <c r="C39" s="66">
        <v>10894</v>
      </c>
      <c r="D39" s="66">
        <v>1006</v>
      </c>
      <c r="E39" s="56">
        <f t="shared" si="0"/>
        <v>8.38892595063376</v>
      </c>
      <c r="F39" s="66">
        <v>8894</v>
      </c>
      <c r="G39" s="66">
        <v>8876</v>
      </c>
      <c r="H39" s="66">
        <v>18</v>
      </c>
      <c r="I39" s="56">
        <f t="shared" si="1"/>
        <v>0.202383629413087</v>
      </c>
      <c r="J39" s="66">
        <v>8914</v>
      </c>
      <c r="K39" s="66">
        <v>8592</v>
      </c>
      <c r="L39" s="66">
        <v>322</v>
      </c>
      <c r="M39" s="56">
        <f t="shared" si="2"/>
        <v>3.61229526587391</v>
      </c>
      <c r="N39" s="57">
        <v>8593</v>
      </c>
      <c r="O39" s="57">
        <v>200</v>
      </c>
      <c r="P39" s="78">
        <f t="shared" si="8"/>
        <v>1546</v>
      </c>
      <c r="Q39" s="93"/>
      <c r="R39" s="85"/>
      <c r="S39" s="86"/>
    </row>
    <row r="40" ht="18" customHeight="1" spans="1:19">
      <c r="A40" s="49" t="s">
        <v>29</v>
      </c>
      <c r="B40" s="50">
        <f>SUM(B37:B39)</f>
        <v>25237</v>
      </c>
      <c r="C40" s="50">
        <f>SUM(C37:C39)</f>
        <v>23356</v>
      </c>
      <c r="D40" s="50">
        <f>SUM(D37:D39)</f>
        <v>1535</v>
      </c>
      <c r="E40" s="51">
        <f t="shared" si="0"/>
        <v>6.08233942227682</v>
      </c>
      <c r="F40" s="50">
        <f>SUM(F37:F39)</f>
        <v>21524</v>
      </c>
      <c r="G40" s="50">
        <f>SUM(G37:G39)</f>
        <v>21467</v>
      </c>
      <c r="H40" s="50">
        <f>SUM(H37:H39)</f>
        <v>57</v>
      </c>
      <c r="I40" s="51">
        <f t="shared" si="1"/>
        <v>0.264820665303847</v>
      </c>
      <c r="J40" s="50">
        <f>SUM(J37:J39)</f>
        <v>18935</v>
      </c>
      <c r="K40" s="50">
        <f>SUM(K37:K39)</f>
        <v>18475</v>
      </c>
      <c r="L40" s="50">
        <f>SUM(L37:L39)</f>
        <v>460</v>
      </c>
      <c r="M40" s="51">
        <f t="shared" si="2"/>
        <v>2.42936361235807</v>
      </c>
      <c r="N40" s="50">
        <f>SUM(N37:N39)</f>
        <v>20903</v>
      </c>
      <c r="O40" s="50">
        <f>SUM(O37:O39)</f>
        <v>372</v>
      </c>
      <c r="P40" s="50">
        <f>SUM(P37:P39)</f>
        <v>2424</v>
      </c>
      <c r="Q40" s="93"/>
      <c r="R40" s="85"/>
      <c r="S40" s="86"/>
    </row>
    <row r="41" ht="18" customHeight="1" spans="1:19">
      <c r="A41" s="136" t="s">
        <v>25</v>
      </c>
      <c r="B41" s="137">
        <f t="shared" ref="B41:P41" si="9">B40+B36+B28+B20+B12</f>
        <v>335960</v>
      </c>
      <c r="C41" s="137">
        <f t="shared" si="9"/>
        <v>310725</v>
      </c>
      <c r="D41" s="137">
        <f t="shared" si="9"/>
        <v>20726</v>
      </c>
      <c r="E41" s="137"/>
      <c r="F41" s="137">
        <f t="shared" si="9"/>
        <v>308913</v>
      </c>
      <c r="G41" s="137">
        <f t="shared" si="9"/>
        <v>307951</v>
      </c>
      <c r="H41" s="137">
        <f t="shared" si="9"/>
        <v>962</v>
      </c>
      <c r="I41" s="137"/>
      <c r="J41" s="137">
        <f t="shared" si="9"/>
        <v>309922</v>
      </c>
      <c r="K41" s="137">
        <f t="shared" si="9"/>
        <v>304532</v>
      </c>
      <c r="L41" s="137">
        <f t="shared" si="9"/>
        <v>5390</v>
      </c>
      <c r="M41" s="137"/>
      <c r="N41" s="137">
        <f t="shared" si="9"/>
        <v>320063</v>
      </c>
      <c r="O41" s="137">
        <f t="shared" si="9"/>
        <v>3536</v>
      </c>
      <c r="P41" s="137">
        <f t="shared" si="9"/>
        <v>30614</v>
      </c>
      <c r="Q41" s="141"/>
      <c r="R41" s="142"/>
      <c r="S41" s="143"/>
    </row>
  </sheetData>
  <mergeCells count="42">
    <mergeCell ref="A3:S3"/>
    <mergeCell ref="Q6:S6"/>
    <mergeCell ref="Q13:S13"/>
    <mergeCell ref="Q21:S21"/>
    <mergeCell ref="Q29:S29"/>
    <mergeCell ref="Q37:S37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Q7:Q12"/>
    <mergeCell ref="Q14:Q20"/>
    <mergeCell ref="Q22:Q28"/>
    <mergeCell ref="Q30:Q36"/>
    <mergeCell ref="Q38:Q41"/>
    <mergeCell ref="R4:R5"/>
    <mergeCell ref="R7:R12"/>
    <mergeCell ref="R14:R20"/>
    <mergeCell ref="R22:R28"/>
    <mergeCell ref="R30:R36"/>
    <mergeCell ref="R38:R41"/>
    <mergeCell ref="S4:S5"/>
    <mergeCell ref="S7:S12"/>
    <mergeCell ref="S14:S20"/>
    <mergeCell ref="S22:S28"/>
    <mergeCell ref="S30:S36"/>
    <mergeCell ref="S38:S41"/>
    <mergeCell ref="A1:B2"/>
    <mergeCell ref="C1:S2"/>
  </mergeCells>
  <pageMargins left="0.25" right="0.25" top="0.314583333333333" bottom="0.118055555555556" header="0.298611111111111" footer="0.298611111111111"/>
  <pageSetup paperSize="9" scale="70" orientation="landscape"/>
  <headerFooter/>
  <ignoredErrors>
    <ignoredError sqref="M26" evalError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45"/>
  <sheetViews>
    <sheetView topLeftCell="A3" workbookViewId="0">
      <pane xSplit="1" ySplit="3" topLeftCell="B20" activePane="bottomRight" state="frozen"/>
      <selection/>
      <selection pane="topRight"/>
      <selection pane="bottomLeft"/>
      <selection pane="bottomRight" activeCell="S43" sqref="S43"/>
    </sheetView>
  </sheetViews>
  <sheetFormatPr defaultColWidth="9" defaultRowHeight="15"/>
  <cols>
    <col min="1" max="1" width="11.1428571428571"/>
    <col min="2" max="2" width="7.57142857142857" customWidth="1"/>
    <col min="3" max="3" width="9.71428571428571" customWidth="1"/>
    <col min="4" max="4" width="10.1428571428571"/>
    <col min="5" max="6" width="9.57142857142857" customWidth="1"/>
    <col min="7" max="7" width="9.42857142857143" customWidth="1"/>
    <col min="9" max="9" width="12.8571428571429"/>
    <col min="10" max="10" width="10.4285714285714" customWidth="1"/>
    <col min="11" max="11" width="11.8571428571429" customWidth="1"/>
    <col min="12" max="12" width="10.8571428571429" customWidth="1"/>
    <col min="13" max="15" width="12.8571428571429"/>
    <col min="16" max="16" width="13.2857142857143" style="30" customWidth="1"/>
    <col min="17" max="17" width="10.1428571428571"/>
  </cols>
  <sheetData>
    <row r="1" spans="1:19">
      <c r="A1" s="1"/>
      <c r="B1" s="1"/>
      <c r="C1" s="2" t="s">
        <v>26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67" customHeight="1" spans="1:19">
      <c r="A2" s="1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21" customHeight="1" spans="1:19">
      <c r="A3" s="105" t="s">
        <v>35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</row>
    <row r="4" spans="1:19">
      <c r="A4" s="45" t="s">
        <v>2</v>
      </c>
      <c r="B4" s="43" t="s">
        <v>3</v>
      </c>
      <c r="C4" s="43" t="s">
        <v>4</v>
      </c>
      <c r="D4" s="43" t="s">
        <v>5</v>
      </c>
      <c r="E4" s="43" t="s">
        <v>6</v>
      </c>
      <c r="F4" s="43" t="s">
        <v>7</v>
      </c>
      <c r="G4" s="43" t="s">
        <v>8</v>
      </c>
      <c r="H4" s="43" t="s">
        <v>5</v>
      </c>
      <c r="I4" s="43" t="s">
        <v>6</v>
      </c>
      <c r="J4" s="43" t="s">
        <v>9</v>
      </c>
      <c r="K4" s="43" t="s">
        <v>10</v>
      </c>
      <c r="L4" s="43" t="s">
        <v>11</v>
      </c>
      <c r="M4" s="43" t="s">
        <v>6</v>
      </c>
      <c r="N4" s="75" t="s">
        <v>12</v>
      </c>
      <c r="O4" s="43" t="s">
        <v>13</v>
      </c>
      <c r="P4" s="43" t="s">
        <v>14</v>
      </c>
      <c r="Q4" s="43" t="s">
        <v>16</v>
      </c>
      <c r="R4" s="43" t="s">
        <v>14</v>
      </c>
      <c r="S4" s="43" t="s">
        <v>18</v>
      </c>
    </row>
    <row r="5" ht="38" customHeight="1" spans="1:19">
      <c r="A5" s="45"/>
      <c r="B5" s="43"/>
      <c r="C5" s="45"/>
      <c r="D5" s="45"/>
      <c r="E5" s="43"/>
      <c r="F5" s="43"/>
      <c r="G5" s="45"/>
      <c r="H5" s="45"/>
      <c r="I5" s="45"/>
      <c r="J5" s="45"/>
      <c r="K5" s="45"/>
      <c r="L5" s="45"/>
      <c r="M5" s="45"/>
      <c r="N5" s="77"/>
      <c r="O5" s="43"/>
      <c r="P5" s="45"/>
      <c r="Q5" s="43"/>
      <c r="R5" s="43"/>
      <c r="S5" s="43"/>
    </row>
    <row r="6" ht="16" customHeight="1" spans="1:19">
      <c r="A6" s="106">
        <v>45931</v>
      </c>
      <c r="B6" s="47">
        <v>8381</v>
      </c>
      <c r="C6" s="47">
        <v>7602</v>
      </c>
      <c r="D6" s="47">
        <v>177</v>
      </c>
      <c r="E6" s="56">
        <f>D6/B6*100</f>
        <v>2.11191981863739</v>
      </c>
      <c r="F6" s="47">
        <v>9602</v>
      </c>
      <c r="G6" s="47">
        <v>9427</v>
      </c>
      <c r="H6" s="47">
        <v>175</v>
      </c>
      <c r="I6" s="56">
        <f>H6/F6*100</f>
        <v>1.82253697146428</v>
      </c>
      <c r="J6" s="47">
        <v>12019</v>
      </c>
      <c r="K6" s="47">
        <v>11957</v>
      </c>
      <c r="L6" s="47">
        <v>62</v>
      </c>
      <c r="M6" s="56">
        <f>L6/J6*100</f>
        <v>0.515849904318163</v>
      </c>
      <c r="N6" s="57">
        <v>7501</v>
      </c>
      <c r="O6" s="47">
        <v>349</v>
      </c>
      <c r="P6" s="78">
        <f>D6+H6+L6+O6</f>
        <v>763</v>
      </c>
      <c r="Q6" s="79" t="s">
        <v>19</v>
      </c>
      <c r="R6" s="79"/>
      <c r="S6" s="79"/>
    </row>
    <row r="7" ht="16" customHeight="1" spans="1:19">
      <c r="A7" s="107">
        <v>45932</v>
      </c>
      <c r="B7" s="108" t="s">
        <v>36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89">
        <f>SUM(B6:B9)</f>
        <v>36702</v>
      </c>
      <c r="R7" s="89">
        <f>SUM(P6:P9)</f>
        <v>2395</v>
      </c>
      <c r="S7" s="125">
        <f>R7/Q7*100</f>
        <v>6.52552994387227</v>
      </c>
    </row>
    <row r="8" ht="16" customHeight="1" spans="1:19">
      <c r="A8" s="106">
        <v>45933</v>
      </c>
      <c r="B8" s="47">
        <v>13268</v>
      </c>
      <c r="C8" s="47">
        <v>12516</v>
      </c>
      <c r="D8" s="47">
        <v>547</v>
      </c>
      <c r="E8" s="56">
        <f>D8/B8*100</f>
        <v>4.12270123605668</v>
      </c>
      <c r="F8" s="47">
        <v>11083</v>
      </c>
      <c r="G8" s="47">
        <v>11011</v>
      </c>
      <c r="H8" s="47">
        <v>72</v>
      </c>
      <c r="I8" s="56">
        <f>H8/F8*100</f>
        <v>0.649643598303708</v>
      </c>
      <c r="J8" s="47">
        <v>11019</v>
      </c>
      <c r="K8" s="47">
        <v>10857</v>
      </c>
      <c r="L8" s="47">
        <v>162</v>
      </c>
      <c r="M8" s="56">
        <f>L8/J8*100</f>
        <v>1.47018785733733</v>
      </c>
      <c r="N8" s="57">
        <v>9539</v>
      </c>
      <c r="O8" s="47">
        <v>161</v>
      </c>
      <c r="P8" s="78">
        <f>D8+H8+L8+O8</f>
        <v>942</v>
      </c>
      <c r="Q8" s="85"/>
      <c r="R8" s="85"/>
      <c r="S8" s="126"/>
    </row>
    <row r="9" ht="16" customHeight="1" spans="1:19">
      <c r="A9" s="106">
        <v>45934</v>
      </c>
      <c r="B9" s="47">
        <v>15053</v>
      </c>
      <c r="C9" s="47">
        <v>13602</v>
      </c>
      <c r="D9" s="47">
        <v>409</v>
      </c>
      <c r="E9" s="56">
        <f>D9/B9*100</f>
        <v>2.71706636550854</v>
      </c>
      <c r="F9" s="47">
        <v>10522</v>
      </c>
      <c r="G9" s="47">
        <v>10377</v>
      </c>
      <c r="H9" s="47">
        <v>145</v>
      </c>
      <c r="I9" s="56">
        <f>H9/F9*100</f>
        <v>1.37806500665273</v>
      </c>
      <c r="J9" s="47">
        <v>10377</v>
      </c>
      <c r="K9" s="47">
        <v>10345</v>
      </c>
      <c r="L9" s="47">
        <v>32</v>
      </c>
      <c r="M9" s="56">
        <f>L9/J9*100</f>
        <v>0.30837428929363</v>
      </c>
      <c r="N9" s="57">
        <v>6400</v>
      </c>
      <c r="O9" s="47">
        <v>104</v>
      </c>
      <c r="P9" s="78">
        <f>D9+H9+L9+O9</f>
        <v>690</v>
      </c>
      <c r="Q9" s="85"/>
      <c r="R9" s="85"/>
      <c r="S9" s="126"/>
    </row>
    <row r="10" ht="16" customHeight="1" spans="1:19">
      <c r="A10" s="110" t="s">
        <v>29</v>
      </c>
      <c r="B10" s="50">
        <f>SUM(B6:B9)</f>
        <v>36702</v>
      </c>
      <c r="C10" s="50">
        <f>SUM(C6:C9)</f>
        <v>33720</v>
      </c>
      <c r="D10" s="50">
        <f>SUM(D6:D9)</f>
        <v>1133</v>
      </c>
      <c r="E10" s="51">
        <f t="shared" ref="E10:E41" si="0">D10/B10*100</f>
        <v>3.08702523023268</v>
      </c>
      <c r="F10" s="50">
        <f>SUM(F6:F9)</f>
        <v>31207</v>
      </c>
      <c r="G10" s="50">
        <f>SUM(G6:G9)</f>
        <v>30815</v>
      </c>
      <c r="H10" s="50">
        <f>SUM(H6:H9)</f>
        <v>392</v>
      </c>
      <c r="I10" s="51">
        <f t="shared" ref="I10:I41" si="1">H10/F10*100</f>
        <v>1.25612843272343</v>
      </c>
      <c r="J10" s="50">
        <f>SUM(J6:J9)</f>
        <v>33415</v>
      </c>
      <c r="K10" s="50">
        <f>SUM(K6:K9)</f>
        <v>33159</v>
      </c>
      <c r="L10" s="50">
        <f>SUM(L6:L9)</f>
        <v>256</v>
      </c>
      <c r="M10" s="51">
        <f t="shared" ref="M10:M41" si="2">L10/J10*100</f>
        <v>0.766122998653299</v>
      </c>
      <c r="N10" s="50">
        <f>SUM(N6:N9)</f>
        <v>23440</v>
      </c>
      <c r="O10" s="50">
        <f>SUM(O6:O9)</f>
        <v>614</v>
      </c>
      <c r="P10" s="50">
        <f>SUM(P6:P9)</f>
        <v>2395</v>
      </c>
      <c r="Q10" s="87"/>
      <c r="R10" s="87"/>
      <c r="S10" s="127"/>
    </row>
    <row r="11" ht="16" customHeight="1" spans="1:19">
      <c r="A11" s="53">
        <v>45935</v>
      </c>
      <c r="B11" s="54"/>
      <c r="C11" s="54"/>
      <c r="D11" s="54"/>
      <c r="E11" s="71" t="e">
        <f t="shared" si="0"/>
        <v>#DIV/0!</v>
      </c>
      <c r="F11" s="54"/>
      <c r="G11" s="54"/>
      <c r="H11" s="54"/>
      <c r="I11" s="71" t="e">
        <f t="shared" si="1"/>
        <v>#DIV/0!</v>
      </c>
      <c r="J11" s="54"/>
      <c r="K11" s="54"/>
      <c r="L11" s="54"/>
      <c r="M11" s="71" t="e">
        <f t="shared" si="2"/>
        <v>#DIV/0!</v>
      </c>
      <c r="N11" s="54"/>
      <c r="O11" s="54"/>
      <c r="P11" s="83">
        <f t="shared" ref="P11:P17" si="3">D11+H11+L11+O11</f>
        <v>0</v>
      </c>
      <c r="Q11" s="79" t="s">
        <v>21</v>
      </c>
      <c r="R11" s="79"/>
      <c r="S11" s="79"/>
    </row>
    <row r="12" ht="17" customHeight="1" spans="1:19">
      <c r="A12" s="111">
        <v>45936</v>
      </c>
      <c r="B12" s="57">
        <v>9702</v>
      </c>
      <c r="C12" s="57">
        <v>8338</v>
      </c>
      <c r="D12" s="57">
        <v>303</v>
      </c>
      <c r="E12" s="56">
        <f t="shared" si="0"/>
        <v>3.12306740878169</v>
      </c>
      <c r="F12" s="57">
        <v>10913</v>
      </c>
      <c r="G12" s="57">
        <v>10724</v>
      </c>
      <c r="H12" s="57">
        <v>189</v>
      </c>
      <c r="I12" s="56">
        <f t="shared" si="1"/>
        <v>1.73187940987813</v>
      </c>
      <c r="J12" s="57">
        <v>10724</v>
      </c>
      <c r="K12" s="57">
        <v>10677</v>
      </c>
      <c r="L12" s="57">
        <v>47</v>
      </c>
      <c r="M12" s="56">
        <f t="shared" si="2"/>
        <v>0.438269302499068</v>
      </c>
      <c r="N12" s="57">
        <v>4724</v>
      </c>
      <c r="O12" s="57">
        <v>209</v>
      </c>
      <c r="P12" s="78">
        <f t="shared" si="3"/>
        <v>748</v>
      </c>
      <c r="Q12" s="89">
        <f>SUM(B11:B17)</f>
        <v>52166</v>
      </c>
      <c r="R12" s="89">
        <f>SUM(P11:P17)</f>
        <v>6284</v>
      </c>
      <c r="S12" s="125">
        <f>R12/Q12*100</f>
        <v>12.0461603343174</v>
      </c>
    </row>
    <row r="13" ht="16" customHeight="1" spans="1:19">
      <c r="A13" s="111">
        <v>45937</v>
      </c>
      <c r="B13" s="15">
        <v>8600</v>
      </c>
      <c r="C13" s="15">
        <v>7856</v>
      </c>
      <c r="D13" s="15">
        <v>368</v>
      </c>
      <c r="E13" s="48">
        <f t="shared" si="0"/>
        <v>4.27906976744186</v>
      </c>
      <c r="F13" s="15">
        <v>9571</v>
      </c>
      <c r="G13" s="15">
        <v>9230</v>
      </c>
      <c r="H13" s="15">
        <v>341</v>
      </c>
      <c r="I13" s="48">
        <f t="shared" si="1"/>
        <v>3.56284609758646</v>
      </c>
      <c r="J13" s="15">
        <v>9230</v>
      </c>
      <c r="K13" s="15">
        <v>9217</v>
      </c>
      <c r="L13" s="15">
        <v>13</v>
      </c>
      <c r="M13" s="48">
        <f t="shared" si="2"/>
        <v>0.140845070422535</v>
      </c>
      <c r="N13" s="15">
        <v>4177</v>
      </c>
      <c r="O13" s="15">
        <v>233</v>
      </c>
      <c r="P13" s="78">
        <f t="shared" si="3"/>
        <v>955</v>
      </c>
      <c r="Q13" s="85"/>
      <c r="R13" s="85"/>
      <c r="S13" s="126"/>
    </row>
    <row r="14" customFormat="1" ht="16" customHeight="1" spans="1:19">
      <c r="A14" s="111">
        <v>45938</v>
      </c>
      <c r="B14" s="15">
        <v>9978</v>
      </c>
      <c r="C14" s="15">
        <v>8553</v>
      </c>
      <c r="D14" s="15">
        <v>1040</v>
      </c>
      <c r="E14" s="48">
        <f t="shared" si="0"/>
        <v>10.4229304469834</v>
      </c>
      <c r="F14" s="15">
        <v>7844</v>
      </c>
      <c r="G14" s="15">
        <v>7841</v>
      </c>
      <c r="H14" s="15">
        <v>103</v>
      </c>
      <c r="I14" s="48">
        <f t="shared" si="1"/>
        <v>1.31310555838858</v>
      </c>
      <c r="J14" s="15">
        <v>7841</v>
      </c>
      <c r="K14" s="15">
        <v>7723</v>
      </c>
      <c r="L14" s="15">
        <v>118</v>
      </c>
      <c r="M14" s="48">
        <f t="shared" si="2"/>
        <v>1.50491008799898</v>
      </c>
      <c r="N14" s="15">
        <v>17316</v>
      </c>
      <c r="O14" s="15">
        <v>558</v>
      </c>
      <c r="P14" s="78">
        <f t="shared" si="3"/>
        <v>1819</v>
      </c>
      <c r="Q14" s="85"/>
      <c r="R14" s="85"/>
      <c r="S14" s="126"/>
    </row>
    <row r="15" customFormat="1" ht="16" customHeight="1" spans="1:19">
      <c r="A15" s="111">
        <v>45939</v>
      </c>
      <c r="B15" s="15">
        <v>8349</v>
      </c>
      <c r="C15" s="15">
        <v>7596</v>
      </c>
      <c r="D15" s="15">
        <v>453</v>
      </c>
      <c r="E15" s="48">
        <f t="shared" si="0"/>
        <v>5.42579949694574</v>
      </c>
      <c r="F15" s="15">
        <v>7894</v>
      </c>
      <c r="G15" s="15">
        <v>7688</v>
      </c>
      <c r="H15" s="15">
        <v>206</v>
      </c>
      <c r="I15" s="48">
        <f t="shared" si="1"/>
        <v>2.60957689384343</v>
      </c>
      <c r="J15" s="15">
        <v>7707</v>
      </c>
      <c r="K15" s="15">
        <v>7394</v>
      </c>
      <c r="L15" s="15">
        <v>313</v>
      </c>
      <c r="M15" s="48">
        <f t="shared" si="2"/>
        <v>4.06124302582068</v>
      </c>
      <c r="N15" s="15">
        <v>7596</v>
      </c>
      <c r="O15" s="15">
        <v>165</v>
      </c>
      <c r="P15" s="78">
        <f t="shared" si="3"/>
        <v>1137</v>
      </c>
      <c r="Q15" s="85"/>
      <c r="R15" s="85"/>
      <c r="S15" s="126"/>
    </row>
    <row r="16" customFormat="1" ht="16" customHeight="1" spans="1:19">
      <c r="A16" s="111">
        <v>45940</v>
      </c>
      <c r="B16" s="15">
        <v>7311</v>
      </c>
      <c r="C16" s="15">
        <v>6652</v>
      </c>
      <c r="D16" s="15">
        <v>521</v>
      </c>
      <c r="E16" s="48">
        <f t="shared" si="0"/>
        <v>7.12624811927233</v>
      </c>
      <c r="F16" s="15">
        <v>7181</v>
      </c>
      <c r="G16" s="15">
        <v>7065</v>
      </c>
      <c r="H16" s="15">
        <v>116</v>
      </c>
      <c r="I16" s="48">
        <f t="shared" si="1"/>
        <v>1.61537390335608</v>
      </c>
      <c r="J16" s="15">
        <v>7046</v>
      </c>
      <c r="K16" s="15">
        <v>6996</v>
      </c>
      <c r="L16" s="15">
        <v>50</v>
      </c>
      <c r="M16" s="48">
        <f t="shared" si="2"/>
        <v>0.709622480840193</v>
      </c>
      <c r="N16" s="15">
        <v>1355</v>
      </c>
      <c r="O16" s="15">
        <v>59</v>
      </c>
      <c r="P16" s="78">
        <f t="shared" si="3"/>
        <v>746</v>
      </c>
      <c r="Q16" s="85"/>
      <c r="R16" s="85"/>
      <c r="S16" s="126"/>
    </row>
    <row r="17" s="29" customFormat="1" ht="16" customHeight="1" spans="1:19">
      <c r="A17" s="111">
        <v>45941</v>
      </c>
      <c r="B17" s="15">
        <v>8226</v>
      </c>
      <c r="C17" s="15">
        <v>7578</v>
      </c>
      <c r="D17" s="15">
        <v>382</v>
      </c>
      <c r="E17" s="48">
        <f t="shared" si="0"/>
        <v>4.64381230245563</v>
      </c>
      <c r="F17" s="15">
        <v>7578</v>
      </c>
      <c r="G17" s="15">
        <v>7479</v>
      </c>
      <c r="H17" s="15">
        <v>99</v>
      </c>
      <c r="I17" s="48">
        <f t="shared" si="1"/>
        <v>1.30641330166271</v>
      </c>
      <c r="J17" s="15">
        <v>7479</v>
      </c>
      <c r="K17" s="15">
        <v>7361</v>
      </c>
      <c r="L17" s="15">
        <v>118</v>
      </c>
      <c r="M17" s="48">
        <f t="shared" si="2"/>
        <v>1.57775103623479</v>
      </c>
      <c r="N17" s="15">
        <v>5806</v>
      </c>
      <c r="O17" s="15">
        <v>280</v>
      </c>
      <c r="P17" s="78">
        <f t="shared" si="3"/>
        <v>879</v>
      </c>
      <c r="Q17" s="85"/>
      <c r="R17" s="85"/>
      <c r="S17" s="126"/>
    </row>
    <row r="18" s="29" customFormat="1" ht="16" customHeight="1" spans="1:19">
      <c r="A18" s="110" t="s">
        <v>29</v>
      </c>
      <c r="B18" s="50">
        <f>SUM(B11:B17)</f>
        <v>52166</v>
      </c>
      <c r="C18" s="50">
        <f>SUM(C11:C17)</f>
        <v>46573</v>
      </c>
      <c r="D18" s="50">
        <f>SUM(D11:D17)</f>
        <v>3067</v>
      </c>
      <c r="E18" s="51">
        <f t="shared" si="0"/>
        <v>5.8793083617682</v>
      </c>
      <c r="F18" s="50">
        <f>SUM(F11:F17)</f>
        <v>50981</v>
      </c>
      <c r="G18" s="50">
        <f>SUM(G11:G17)</f>
        <v>50027</v>
      </c>
      <c r="H18" s="50">
        <f>SUM(H11:H17)</f>
        <v>1054</v>
      </c>
      <c r="I18" s="51">
        <f t="shared" si="1"/>
        <v>2.06743688825249</v>
      </c>
      <c r="J18" s="50">
        <f>SUM(J11:J17)</f>
        <v>50027</v>
      </c>
      <c r="K18" s="50">
        <f>SUM(K11:K17)</f>
        <v>49368</v>
      </c>
      <c r="L18" s="50">
        <f>SUM(L11:L17)</f>
        <v>659</v>
      </c>
      <c r="M18" s="51">
        <f t="shared" si="2"/>
        <v>1.31728866412137</v>
      </c>
      <c r="N18" s="50">
        <f t="shared" ref="N18:P18" si="4">SUM(N11:N17)</f>
        <v>40974</v>
      </c>
      <c r="O18" s="50">
        <f t="shared" si="4"/>
        <v>1504</v>
      </c>
      <c r="P18" s="82">
        <f t="shared" si="4"/>
        <v>6284</v>
      </c>
      <c r="Q18" s="128"/>
      <c r="R18" s="87"/>
      <c r="S18" s="127"/>
    </row>
    <row r="19" ht="16" customHeight="1" spans="1:19">
      <c r="A19" s="53">
        <v>45942</v>
      </c>
      <c r="B19" s="58"/>
      <c r="C19" s="58"/>
      <c r="D19" s="58">
        <v>1035</v>
      </c>
      <c r="E19" s="71" t="e">
        <f t="shared" si="0"/>
        <v>#DIV/0!</v>
      </c>
      <c r="F19" s="58"/>
      <c r="G19" s="58"/>
      <c r="H19" s="58"/>
      <c r="I19" s="71" t="e">
        <f t="shared" si="1"/>
        <v>#DIV/0!</v>
      </c>
      <c r="J19" s="58"/>
      <c r="K19" s="58"/>
      <c r="L19" s="58"/>
      <c r="M19" s="71" t="e">
        <f t="shared" si="2"/>
        <v>#DIV/0!</v>
      </c>
      <c r="N19" s="54"/>
      <c r="O19" s="54">
        <v>43</v>
      </c>
      <c r="P19" s="83">
        <f t="shared" ref="P19:P25" si="5">D19+H19+L19+O19</f>
        <v>1078</v>
      </c>
      <c r="Q19" s="79" t="s">
        <v>22</v>
      </c>
      <c r="R19" s="79"/>
      <c r="S19" s="79"/>
    </row>
    <row r="20" ht="17" customHeight="1" spans="1:19">
      <c r="A20" s="112">
        <v>45943</v>
      </c>
      <c r="B20" s="15">
        <v>7196</v>
      </c>
      <c r="C20" s="15">
        <v>6194</v>
      </c>
      <c r="D20" s="15">
        <v>649</v>
      </c>
      <c r="E20" s="48">
        <f t="shared" si="0"/>
        <v>9.01889938854919</v>
      </c>
      <c r="F20" s="15">
        <v>8993</v>
      </c>
      <c r="G20" s="15">
        <v>8884</v>
      </c>
      <c r="H20" s="15">
        <v>109</v>
      </c>
      <c r="I20" s="48">
        <f t="shared" si="1"/>
        <v>1.2120538196375</v>
      </c>
      <c r="J20" s="15">
        <v>8506</v>
      </c>
      <c r="K20" s="15">
        <v>8402</v>
      </c>
      <c r="L20" s="15">
        <v>104</v>
      </c>
      <c r="M20" s="48">
        <f t="shared" si="2"/>
        <v>1.22266635316247</v>
      </c>
      <c r="N20" s="15">
        <v>5451</v>
      </c>
      <c r="O20" s="15">
        <v>161</v>
      </c>
      <c r="P20" s="123">
        <f t="shared" si="5"/>
        <v>1023</v>
      </c>
      <c r="Q20" s="89">
        <f>SUM(B19:B25)</f>
        <v>41599</v>
      </c>
      <c r="R20" s="89">
        <f>SUM(P19:P25)</f>
        <v>7357</v>
      </c>
      <c r="S20" s="125">
        <f>R20/Q20*100</f>
        <v>17.6855212865694</v>
      </c>
    </row>
    <row r="21" ht="16" customHeight="1" spans="1:19">
      <c r="A21" s="112">
        <v>45944</v>
      </c>
      <c r="B21" s="15">
        <v>4700</v>
      </c>
      <c r="C21" s="15">
        <v>4072</v>
      </c>
      <c r="D21" s="15">
        <v>179</v>
      </c>
      <c r="E21" s="48">
        <f t="shared" si="0"/>
        <v>3.80851063829787</v>
      </c>
      <c r="F21" s="15">
        <v>7687</v>
      </c>
      <c r="G21" s="15">
        <v>7546</v>
      </c>
      <c r="H21" s="15">
        <v>141</v>
      </c>
      <c r="I21" s="48">
        <f t="shared" si="1"/>
        <v>1.83426564329387</v>
      </c>
      <c r="J21" s="15">
        <v>7924</v>
      </c>
      <c r="K21" s="15">
        <v>7812</v>
      </c>
      <c r="L21" s="15">
        <v>112</v>
      </c>
      <c r="M21" s="48">
        <f t="shared" si="2"/>
        <v>1.41342756183746</v>
      </c>
      <c r="N21" s="15">
        <v>7331</v>
      </c>
      <c r="O21" s="15">
        <v>428</v>
      </c>
      <c r="P21" s="123">
        <f t="shared" si="5"/>
        <v>860</v>
      </c>
      <c r="Q21" s="85"/>
      <c r="R21" s="85"/>
      <c r="S21" s="126"/>
    </row>
    <row r="22" customFormat="1" ht="16" customHeight="1" spans="1:19">
      <c r="A22" s="112">
        <v>45945</v>
      </c>
      <c r="B22" s="15">
        <v>8056</v>
      </c>
      <c r="C22" s="15">
        <v>7093</v>
      </c>
      <c r="D22" s="15">
        <v>687</v>
      </c>
      <c r="E22" s="48">
        <f t="shared" si="0"/>
        <v>8.52780536246276</v>
      </c>
      <c r="F22" s="15">
        <v>7324</v>
      </c>
      <c r="G22" s="15">
        <v>7272</v>
      </c>
      <c r="H22" s="15">
        <v>401</v>
      </c>
      <c r="I22" s="48">
        <f t="shared" si="1"/>
        <v>5.47515019115238</v>
      </c>
      <c r="J22" s="15">
        <v>7298</v>
      </c>
      <c r="K22" s="15">
        <v>6897</v>
      </c>
      <c r="L22" s="15">
        <v>401</v>
      </c>
      <c r="M22" s="48">
        <f t="shared" si="2"/>
        <v>5.49465607015621</v>
      </c>
      <c r="N22" s="15">
        <v>6863</v>
      </c>
      <c r="O22" s="15">
        <v>346</v>
      </c>
      <c r="P22" s="123">
        <f t="shared" si="5"/>
        <v>1835</v>
      </c>
      <c r="Q22" s="85"/>
      <c r="R22" s="85"/>
      <c r="S22" s="126"/>
    </row>
    <row r="23" customFormat="1" ht="16" customHeight="1" spans="1:19">
      <c r="A23" s="112">
        <v>45946</v>
      </c>
      <c r="B23" s="15">
        <v>7730</v>
      </c>
      <c r="C23" s="15">
        <v>7014</v>
      </c>
      <c r="D23" s="15">
        <v>524</v>
      </c>
      <c r="E23" s="48">
        <f t="shared" si="0"/>
        <v>6.77878395860285</v>
      </c>
      <c r="F23" s="15">
        <v>6783</v>
      </c>
      <c r="G23" s="15">
        <v>6749</v>
      </c>
      <c r="H23" s="15">
        <v>34</v>
      </c>
      <c r="I23" s="48">
        <f t="shared" si="1"/>
        <v>0.50125313283208</v>
      </c>
      <c r="J23" s="15">
        <v>6749</v>
      </c>
      <c r="K23" s="15">
        <v>6709</v>
      </c>
      <c r="L23" s="15">
        <v>40</v>
      </c>
      <c r="M23" s="48">
        <f t="shared" si="2"/>
        <v>0.592680397095866</v>
      </c>
      <c r="N23" s="15">
        <v>9708</v>
      </c>
      <c r="O23" s="15">
        <v>483</v>
      </c>
      <c r="P23" s="123">
        <f t="shared" si="5"/>
        <v>1081</v>
      </c>
      <c r="Q23" s="85"/>
      <c r="R23" s="85"/>
      <c r="S23" s="126"/>
    </row>
    <row r="24" customFormat="1" ht="16" customHeight="1" spans="1:19">
      <c r="A24" s="112">
        <v>45947</v>
      </c>
      <c r="B24" s="15">
        <v>8827</v>
      </c>
      <c r="C24" s="15">
        <v>8169</v>
      </c>
      <c r="D24" s="15">
        <v>399</v>
      </c>
      <c r="E24" s="48">
        <f t="shared" si="0"/>
        <v>4.52022204599524</v>
      </c>
      <c r="F24" s="15">
        <v>6974</v>
      </c>
      <c r="G24" s="15">
        <v>6909</v>
      </c>
      <c r="H24" s="15">
        <v>65</v>
      </c>
      <c r="I24" s="48">
        <f t="shared" si="1"/>
        <v>0.932033266418125</v>
      </c>
      <c r="J24" s="15">
        <v>6909</v>
      </c>
      <c r="K24" s="15">
        <v>6867</v>
      </c>
      <c r="L24" s="15">
        <v>42</v>
      </c>
      <c r="M24" s="48">
        <f t="shared" si="2"/>
        <v>0.60790273556231</v>
      </c>
      <c r="N24" s="15">
        <v>5568</v>
      </c>
      <c r="O24" s="15">
        <v>221</v>
      </c>
      <c r="P24" s="123">
        <f t="shared" si="5"/>
        <v>727</v>
      </c>
      <c r="Q24" s="85"/>
      <c r="R24" s="85"/>
      <c r="S24" s="126"/>
    </row>
    <row r="25" s="29" customFormat="1" ht="16" customHeight="1" spans="1:19">
      <c r="A25" s="112">
        <v>45948</v>
      </c>
      <c r="B25" s="15">
        <v>5090</v>
      </c>
      <c r="C25" s="15">
        <v>4553</v>
      </c>
      <c r="D25" s="15">
        <v>496</v>
      </c>
      <c r="E25" s="48">
        <f t="shared" si="0"/>
        <v>9.74459724950884</v>
      </c>
      <c r="F25" s="15">
        <v>4728</v>
      </c>
      <c r="G25" s="15">
        <v>4679</v>
      </c>
      <c r="H25" s="15">
        <v>49</v>
      </c>
      <c r="I25" s="48">
        <f t="shared" si="1"/>
        <v>1.03637901861252</v>
      </c>
      <c r="J25" s="15">
        <v>4679</v>
      </c>
      <c r="K25" s="15">
        <v>4639</v>
      </c>
      <c r="L25" s="15">
        <v>40</v>
      </c>
      <c r="M25" s="48">
        <f t="shared" si="2"/>
        <v>0.854883522120111</v>
      </c>
      <c r="N25" s="15">
        <v>4892</v>
      </c>
      <c r="O25" s="15">
        <v>168</v>
      </c>
      <c r="P25" s="123">
        <f t="shared" si="5"/>
        <v>753</v>
      </c>
      <c r="Q25" s="85"/>
      <c r="R25" s="85"/>
      <c r="S25" s="126"/>
    </row>
    <row r="26" customFormat="1" ht="16" customHeight="1" spans="1:19">
      <c r="A26" s="110" t="s">
        <v>29</v>
      </c>
      <c r="B26" s="50">
        <f t="shared" ref="B26:H26" si="6">SUM(B19:B25)</f>
        <v>41599</v>
      </c>
      <c r="C26" s="50">
        <f t="shared" si="6"/>
        <v>37095</v>
      </c>
      <c r="D26" s="50">
        <f t="shared" si="6"/>
        <v>3969</v>
      </c>
      <c r="E26" s="51">
        <f t="shared" si="0"/>
        <v>9.54109473785427</v>
      </c>
      <c r="F26" s="50">
        <f t="shared" si="6"/>
        <v>42489</v>
      </c>
      <c r="G26" s="50">
        <f t="shared" si="6"/>
        <v>42039</v>
      </c>
      <c r="H26" s="50">
        <f t="shared" si="6"/>
        <v>799</v>
      </c>
      <c r="I26" s="51">
        <f t="shared" si="1"/>
        <v>1.88048671420838</v>
      </c>
      <c r="J26" s="50">
        <f t="shared" ref="J26:L26" si="7">SUM(J19:J25)</f>
        <v>42065</v>
      </c>
      <c r="K26" s="50">
        <f t="shared" si="7"/>
        <v>41326</v>
      </c>
      <c r="L26" s="50">
        <f t="shared" si="7"/>
        <v>739</v>
      </c>
      <c r="M26" s="51">
        <f t="shared" si="2"/>
        <v>1.7568049447284</v>
      </c>
      <c r="N26" s="50">
        <f>SUM(N19:N25)</f>
        <v>39813</v>
      </c>
      <c r="O26" s="50">
        <f>SUM(O19:O25)</f>
        <v>1850</v>
      </c>
      <c r="P26" s="50">
        <f>SUM(P19:P25)</f>
        <v>7357</v>
      </c>
      <c r="Q26" s="87"/>
      <c r="R26" s="87"/>
      <c r="S26" s="127"/>
    </row>
    <row r="27" ht="16" customHeight="1" spans="1:19">
      <c r="A27" s="53">
        <v>45949</v>
      </c>
      <c r="B27" s="58">
        <v>2301</v>
      </c>
      <c r="C27" s="58">
        <v>2088</v>
      </c>
      <c r="D27" s="58">
        <v>131</v>
      </c>
      <c r="E27" s="71">
        <f t="shared" si="0"/>
        <v>5.69317687961756</v>
      </c>
      <c r="F27" s="58">
        <v>3100</v>
      </c>
      <c r="G27" s="58">
        <v>3092</v>
      </c>
      <c r="H27" s="58">
        <v>8</v>
      </c>
      <c r="I27" s="71">
        <f t="shared" si="1"/>
        <v>0.258064516129032</v>
      </c>
      <c r="J27" s="58">
        <v>3092</v>
      </c>
      <c r="K27" s="58">
        <v>3069</v>
      </c>
      <c r="L27" s="58">
        <v>23</v>
      </c>
      <c r="M27" s="71">
        <f t="shared" si="2"/>
        <v>0.74385510996119</v>
      </c>
      <c r="N27" s="54">
        <v>0</v>
      </c>
      <c r="O27" s="58">
        <v>0</v>
      </c>
      <c r="P27" s="83">
        <f t="shared" ref="P27:P33" si="8">D27+H27+L27+O27</f>
        <v>162</v>
      </c>
      <c r="Q27" s="79" t="s">
        <v>23</v>
      </c>
      <c r="R27" s="79"/>
      <c r="S27" s="79"/>
    </row>
    <row r="28" ht="17" customHeight="1" spans="1:19">
      <c r="A28" s="113">
        <v>45950</v>
      </c>
      <c r="B28" s="114" t="s">
        <v>37</v>
      </c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89">
        <f>SUM(B27:B33)</f>
        <v>16645</v>
      </c>
      <c r="R28" s="89">
        <f>SUM(P27:P33)</f>
        <v>1936</v>
      </c>
      <c r="S28" s="125">
        <f>R28/Q28*100</f>
        <v>11.6311204565936</v>
      </c>
    </row>
    <row r="29" ht="16" customHeight="1" spans="1:19">
      <c r="A29" s="113">
        <v>45951</v>
      </c>
      <c r="B29" s="116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85"/>
      <c r="R29" s="85"/>
      <c r="S29" s="126"/>
    </row>
    <row r="30" ht="16" customHeight="1" spans="1:19">
      <c r="A30" s="113">
        <v>45952</v>
      </c>
      <c r="B30" s="116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85"/>
      <c r="R30" s="85"/>
      <c r="S30" s="126"/>
    </row>
    <row r="31" ht="16" customHeight="1" spans="1:19">
      <c r="A31" s="113">
        <v>45953</v>
      </c>
      <c r="B31" s="118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85"/>
      <c r="R31" s="85"/>
      <c r="S31" s="126"/>
    </row>
    <row r="32" ht="16" customHeight="1" spans="1:19">
      <c r="A32" s="120">
        <v>45954</v>
      </c>
      <c r="B32" s="66">
        <v>7344</v>
      </c>
      <c r="C32" s="66">
        <v>6579</v>
      </c>
      <c r="D32" s="66">
        <v>652</v>
      </c>
      <c r="E32" s="56">
        <f t="shared" si="0"/>
        <v>8.87799564270152</v>
      </c>
      <c r="F32" s="66">
        <v>6579</v>
      </c>
      <c r="G32" s="66">
        <v>6258</v>
      </c>
      <c r="H32" s="66">
        <v>321</v>
      </c>
      <c r="I32" s="56">
        <f t="shared" si="1"/>
        <v>4.87916096671227</v>
      </c>
      <c r="J32" s="66">
        <v>5092</v>
      </c>
      <c r="K32" s="66">
        <v>4973</v>
      </c>
      <c r="L32" s="66">
        <v>119</v>
      </c>
      <c r="M32" s="56">
        <f t="shared" si="2"/>
        <v>2.33699921445405</v>
      </c>
      <c r="N32" s="57">
        <v>2022</v>
      </c>
      <c r="O32" s="66">
        <v>40</v>
      </c>
      <c r="P32" s="78">
        <f t="shared" si="8"/>
        <v>1132</v>
      </c>
      <c r="Q32" s="85"/>
      <c r="R32" s="85"/>
      <c r="S32" s="126"/>
    </row>
    <row r="33" ht="16" customHeight="1" spans="1:19">
      <c r="A33" s="120">
        <v>45955</v>
      </c>
      <c r="B33" s="121">
        <v>7000</v>
      </c>
      <c r="C33" s="121">
        <v>6360</v>
      </c>
      <c r="D33" s="121">
        <v>517</v>
      </c>
      <c r="E33" s="56">
        <f t="shared" si="0"/>
        <v>7.38571428571429</v>
      </c>
      <c r="F33" s="121">
        <v>7533</v>
      </c>
      <c r="G33" s="121">
        <v>7508</v>
      </c>
      <c r="H33" s="121">
        <v>25</v>
      </c>
      <c r="I33" s="56">
        <f t="shared" si="1"/>
        <v>0.331873091729723</v>
      </c>
      <c r="J33" s="121">
        <v>6342</v>
      </c>
      <c r="K33" s="121">
        <v>6322</v>
      </c>
      <c r="L33" s="121">
        <v>20</v>
      </c>
      <c r="M33" s="56">
        <f t="shared" si="2"/>
        <v>0.315357931251971</v>
      </c>
      <c r="N33" s="57">
        <v>4104</v>
      </c>
      <c r="O33" s="121">
        <v>80</v>
      </c>
      <c r="P33" s="78">
        <f t="shared" si="8"/>
        <v>642</v>
      </c>
      <c r="Q33" s="85"/>
      <c r="R33" s="85"/>
      <c r="S33" s="126"/>
    </row>
    <row r="34" ht="16" customHeight="1" spans="1:19">
      <c r="A34" s="110" t="s">
        <v>29</v>
      </c>
      <c r="B34" s="50">
        <f>SUM(B27:B33)</f>
        <v>16645</v>
      </c>
      <c r="C34" s="50">
        <f>SUM(C27:C33)</f>
        <v>15027</v>
      </c>
      <c r="D34" s="50">
        <f>SUM(D27:D33)</f>
        <v>1300</v>
      </c>
      <c r="E34" s="51">
        <f t="shared" si="0"/>
        <v>7.81015319915891</v>
      </c>
      <c r="F34" s="50">
        <f>SUM(F27:F33)</f>
        <v>17212</v>
      </c>
      <c r="G34" s="50">
        <f>SUM(G27:G33)</f>
        <v>16858</v>
      </c>
      <c r="H34" s="50">
        <f>SUM(H27:H33)</f>
        <v>354</v>
      </c>
      <c r="I34" s="51">
        <f t="shared" si="1"/>
        <v>2.05670462468046</v>
      </c>
      <c r="J34" s="50">
        <f>SUM(J27:J33)</f>
        <v>14526</v>
      </c>
      <c r="K34" s="50">
        <f>SUM(K27:K33)</f>
        <v>14364</v>
      </c>
      <c r="L34" s="50">
        <f>SUM(L27:L33)</f>
        <v>162</v>
      </c>
      <c r="M34" s="51">
        <f t="shared" si="2"/>
        <v>1.11524163568773</v>
      </c>
      <c r="N34" s="50">
        <f>SUM(N27:N33)</f>
        <v>6126</v>
      </c>
      <c r="O34" s="50">
        <f>SUM(O27:O33)</f>
        <v>120</v>
      </c>
      <c r="P34" s="50">
        <f>SUM(P27:P33)</f>
        <v>1936</v>
      </c>
      <c r="Q34" s="87"/>
      <c r="R34" s="87"/>
      <c r="S34" s="127"/>
    </row>
    <row r="35" ht="16" customHeight="1" spans="1:19">
      <c r="A35" s="61">
        <v>45956</v>
      </c>
      <c r="B35" s="58"/>
      <c r="C35" s="58"/>
      <c r="D35" s="58">
        <v>236</v>
      </c>
      <c r="E35" s="71" t="e">
        <f t="shared" si="0"/>
        <v>#DIV/0!</v>
      </c>
      <c r="F35" s="58"/>
      <c r="G35" s="58"/>
      <c r="H35" s="58"/>
      <c r="I35" s="71" t="e">
        <f t="shared" si="1"/>
        <v>#DIV/0!</v>
      </c>
      <c r="J35" s="58"/>
      <c r="K35" s="58"/>
      <c r="L35" s="58"/>
      <c r="M35" s="71" t="e">
        <f t="shared" si="2"/>
        <v>#DIV/0!</v>
      </c>
      <c r="N35" s="54"/>
      <c r="O35" s="54">
        <v>315</v>
      </c>
      <c r="P35" s="83">
        <f t="shared" ref="P35:P40" si="9">D35+H35+L35+O35</f>
        <v>551</v>
      </c>
      <c r="Q35" s="79" t="s">
        <v>24</v>
      </c>
      <c r="R35" s="79"/>
      <c r="S35" s="79"/>
    </row>
    <row r="36" ht="17" customHeight="1" spans="1:19">
      <c r="A36" s="120">
        <v>45957</v>
      </c>
      <c r="B36" s="66">
        <v>6108</v>
      </c>
      <c r="C36" s="66">
        <v>5500</v>
      </c>
      <c r="D36" s="66">
        <v>545</v>
      </c>
      <c r="E36" s="56">
        <f t="shared" si="0"/>
        <v>8.92272429600524</v>
      </c>
      <c r="F36" s="66">
        <v>7124</v>
      </c>
      <c r="G36" s="66">
        <v>7109</v>
      </c>
      <c r="H36" s="66">
        <v>15</v>
      </c>
      <c r="I36" s="56">
        <f t="shared" si="1"/>
        <v>0.210555867490174</v>
      </c>
      <c r="J36" s="66">
        <v>7981</v>
      </c>
      <c r="K36" s="66">
        <v>7928</v>
      </c>
      <c r="L36" s="66">
        <v>53</v>
      </c>
      <c r="M36" s="56">
        <f t="shared" si="2"/>
        <v>0.664077183310362</v>
      </c>
      <c r="N36" s="57">
        <v>3263</v>
      </c>
      <c r="O36" s="57">
        <v>239</v>
      </c>
      <c r="P36" s="78">
        <f t="shared" si="9"/>
        <v>852</v>
      </c>
      <c r="Q36" s="93">
        <f>SUM(B35:B40)</f>
        <v>40725</v>
      </c>
      <c r="R36" s="85">
        <f>SUM(P35:P40)</f>
        <v>14707</v>
      </c>
      <c r="S36" s="126">
        <f>R36/Q36*100</f>
        <v>36.1129527317373</v>
      </c>
    </row>
    <row r="37" ht="17" customHeight="1" spans="1:19">
      <c r="A37" s="120">
        <v>45958</v>
      </c>
      <c r="B37" s="66">
        <v>9192</v>
      </c>
      <c r="C37" s="66">
        <v>8145</v>
      </c>
      <c r="D37" s="66">
        <v>857</v>
      </c>
      <c r="E37" s="56">
        <f t="shared" si="0"/>
        <v>9.32332463011314</v>
      </c>
      <c r="F37" s="66">
        <v>5534</v>
      </c>
      <c r="G37" s="66">
        <v>5512</v>
      </c>
      <c r="H37" s="66">
        <v>22</v>
      </c>
      <c r="I37" s="56">
        <f t="shared" si="1"/>
        <v>0.397542464763282</v>
      </c>
      <c r="J37" s="66">
        <v>5817</v>
      </c>
      <c r="K37" s="66">
        <v>5653</v>
      </c>
      <c r="L37" s="66">
        <v>164</v>
      </c>
      <c r="M37" s="56">
        <f t="shared" si="2"/>
        <v>2.81932267491834</v>
      </c>
      <c r="N37" s="57">
        <v>5023</v>
      </c>
      <c r="O37" s="57">
        <v>401</v>
      </c>
      <c r="P37" s="78">
        <f t="shared" si="9"/>
        <v>1444</v>
      </c>
      <c r="Q37" s="93"/>
      <c r="R37" s="85"/>
      <c r="S37" s="126"/>
    </row>
    <row r="38" ht="17" customHeight="1" spans="1:19">
      <c r="A38" s="120">
        <v>45959</v>
      </c>
      <c r="B38" s="66">
        <v>6310</v>
      </c>
      <c r="C38" s="66">
        <v>5423</v>
      </c>
      <c r="D38" s="66">
        <v>673</v>
      </c>
      <c r="E38" s="56">
        <f t="shared" si="0"/>
        <v>10.6656101426307</v>
      </c>
      <c r="F38" s="66">
        <v>5751</v>
      </c>
      <c r="G38" s="66">
        <v>5706</v>
      </c>
      <c r="H38" s="66">
        <v>45</v>
      </c>
      <c r="I38" s="56">
        <f t="shared" si="1"/>
        <v>0.782472613458529</v>
      </c>
      <c r="J38" s="66">
        <v>5706</v>
      </c>
      <c r="K38" s="66">
        <v>5746</v>
      </c>
      <c r="L38" s="66">
        <v>360</v>
      </c>
      <c r="M38" s="56">
        <f t="shared" si="2"/>
        <v>6.30914826498423</v>
      </c>
      <c r="N38" s="57">
        <v>4852</v>
      </c>
      <c r="O38" s="57">
        <v>66</v>
      </c>
      <c r="P38" s="78">
        <f t="shared" si="9"/>
        <v>1144</v>
      </c>
      <c r="Q38" s="93"/>
      <c r="R38" s="85"/>
      <c r="S38" s="126"/>
    </row>
    <row r="39" ht="17" customHeight="1" spans="1:19">
      <c r="A39" s="120">
        <v>45960</v>
      </c>
      <c r="B39" s="66">
        <v>9935</v>
      </c>
      <c r="C39" s="66">
        <v>9234</v>
      </c>
      <c r="D39" s="66">
        <v>569</v>
      </c>
      <c r="E39" s="56">
        <f t="shared" si="0"/>
        <v>5.72722697533971</v>
      </c>
      <c r="F39" s="66">
        <v>9314</v>
      </c>
      <c r="G39" s="66">
        <v>9302</v>
      </c>
      <c r="H39" s="66">
        <v>12</v>
      </c>
      <c r="I39" s="56">
        <f t="shared" si="1"/>
        <v>0.128838307923556</v>
      </c>
      <c r="J39" s="66">
        <v>9303</v>
      </c>
      <c r="K39" s="66">
        <v>9230</v>
      </c>
      <c r="L39" s="66">
        <v>73</v>
      </c>
      <c r="M39" s="56">
        <f t="shared" si="2"/>
        <v>0.784693109749543</v>
      </c>
      <c r="N39" s="57">
        <v>9322</v>
      </c>
      <c r="O39" s="57">
        <v>296</v>
      </c>
      <c r="P39" s="78">
        <f t="shared" si="9"/>
        <v>950</v>
      </c>
      <c r="Q39" s="93"/>
      <c r="R39" s="85"/>
      <c r="S39" s="126"/>
    </row>
    <row r="40" ht="17" customHeight="1" spans="1:19">
      <c r="A40" s="120">
        <v>45961</v>
      </c>
      <c r="B40" s="66">
        <v>9180</v>
      </c>
      <c r="C40" s="66">
        <v>8572</v>
      </c>
      <c r="D40" s="66">
        <v>538</v>
      </c>
      <c r="E40" s="56">
        <f t="shared" si="0"/>
        <v>5.86056644880174</v>
      </c>
      <c r="F40" s="66">
        <v>8492</v>
      </c>
      <c r="G40" s="66">
        <v>8476</v>
      </c>
      <c r="H40" s="66">
        <v>16</v>
      </c>
      <c r="I40" s="56">
        <f t="shared" si="1"/>
        <v>0.188412623645784</v>
      </c>
      <c r="J40" s="66">
        <v>8476</v>
      </c>
      <c r="K40" s="66">
        <v>8303</v>
      </c>
      <c r="L40" s="66">
        <v>173</v>
      </c>
      <c r="M40" s="56">
        <f t="shared" si="2"/>
        <v>2.0410571024068</v>
      </c>
      <c r="N40" s="57">
        <v>15241</v>
      </c>
      <c r="O40" s="57">
        <f>391+8648</f>
        <v>9039</v>
      </c>
      <c r="P40" s="78">
        <f t="shared" si="9"/>
        <v>9766</v>
      </c>
      <c r="Q40" s="93"/>
      <c r="R40" s="85"/>
      <c r="S40" s="126"/>
    </row>
    <row r="41" ht="16" customHeight="1" spans="1:19">
      <c r="A41" s="110" t="s">
        <v>29</v>
      </c>
      <c r="B41" s="50">
        <f>SUM(B35:B40)</f>
        <v>40725</v>
      </c>
      <c r="C41" s="50">
        <f>SUM(C35:C40)</f>
        <v>36874</v>
      </c>
      <c r="D41" s="50">
        <f>SUM(D35:D40)</f>
        <v>3418</v>
      </c>
      <c r="E41" s="51">
        <f t="shared" si="0"/>
        <v>8.39287906691222</v>
      </c>
      <c r="F41" s="50">
        <f>SUM(F35:F40)</f>
        <v>36215</v>
      </c>
      <c r="G41" s="50">
        <f>SUM(G35:G40)</f>
        <v>36105</v>
      </c>
      <c r="H41" s="50">
        <f>SUM(H35:H40)</f>
        <v>110</v>
      </c>
      <c r="I41" s="51">
        <f t="shared" si="1"/>
        <v>0.303741543559299</v>
      </c>
      <c r="J41" s="50">
        <f>SUM(J35:J40)</f>
        <v>37283</v>
      </c>
      <c r="K41" s="50">
        <f>SUM(K35:K40)</f>
        <v>36860</v>
      </c>
      <c r="L41" s="50">
        <f>SUM(L35:L40)</f>
        <v>823</v>
      </c>
      <c r="M41" s="51">
        <f t="shared" si="2"/>
        <v>2.20744038838076</v>
      </c>
      <c r="N41" s="50">
        <f>SUM(N35:N40)</f>
        <v>37701</v>
      </c>
      <c r="O41" s="50">
        <f>SUM(O35:O40)</f>
        <v>10356</v>
      </c>
      <c r="P41" s="50">
        <f>SUM(P35:P40)</f>
        <v>14707</v>
      </c>
      <c r="Q41" s="93"/>
      <c r="R41" s="85"/>
      <c r="S41" s="126"/>
    </row>
    <row r="42" ht="17" customHeight="1" spans="1:19">
      <c r="A42" s="122" t="s">
        <v>25</v>
      </c>
      <c r="B42" s="68">
        <f t="shared" ref="B42:P42" si="10">B41+B34+B26+B18+B10</f>
        <v>187837</v>
      </c>
      <c r="C42" s="68">
        <f t="shared" si="10"/>
        <v>169289</v>
      </c>
      <c r="D42" s="68">
        <f t="shared" si="10"/>
        <v>12887</v>
      </c>
      <c r="E42" s="68">
        <f t="shared" si="10"/>
        <v>34.7104605959263</v>
      </c>
      <c r="F42" s="68">
        <f t="shared" si="10"/>
        <v>178104</v>
      </c>
      <c r="G42" s="68">
        <f t="shared" si="10"/>
        <v>175844</v>
      </c>
      <c r="H42" s="68">
        <f t="shared" si="10"/>
        <v>2709</v>
      </c>
      <c r="I42" s="68">
        <f t="shared" si="10"/>
        <v>7.56449820342405</v>
      </c>
      <c r="J42" s="68">
        <f t="shared" si="10"/>
        <v>177316</v>
      </c>
      <c r="K42" s="68">
        <f t="shared" si="10"/>
        <v>175077</v>
      </c>
      <c r="L42" s="68">
        <f t="shared" si="10"/>
        <v>2639</v>
      </c>
      <c r="M42" s="68">
        <f t="shared" si="10"/>
        <v>7.16289863157157</v>
      </c>
      <c r="N42" s="68">
        <f t="shared" si="10"/>
        <v>148054</v>
      </c>
      <c r="O42" s="68">
        <f t="shared" si="10"/>
        <v>14444</v>
      </c>
      <c r="P42" s="68">
        <f t="shared" si="10"/>
        <v>32679</v>
      </c>
      <c r="Q42" s="94"/>
      <c r="R42" s="87"/>
      <c r="S42" s="127"/>
    </row>
    <row r="43" ht="20" customHeight="1" spans="16:19">
      <c r="P43" s="124" t="s">
        <v>38</v>
      </c>
      <c r="Q43" s="129">
        <f>SUM(Q7,Q12,Q20,Q28,Q36)</f>
        <v>187837</v>
      </c>
      <c r="R43" s="129">
        <f>SUM(R7,R12,R20,R28,R36)</f>
        <v>32679</v>
      </c>
      <c r="S43" s="129">
        <f>R43/Q43*100</f>
        <v>17.3975308379073</v>
      </c>
    </row>
    <row r="45" spans="17:17">
      <c r="Q45" s="99"/>
    </row>
  </sheetData>
  <mergeCells count="44">
    <mergeCell ref="A3:S3"/>
    <mergeCell ref="Q6:S6"/>
    <mergeCell ref="B7:P7"/>
    <mergeCell ref="Q11:S11"/>
    <mergeCell ref="Q19:S19"/>
    <mergeCell ref="Q27:S27"/>
    <mergeCell ref="Q35:S3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Q7:Q10"/>
    <mergeCell ref="Q12:Q18"/>
    <mergeCell ref="Q20:Q26"/>
    <mergeCell ref="Q28:Q34"/>
    <mergeCell ref="Q36:Q42"/>
    <mergeCell ref="R4:R5"/>
    <mergeCell ref="R7:R10"/>
    <mergeCell ref="R12:R18"/>
    <mergeCell ref="R20:R26"/>
    <mergeCell ref="R28:R34"/>
    <mergeCell ref="R36:R42"/>
    <mergeCell ref="S4:S5"/>
    <mergeCell ref="S7:S10"/>
    <mergeCell ref="S12:S18"/>
    <mergeCell ref="S20:S26"/>
    <mergeCell ref="S28:S34"/>
    <mergeCell ref="S36:S42"/>
    <mergeCell ref="A1:B2"/>
    <mergeCell ref="C1:S2"/>
    <mergeCell ref="B28:P31"/>
  </mergeCells>
  <pageMargins left="0.251388888888889" right="0.251388888888889" top="0.251388888888889" bottom="0.251388888888889" header="0.251388888888889" footer="0.251388888888889"/>
  <pageSetup paperSize="9" scale="70" orientation="landscape" horizontalDpi="600"/>
  <headerFooter>
    <oddFooter>&amp;L&amp;BPrepared By:&amp;C&amp;BChecked By:&amp;R&amp;BApproved By:</oddFooter>
  </headerFooter>
  <ignoredErrors>
    <ignoredError sqref="P35:P36 P18 P10:P11 P26" formula="1"/>
    <ignoredError sqref="P27 P32:P34" formula="1" emptyCellReference="1"/>
    <ignoredError sqref="L26 B10:D10 Q20 P14:P17 P19:P25" emptyCellReference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42"/>
  <sheetViews>
    <sheetView zoomScale="85" zoomScaleNormal="85" workbookViewId="0">
      <selection activeCell="T42" sqref="T42"/>
    </sheetView>
  </sheetViews>
  <sheetFormatPr defaultColWidth="9" defaultRowHeight="15"/>
  <cols>
    <col min="1" max="1" width="11.1428571428571"/>
    <col min="2" max="2" width="10.247619047619" customWidth="1"/>
    <col min="3" max="3" width="10.4190476190476" customWidth="1"/>
    <col min="4" max="4" width="6.54285714285714" customWidth="1"/>
    <col min="5" max="5" width="6.42857142857143" customWidth="1"/>
    <col min="6" max="6" width="7.57142857142857" customWidth="1"/>
    <col min="7" max="7" width="9.71428571428571" customWidth="1"/>
    <col min="8" max="8" width="10.1428571428571"/>
    <col min="9" max="9" width="6.37142857142857" customWidth="1"/>
    <col min="10" max="10" width="9.57142857142857" customWidth="1"/>
    <col min="11" max="11" width="9.42857142857143" customWidth="1"/>
    <col min="13" max="13" width="6.8952380952381" customWidth="1"/>
    <col min="14" max="14" width="10.4285714285714" customWidth="1"/>
    <col min="15" max="15" width="11.8571428571429" customWidth="1"/>
    <col min="16" max="16" width="10.8571428571429" customWidth="1"/>
    <col min="17" max="17" width="7.55238095238095" customWidth="1"/>
    <col min="18" max="18" width="10.0761904761905" customWidth="1"/>
    <col min="19" max="19" width="11.2666666666667" customWidth="1"/>
    <col min="20" max="20" width="10.4190476190476" style="30" customWidth="1"/>
    <col min="21" max="21" width="10.1428571428571"/>
    <col min="29" max="29" width="12.8571428571429"/>
  </cols>
  <sheetData>
    <row r="1" spans="1:23">
      <c r="A1" s="31"/>
      <c r="B1" s="32"/>
      <c r="C1" s="33" t="s">
        <v>26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72"/>
    </row>
    <row r="2" ht="67" customHeight="1" spans="1:23">
      <c r="A2" s="35"/>
      <c r="B2" s="36"/>
      <c r="C2" s="3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73"/>
    </row>
    <row r="3" ht="21" customHeight="1" spans="1:23">
      <c r="A3" s="39" t="s">
        <v>39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74"/>
    </row>
    <row r="4" spans="1:23">
      <c r="A4" s="41" t="s">
        <v>2</v>
      </c>
      <c r="B4" s="42" t="s">
        <v>40</v>
      </c>
      <c r="C4" s="42" t="s">
        <v>41</v>
      </c>
      <c r="D4" s="42" t="s">
        <v>5</v>
      </c>
      <c r="E4" s="42"/>
      <c r="F4" s="43" t="s">
        <v>3</v>
      </c>
      <c r="G4" s="43" t="s">
        <v>4</v>
      </c>
      <c r="H4" s="43" t="s">
        <v>5</v>
      </c>
      <c r="I4" s="43" t="s">
        <v>6</v>
      </c>
      <c r="J4" s="43" t="s">
        <v>7</v>
      </c>
      <c r="K4" s="43" t="s">
        <v>8</v>
      </c>
      <c r="L4" s="43" t="s">
        <v>5</v>
      </c>
      <c r="M4" s="43" t="s">
        <v>6</v>
      </c>
      <c r="N4" s="43" t="s">
        <v>9</v>
      </c>
      <c r="O4" s="43" t="s">
        <v>10</v>
      </c>
      <c r="P4" s="43" t="s">
        <v>11</v>
      </c>
      <c r="Q4" s="43" t="s">
        <v>6</v>
      </c>
      <c r="R4" s="75" t="s">
        <v>12</v>
      </c>
      <c r="S4" s="43" t="s">
        <v>13</v>
      </c>
      <c r="T4" s="43" t="s">
        <v>14</v>
      </c>
      <c r="U4" s="43" t="s">
        <v>16</v>
      </c>
      <c r="V4" s="43" t="s">
        <v>17</v>
      </c>
      <c r="W4" s="76" t="s">
        <v>18</v>
      </c>
    </row>
    <row r="5" ht="38" customHeight="1" spans="1:23">
      <c r="A5" s="41"/>
      <c r="B5" s="44"/>
      <c r="C5" s="44"/>
      <c r="D5" s="44"/>
      <c r="E5" s="44" t="s">
        <v>6</v>
      </c>
      <c r="F5" s="43"/>
      <c r="G5" s="45"/>
      <c r="H5" s="45"/>
      <c r="I5" s="43"/>
      <c r="J5" s="43"/>
      <c r="K5" s="45"/>
      <c r="L5" s="45"/>
      <c r="M5" s="45"/>
      <c r="N5" s="45"/>
      <c r="O5" s="45"/>
      <c r="P5" s="45"/>
      <c r="Q5" s="45"/>
      <c r="R5" s="77"/>
      <c r="S5" s="43"/>
      <c r="T5" s="45"/>
      <c r="U5" s="43"/>
      <c r="V5" s="43"/>
      <c r="W5" s="76"/>
    </row>
    <row r="6" ht="16" customHeight="1" spans="1:23">
      <c r="A6" s="46">
        <v>45962</v>
      </c>
      <c r="B6" s="47">
        <v>13064</v>
      </c>
      <c r="C6" s="47">
        <v>12894</v>
      </c>
      <c r="D6" s="47">
        <v>170</v>
      </c>
      <c r="E6" s="48">
        <f t="shared" ref="E6:E15" si="0">D6/B6*100</f>
        <v>1.30128597672994</v>
      </c>
      <c r="F6" s="47">
        <v>4262</v>
      </c>
      <c r="G6" s="47">
        <v>3990</v>
      </c>
      <c r="H6" s="47">
        <v>110</v>
      </c>
      <c r="I6" s="48">
        <f>H6/F6*100</f>
        <v>2.58094791177851</v>
      </c>
      <c r="J6" s="47">
        <v>3064</v>
      </c>
      <c r="K6" s="47">
        <v>3043</v>
      </c>
      <c r="L6" s="47">
        <v>21</v>
      </c>
      <c r="M6" s="48">
        <f>L6/J6*100</f>
        <v>0.685378590078329</v>
      </c>
      <c r="N6" s="47">
        <v>3043</v>
      </c>
      <c r="O6" s="47">
        <v>3024</v>
      </c>
      <c r="P6" s="47">
        <v>19</v>
      </c>
      <c r="Q6" s="48">
        <f>P6/N6*100</f>
        <v>0.624383831744988</v>
      </c>
      <c r="R6" s="57">
        <v>3300</v>
      </c>
      <c r="S6" s="47">
        <v>267</v>
      </c>
      <c r="T6" s="78">
        <f t="shared" ref="T6:T11" si="1">D6+H6+L6+P6+S6</f>
        <v>587</v>
      </c>
      <c r="U6" s="79" t="s">
        <v>19</v>
      </c>
      <c r="V6" s="79"/>
      <c r="W6" s="84"/>
    </row>
    <row r="7" ht="16" customHeight="1" spans="1:23">
      <c r="A7" s="49" t="s">
        <v>29</v>
      </c>
      <c r="B7" s="50">
        <f>SUM(B6:B6)</f>
        <v>13064</v>
      </c>
      <c r="C7" s="50">
        <f>SUM(C6:C6)</f>
        <v>12894</v>
      </c>
      <c r="D7" s="50">
        <f>SUM(D6:D6)</f>
        <v>170</v>
      </c>
      <c r="E7" s="51">
        <f t="shared" si="0"/>
        <v>1.30128597672994</v>
      </c>
      <c r="F7" s="50">
        <f t="shared" ref="F7:L7" si="2">SUM(F6:F6)</f>
        <v>4262</v>
      </c>
      <c r="G7" s="50">
        <f t="shared" si="2"/>
        <v>3990</v>
      </c>
      <c r="H7" s="50">
        <f t="shared" si="2"/>
        <v>110</v>
      </c>
      <c r="I7" s="51">
        <f t="shared" ref="I7:I28" si="3">H7/F7*100</f>
        <v>2.58094791177851</v>
      </c>
      <c r="J7" s="50">
        <f t="shared" si="2"/>
        <v>3064</v>
      </c>
      <c r="K7" s="50">
        <f t="shared" si="2"/>
        <v>3043</v>
      </c>
      <c r="L7" s="50">
        <f t="shared" si="2"/>
        <v>21</v>
      </c>
      <c r="M7" s="51">
        <f t="shared" ref="M7:M28" si="4">L7/J7*100</f>
        <v>0.685378590078329</v>
      </c>
      <c r="N7" s="50">
        <f>SUM(N6:N6)</f>
        <v>3043</v>
      </c>
      <c r="O7" s="50">
        <f>SUM(O6:O6)</f>
        <v>3024</v>
      </c>
      <c r="P7" s="50">
        <f>SUM(P6:P6)</f>
        <v>19</v>
      </c>
      <c r="Q7" s="51">
        <f t="shared" ref="Q7:Q28" si="5">P7/N7*100</f>
        <v>0.624383831744988</v>
      </c>
      <c r="R7" s="50">
        <f>SUM(R6:R6)</f>
        <v>3300</v>
      </c>
      <c r="S7" s="50">
        <f>SUM(S6:S6)</f>
        <v>267</v>
      </c>
      <c r="T7" s="50">
        <f>SUM(T6:T6)</f>
        <v>587</v>
      </c>
      <c r="U7" s="85">
        <f>B7+B15</f>
        <v>93343</v>
      </c>
      <c r="V7" s="85">
        <f>SUM(T6,T8:T14)</f>
        <v>6584</v>
      </c>
      <c r="W7" s="86">
        <f>V7/U7*100</f>
        <v>7.05355516750051</v>
      </c>
    </row>
    <row r="8" ht="16" customHeight="1" spans="1:23">
      <c r="A8" s="52">
        <v>45963</v>
      </c>
      <c r="B8" s="53"/>
      <c r="C8" s="53"/>
      <c r="D8" s="53"/>
      <c r="E8" s="54"/>
      <c r="F8" s="54">
        <v>3869</v>
      </c>
      <c r="G8" s="54">
        <v>3622</v>
      </c>
      <c r="H8" s="54">
        <v>103</v>
      </c>
      <c r="I8" s="71">
        <f t="shared" si="3"/>
        <v>2.66218661152753</v>
      </c>
      <c r="J8" s="54">
        <v>4110</v>
      </c>
      <c r="K8" s="54">
        <v>4081</v>
      </c>
      <c r="L8" s="54">
        <v>29</v>
      </c>
      <c r="M8" s="71">
        <f t="shared" si="4"/>
        <v>0.705596107055961</v>
      </c>
      <c r="N8" s="54">
        <v>4081</v>
      </c>
      <c r="O8" s="54">
        <v>4060</v>
      </c>
      <c r="P8" s="54">
        <v>21</v>
      </c>
      <c r="Q8" s="71">
        <f t="shared" si="5"/>
        <v>0.514579759862779</v>
      </c>
      <c r="R8" s="54">
        <v>2389</v>
      </c>
      <c r="S8" s="54">
        <v>108</v>
      </c>
      <c r="T8" s="83">
        <f t="shared" si="1"/>
        <v>261</v>
      </c>
      <c r="U8" s="103"/>
      <c r="V8" s="103"/>
      <c r="W8" s="104"/>
    </row>
    <row r="9" ht="17" customHeight="1" spans="1:23">
      <c r="A9" s="55">
        <v>45964</v>
      </c>
      <c r="B9" s="47">
        <v>13029</v>
      </c>
      <c r="C9" s="47">
        <v>12905</v>
      </c>
      <c r="D9" s="47">
        <v>124</v>
      </c>
      <c r="E9" s="56">
        <f t="shared" si="0"/>
        <v>0.951723079284673</v>
      </c>
      <c r="F9" s="57">
        <v>7058</v>
      </c>
      <c r="G9" s="57">
        <v>6771</v>
      </c>
      <c r="H9" s="57">
        <v>213</v>
      </c>
      <c r="I9" s="56">
        <f t="shared" si="3"/>
        <v>3.01785208274299</v>
      </c>
      <c r="J9" s="57">
        <v>6681</v>
      </c>
      <c r="K9" s="57">
        <v>6670</v>
      </c>
      <c r="L9" s="57">
        <v>11</v>
      </c>
      <c r="M9" s="56">
        <f t="shared" si="4"/>
        <v>0.164646011076186</v>
      </c>
      <c r="N9" s="57">
        <v>6670</v>
      </c>
      <c r="O9" s="57">
        <v>6650</v>
      </c>
      <c r="P9" s="57">
        <v>20</v>
      </c>
      <c r="Q9" s="56">
        <f t="shared" si="5"/>
        <v>0.299850074962519</v>
      </c>
      <c r="R9" s="57">
        <v>4263</v>
      </c>
      <c r="S9" s="57">
        <v>207</v>
      </c>
      <c r="T9" s="78">
        <f t="shared" si="1"/>
        <v>575</v>
      </c>
      <c r="U9" s="85"/>
      <c r="V9" s="85"/>
      <c r="W9" s="86"/>
    </row>
    <row r="10" ht="16" customHeight="1" spans="1:23">
      <c r="A10" s="55">
        <v>45965</v>
      </c>
      <c r="B10" s="47">
        <v>13439</v>
      </c>
      <c r="C10" s="47">
        <v>13224</v>
      </c>
      <c r="D10" s="47">
        <v>215</v>
      </c>
      <c r="E10" s="56">
        <f t="shared" si="0"/>
        <v>1.59982141528388</v>
      </c>
      <c r="F10" s="15">
        <v>11014</v>
      </c>
      <c r="G10" s="15">
        <v>10786</v>
      </c>
      <c r="H10" s="15">
        <v>133</v>
      </c>
      <c r="I10" s="48">
        <f t="shared" si="3"/>
        <v>1.20755402215362</v>
      </c>
      <c r="J10" s="15">
        <v>10796</v>
      </c>
      <c r="K10" s="15">
        <v>10751</v>
      </c>
      <c r="L10" s="15">
        <v>45</v>
      </c>
      <c r="M10" s="48">
        <f t="shared" si="4"/>
        <v>0.416821044831419</v>
      </c>
      <c r="N10" s="15">
        <v>10751</v>
      </c>
      <c r="O10" s="15">
        <v>10709</v>
      </c>
      <c r="P10" s="15">
        <v>42</v>
      </c>
      <c r="Q10" s="48">
        <f t="shared" si="5"/>
        <v>0.390661333829411</v>
      </c>
      <c r="R10" s="15">
        <v>15214</v>
      </c>
      <c r="S10" s="15">
        <v>311</v>
      </c>
      <c r="T10" s="78">
        <f t="shared" si="1"/>
        <v>746</v>
      </c>
      <c r="U10" s="85"/>
      <c r="V10" s="85"/>
      <c r="W10" s="86"/>
    </row>
    <row r="11" customFormat="1" ht="16" customHeight="1" spans="1:23">
      <c r="A11" s="55">
        <v>45966</v>
      </c>
      <c r="B11" s="47">
        <v>13470</v>
      </c>
      <c r="C11" s="47">
        <v>13262</v>
      </c>
      <c r="D11" s="47">
        <v>208</v>
      </c>
      <c r="E11" s="56">
        <f t="shared" si="0"/>
        <v>1.5441722345954</v>
      </c>
      <c r="F11" s="15">
        <v>12059</v>
      </c>
      <c r="G11" s="15">
        <v>11641</v>
      </c>
      <c r="H11" s="15">
        <v>279</v>
      </c>
      <c r="I11" s="48">
        <f t="shared" si="3"/>
        <v>2.31362467866324</v>
      </c>
      <c r="J11" s="15">
        <v>8738</v>
      </c>
      <c r="K11" s="15">
        <v>8712</v>
      </c>
      <c r="L11" s="15">
        <v>26</v>
      </c>
      <c r="M11" s="48">
        <f t="shared" si="4"/>
        <v>0.29755092698558</v>
      </c>
      <c r="N11" s="15">
        <v>8712</v>
      </c>
      <c r="O11" s="15">
        <v>8702</v>
      </c>
      <c r="P11" s="15">
        <v>10</v>
      </c>
      <c r="Q11" s="48">
        <f t="shared" si="5"/>
        <v>0.114784205693297</v>
      </c>
      <c r="R11" s="15">
        <v>8859</v>
      </c>
      <c r="S11" s="15">
        <v>250</v>
      </c>
      <c r="T11" s="78">
        <f t="shared" si="1"/>
        <v>773</v>
      </c>
      <c r="U11" s="85"/>
      <c r="V11" s="85"/>
      <c r="W11" s="86"/>
    </row>
    <row r="12" customFormat="1" ht="16" customHeight="1" spans="1:28">
      <c r="A12" s="55">
        <v>45967</v>
      </c>
      <c r="B12" s="47">
        <v>13459</v>
      </c>
      <c r="C12" s="47">
        <v>13287</v>
      </c>
      <c r="D12" s="47">
        <v>172</v>
      </c>
      <c r="E12" s="56">
        <f t="shared" si="0"/>
        <v>1.2779552715655</v>
      </c>
      <c r="F12" s="15">
        <v>9759</v>
      </c>
      <c r="G12" s="15">
        <v>8787</v>
      </c>
      <c r="H12" s="15">
        <v>830</v>
      </c>
      <c r="I12" s="48">
        <f t="shared" si="3"/>
        <v>8.50496977149298</v>
      </c>
      <c r="J12" s="15">
        <v>8862</v>
      </c>
      <c r="K12" s="15">
        <v>8843</v>
      </c>
      <c r="L12" s="15">
        <v>19</v>
      </c>
      <c r="M12" s="48">
        <f t="shared" si="4"/>
        <v>0.214398555630783</v>
      </c>
      <c r="N12" s="15">
        <v>8843</v>
      </c>
      <c r="O12" s="15">
        <v>8820</v>
      </c>
      <c r="P12" s="15">
        <v>23</v>
      </c>
      <c r="Q12" s="48">
        <f t="shared" si="5"/>
        <v>0.260092728711976</v>
      </c>
      <c r="R12" s="15">
        <v>8760</v>
      </c>
      <c r="S12" s="15">
        <v>160</v>
      </c>
      <c r="T12" s="78">
        <f t="shared" ref="T12:T22" si="6">D12+H12+L12+P12+S12</f>
        <v>1204</v>
      </c>
      <c r="U12" s="85"/>
      <c r="V12" s="85"/>
      <c r="W12" s="86"/>
      <c r="Z12" s="99"/>
      <c r="AA12" s="99"/>
      <c r="AB12" s="99"/>
    </row>
    <row r="13" customFormat="1" ht="16" customHeight="1" spans="1:23">
      <c r="A13" s="55">
        <v>45968</v>
      </c>
      <c r="B13" s="47">
        <v>13431</v>
      </c>
      <c r="C13" s="47">
        <v>13240</v>
      </c>
      <c r="D13" s="47">
        <v>191</v>
      </c>
      <c r="E13" s="56">
        <f t="shared" si="0"/>
        <v>1.42208324026506</v>
      </c>
      <c r="F13" s="15">
        <v>11511</v>
      </c>
      <c r="G13" s="15">
        <v>10932</v>
      </c>
      <c r="H13" s="15">
        <v>466</v>
      </c>
      <c r="I13" s="48">
        <f t="shared" si="3"/>
        <v>4.04830162453305</v>
      </c>
      <c r="J13" s="15">
        <v>11854</v>
      </c>
      <c r="K13" s="15">
        <v>11833</v>
      </c>
      <c r="L13" s="15">
        <v>21</v>
      </c>
      <c r="M13" s="48">
        <f t="shared" si="4"/>
        <v>0.177155390585456</v>
      </c>
      <c r="N13" s="15">
        <v>11833</v>
      </c>
      <c r="O13" s="15">
        <v>11800</v>
      </c>
      <c r="P13" s="15">
        <v>33</v>
      </c>
      <c r="Q13" s="48">
        <f t="shared" si="5"/>
        <v>0.27888109524212</v>
      </c>
      <c r="R13" s="15">
        <v>8746</v>
      </c>
      <c r="S13" s="15">
        <v>540</v>
      </c>
      <c r="T13" s="78">
        <f t="shared" si="6"/>
        <v>1251</v>
      </c>
      <c r="U13" s="85"/>
      <c r="V13" s="85"/>
      <c r="W13" s="86"/>
    </row>
    <row r="14" s="29" customFormat="1" ht="16" customHeight="1" spans="1:23">
      <c r="A14" s="55">
        <v>45969</v>
      </c>
      <c r="B14" s="47">
        <v>13451</v>
      </c>
      <c r="C14" s="47">
        <v>13267</v>
      </c>
      <c r="D14" s="47">
        <v>184</v>
      </c>
      <c r="E14" s="56">
        <f t="shared" si="0"/>
        <v>1.36792803509033</v>
      </c>
      <c r="F14" s="15">
        <v>6499</v>
      </c>
      <c r="G14" s="15">
        <v>6154</v>
      </c>
      <c r="H14" s="15">
        <v>262</v>
      </c>
      <c r="I14" s="48">
        <f t="shared" si="3"/>
        <v>4.03138944452993</v>
      </c>
      <c r="J14" s="15">
        <v>7646</v>
      </c>
      <c r="K14" s="15">
        <v>7554</v>
      </c>
      <c r="L14" s="15">
        <v>92</v>
      </c>
      <c r="M14" s="48">
        <f t="shared" si="4"/>
        <v>1.20324352602668</v>
      </c>
      <c r="N14" s="15">
        <v>7554</v>
      </c>
      <c r="O14" s="15">
        <v>7463</v>
      </c>
      <c r="P14" s="15">
        <v>91</v>
      </c>
      <c r="Q14" s="48">
        <f t="shared" si="5"/>
        <v>1.20465978289648</v>
      </c>
      <c r="R14" s="15">
        <v>7038</v>
      </c>
      <c r="S14" s="15">
        <v>558</v>
      </c>
      <c r="T14" s="78">
        <f t="shared" si="6"/>
        <v>1187</v>
      </c>
      <c r="U14" s="85"/>
      <c r="V14" s="85"/>
      <c r="W14" s="86"/>
    </row>
    <row r="15" s="29" customFormat="1" ht="16" customHeight="1" spans="1:23">
      <c r="A15" s="49" t="s">
        <v>29</v>
      </c>
      <c r="B15" s="50">
        <f>SUM(B8:B14)</f>
        <v>80279</v>
      </c>
      <c r="C15" s="50">
        <f>SUM(C8:C14)</f>
        <v>79185</v>
      </c>
      <c r="D15" s="50">
        <f>SUM(D8:D14)</f>
        <v>1094</v>
      </c>
      <c r="E15" s="51">
        <f t="shared" si="0"/>
        <v>1.36274741837841</v>
      </c>
      <c r="F15" s="50">
        <f t="shared" ref="F15:L15" si="7">SUM(F8:F14)</f>
        <v>61769</v>
      </c>
      <c r="G15" s="50">
        <f t="shared" si="7"/>
        <v>58693</v>
      </c>
      <c r="H15" s="50">
        <f t="shared" si="7"/>
        <v>2286</v>
      </c>
      <c r="I15" s="51">
        <f t="shared" si="3"/>
        <v>3.70088555748029</v>
      </c>
      <c r="J15" s="50">
        <f t="shared" si="7"/>
        <v>58687</v>
      </c>
      <c r="K15" s="50">
        <f t="shared" si="7"/>
        <v>58444</v>
      </c>
      <c r="L15" s="50">
        <f t="shared" si="7"/>
        <v>243</v>
      </c>
      <c r="M15" s="51">
        <f t="shared" si="4"/>
        <v>0.414061035663776</v>
      </c>
      <c r="N15" s="50">
        <f t="shared" ref="N15:P15" si="8">SUM(N8:N14)</f>
        <v>58444</v>
      </c>
      <c r="O15" s="50">
        <f t="shared" si="8"/>
        <v>58204</v>
      </c>
      <c r="P15" s="50">
        <f t="shared" si="8"/>
        <v>240</v>
      </c>
      <c r="Q15" s="51">
        <f t="shared" si="5"/>
        <v>0.410649510642667</v>
      </c>
      <c r="R15" s="50">
        <f t="shared" ref="R15:T15" si="9">SUM(R8:R14)</f>
        <v>55269</v>
      </c>
      <c r="S15" s="50">
        <f t="shared" si="9"/>
        <v>2134</v>
      </c>
      <c r="T15" s="82">
        <f t="shared" si="9"/>
        <v>5997</v>
      </c>
      <c r="U15" s="87"/>
      <c r="V15" s="87"/>
      <c r="W15" s="88"/>
    </row>
    <row r="16" ht="16" customHeight="1" spans="1:27">
      <c r="A16" s="52">
        <v>45970</v>
      </c>
      <c r="B16" s="53"/>
      <c r="C16" s="53"/>
      <c r="D16" s="53"/>
      <c r="E16" s="58"/>
      <c r="F16" s="58"/>
      <c r="G16" s="58"/>
      <c r="H16" s="58"/>
      <c r="I16" s="71" t="e">
        <f t="shared" si="3"/>
        <v>#DIV/0!</v>
      </c>
      <c r="J16" s="58"/>
      <c r="K16" s="58"/>
      <c r="L16" s="58"/>
      <c r="M16" s="71" t="e">
        <f t="shared" si="4"/>
        <v>#DIV/0!</v>
      </c>
      <c r="N16" s="58"/>
      <c r="O16" s="58"/>
      <c r="P16" s="58"/>
      <c r="Q16" s="71" t="e">
        <f t="shared" si="5"/>
        <v>#DIV/0!</v>
      </c>
      <c r="R16" s="54"/>
      <c r="S16" s="54"/>
      <c r="T16" s="83">
        <f>H16+L16+P16+S16</f>
        <v>0</v>
      </c>
      <c r="U16" s="79" t="s">
        <v>21</v>
      </c>
      <c r="V16" s="79"/>
      <c r="W16" s="84"/>
      <c r="Z16" s="99"/>
      <c r="AA16" s="99"/>
    </row>
    <row r="17" ht="17" customHeight="1" spans="1:23">
      <c r="A17" s="59">
        <v>45971</v>
      </c>
      <c r="B17" s="47">
        <v>13440</v>
      </c>
      <c r="C17" s="47">
        <v>13162</v>
      </c>
      <c r="D17" s="47">
        <v>278</v>
      </c>
      <c r="E17" s="56">
        <f t="shared" ref="E17:E23" si="10">D17/B17*100</f>
        <v>2.06845238095238</v>
      </c>
      <c r="F17" s="15">
        <v>6696</v>
      </c>
      <c r="G17" s="15">
        <v>6041</v>
      </c>
      <c r="H17" s="15">
        <v>565</v>
      </c>
      <c r="I17" s="48">
        <f t="shared" si="3"/>
        <v>8.4378733572282</v>
      </c>
      <c r="J17" s="15">
        <v>6315</v>
      </c>
      <c r="K17" s="15">
        <v>6063</v>
      </c>
      <c r="L17" s="15">
        <v>252</v>
      </c>
      <c r="M17" s="48">
        <f t="shared" si="4"/>
        <v>3.99049881235154</v>
      </c>
      <c r="N17" s="15">
        <v>6063</v>
      </c>
      <c r="O17" s="15">
        <v>5885</v>
      </c>
      <c r="P17" s="15">
        <v>178</v>
      </c>
      <c r="Q17" s="48">
        <f t="shared" si="5"/>
        <v>2.93584034306449</v>
      </c>
      <c r="R17" s="15">
        <v>3320</v>
      </c>
      <c r="S17" s="15">
        <v>115</v>
      </c>
      <c r="T17" s="78">
        <f t="shared" si="6"/>
        <v>1388</v>
      </c>
      <c r="U17" s="89">
        <f>B23</f>
        <v>73900</v>
      </c>
      <c r="V17" s="89">
        <f>SUM(T16:T22)</f>
        <v>7122</v>
      </c>
      <c r="W17" s="90">
        <f>V17/U17*100</f>
        <v>9.63734776725305</v>
      </c>
    </row>
    <row r="18" ht="16" customHeight="1" spans="1:23">
      <c r="A18" s="59">
        <v>45972</v>
      </c>
      <c r="B18" s="47">
        <v>12129</v>
      </c>
      <c r="C18" s="47">
        <v>11870</v>
      </c>
      <c r="D18" s="47">
        <v>259</v>
      </c>
      <c r="E18" s="56">
        <f t="shared" si="10"/>
        <v>2.13537801962239</v>
      </c>
      <c r="F18" s="15">
        <v>5871</v>
      </c>
      <c r="G18" s="15">
        <v>5313</v>
      </c>
      <c r="H18" s="15">
        <v>309</v>
      </c>
      <c r="I18" s="48">
        <f t="shared" si="3"/>
        <v>5.26315789473684</v>
      </c>
      <c r="J18" s="15">
        <v>5600</v>
      </c>
      <c r="K18" s="15">
        <v>5095</v>
      </c>
      <c r="L18" s="15">
        <v>500</v>
      </c>
      <c r="M18" s="48">
        <f t="shared" si="4"/>
        <v>8.92857142857143</v>
      </c>
      <c r="N18" s="15">
        <v>5095</v>
      </c>
      <c r="O18" s="15">
        <v>4834</v>
      </c>
      <c r="P18" s="15">
        <v>311</v>
      </c>
      <c r="Q18" s="48">
        <f t="shared" si="5"/>
        <v>6.10402355250245</v>
      </c>
      <c r="R18" s="15">
        <v>12572</v>
      </c>
      <c r="S18" s="15">
        <v>540</v>
      </c>
      <c r="T18" s="78">
        <f t="shared" si="6"/>
        <v>1919</v>
      </c>
      <c r="U18" s="85"/>
      <c r="V18" s="85"/>
      <c r="W18" s="86"/>
    </row>
    <row r="19" customFormat="1" ht="16" customHeight="1" spans="1:23">
      <c r="A19" s="59">
        <v>45973</v>
      </c>
      <c r="B19" s="47">
        <v>12159</v>
      </c>
      <c r="C19" s="47">
        <v>11910</v>
      </c>
      <c r="D19" s="47">
        <v>249</v>
      </c>
      <c r="E19" s="56">
        <f t="shared" si="10"/>
        <v>2.04786577843573</v>
      </c>
      <c r="F19" s="15">
        <v>11542</v>
      </c>
      <c r="G19" s="15">
        <v>11555</v>
      </c>
      <c r="H19" s="15">
        <v>311</v>
      </c>
      <c r="I19" s="48">
        <f t="shared" si="3"/>
        <v>2.69450701784786</v>
      </c>
      <c r="J19" s="15">
        <v>7442</v>
      </c>
      <c r="K19" s="15">
        <v>7438</v>
      </c>
      <c r="L19" s="15">
        <v>4</v>
      </c>
      <c r="M19" s="48">
        <f t="shared" si="4"/>
        <v>0.0537489922063961</v>
      </c>
      <c r="N19" s="15">
        <v>7438</v>
      </c>
      <c r="O19" s="15">
        <v>7360</v>
      </c>
      <c r="P19" s="15">
        <v>78</v>
      </c>
      <c r="Q19" s="48">
        <f t="shared" si="5"/>
        <v>1.04866899704222</v>
      </c>
      <c r="R19" s="15">
        <v>15628</v>
      </c>
      <c r="S19" s="15">
        <v>306</v>
      </c>
      <c r="T19" s="78">
        <f t="shared" si="6"/>
        <v>948</v>
      </c>
      <c r="U19" s="85"/>
      <c r="V19" s="85"/>
      <c r="W19" s="86"/>
    </row>
    <row r="20" customFormat="1" ht="16" customHeight="1" spans="1:23">
      <c r="A20" s="59">
        <v>45974</v>
      </c>
      <c r="B20" s="47">
        <v>11888</v>
      </c>
      <c r="C20" s="47">
        <v>11597</v>
      </c>
      <c r="D20" s="47">
        <v>291</v>
      </c>
      <c r="E20" s="56">
        <f t="shared" si="10"/>
        <v>2.4478465679677</v>
      </c>
      <c r="F20" s="15">
        <v>7620</v>
      </c>
      <c r="G20" s="15">
        <v>7354</v>
      </c>
      <c r="H20" s="15">
        <v>206</v>
      </c>
      <c r="I20" s="48">
        <f t="shared" si="3"/>
        <v>2.70341207349081</v>
      </c>
      <c r="J20" s="15">
        <v>7475</v>
      </c>
      <c r="K20" s="15">
        <v>7466</v>
      </c>
      <c r="L20" s="15">
        <v>9</v>
      </c>
      <c r="M20" s="48">
        <f t="shared" si="4"/>
        <v>0.120401337792642</v>
      </c>
      <c r="N20" s="15">
        <v>7466</v>
      </c>
      <c r="O20" s="15">
        <v>7338</v>
      </c>
      <c r="P20" s="15">
        <v>128</v>
      </c>
      <c r="Q20" s="48">
        <f t="shared" si="5"/>
        <v>1.71443878917761</v>
      </c>
      <c r="R20" s="15">
        <v>7342</v>
      </c>
      <c r="S20" s="15">
        <v>165</v>
      </c>
      <c r="T20" s="78">
        <f t="shared" si="6"/>
        <v>799</v>
      </c>
      <c r="U20" s="85"/>
      <c r="V20" s="85"/>
      <c r="W20" s="86"/>
    </row>
    <row r="21" customFormat="1" ht="16" customHeight="1" spans="1:23">
      <c r="A21" s="59">
        <v>45975</v>
      </c>
      <c r="B21" s="47">
        <v>12088</v>
      </c>
      <c r="C21" s="47">
        <v>11780</v>
      </c>
      <c r="D21" s="47">
        <v>308</v>
      </c>
      <c r="E21" s="56">
        <f t="shared" si="10"/>
        <v>2.54798146922568</v>
      </c>
      <c r="F21" s="15">
        <v>9028</v>
      </c>
      <c r="G21" s="15">
        <v>8482</v>
      </c>
      <c r="H21" s="15">
        <v>459</v>
      </c>
      <c r="I21" s="48">
        <f t="shared" si="3"/>
        <v>5.08418254319894</v>
      </c>
      <c r="J21" s="15">
        <v>8216</v>
      </c>
      <c r="K21" s="15">
        <v>7965</v>
      </c>
      <c r="L21" s="15">
        <v>251</v>
      </c>
      <c r="M21" s="48">
        <f t="shared" si="4"/>
        <v>3.05501460564752</v>
      </c>
      <c r="N21" s="15">
        <v>7965</v>
      </c>
      <c r="O21" s="15">
        <v>7709</v>
      </c>
      <c r="P21" s="15">
        <v>256</v>
      </c>
      <c r="Q21" s="48">
        <f t="shared" si="5"/>
        <v>3.21406151914626</v>
      </c>
      <c r="R21" s="15">
        <v>7415</v>
      </c>
      <c r="S21" s="15">
        <v>90</v>
      </c>
      <c r="T21" s="78">
        <f t="shared" si="6"/>
        <v>1364</v>
      </c>
      <c r="U21" s="85"/>
      <c r="V21" s="85"/>
      <c r="W21" s="86"/>
    </row>
    <row r="22" s="29" customFormat="1" ht="16" customHeight="1" spans="1:23">
      <c r="A22" s="59">
        <v>45976</v>
      </c>
      <c r="B22" s="47">
        <v>12196</v>
      </c>
      <c r="C22" s="47">
        <v>12048</v>
      </c>
      <c r="D22" s="47">
        <v>148</v>
      </c>
      <c r="E22" s="56">
        <f t="shared" si="10"/>
        <v>1.21351262709085</v>
      </c>
      <c r="F22" s="15">
        <v>8076</v>
      </c>
      <c r="G22" s="15">
        <v>7732</v>
      </c>
      <c r="H22" s="15">
        <v>323</v>
      </c>
      <c r="I22" s="48">
        <f t="shared" si="3"/>
        <v>3.99950470529965</v>
      </c>
      <c r="J22" s="15">
        <v>9661</v>
      </c>
      <c r="K22" s="15">
        <v>9637</v>
      </c>
      <c r="L22" s="15">
        <v>24</v>
      </c>
      <c r="M22" s="48">
        <f t="shared" si="4"/>
        <v>0.248421488458752</v>
      </c>
      <c r="N22" s="15">
        <v>9637</v>
      </c>
      <c r="O22" s="15">
        <v>9533</v>
      </c>
      <c r="P22" s="15">
        <v>104</v>
      </c>
      <c r="Q22" s="48">
        <f t="shared" si="5"/>
        <v>1.07917401681021</v>
      </c>
      <c r="R22" s="15">
        <v>10433</v>
      </c>
      <c r="S22" s="15">
        <v>105</v>
      </c>
      <c r="T22" s="78">
        <f t="shared" si="6"/>
        <v>704</v>
      </c>
      <c r="U22" s="85"/>
      <c r="V22" s="85"/>
      <c r="W22" s="86"/>
    </row>
    <row r="23" customFormat="1" ht="16" customHeight="1" spans="1:23">
      <c r="A23" s="49" t="s">
        <v>29</v>
      </c>
      <c r="B23" s="50">
        <f>SUM(B16:B22)</f>
        <v>73900</v>
      </c>
      <c r="C23" s="50">
        <f>SUM(C16:C22)</f>
        <v>72367</v>
      </c>
      <c r="D23" s="50">
        <f>SUM(D16:D22)</f>
        <v>1533</v>
      </c>
      <c r="E23" s="51">
        <f t="shared" si="10"/>
        <v>2.0744248985115</v>
      </c>
      <c r="F23" s="50">
        <f t="shared" ref="F23:L23" si="11">SUM(F16:F22)</f>
        <v>48833</v>
      </c>
      <c r="G23" s="50">
        <f t="shared" si="11"/>
        <v>46477</v>
      </c>
      <c r="H23" s="50">
        <f t="shared" si="11"/>
        <v>2173</v>
      </c>
      <c r="I23" s="51">
        <f t="shared" si="3"/>
        <v>4.44985972600496</v>
      </c>
      <c r="J23" s="50">
        <f t="shared" si="11"/>
        <v>44709</v>
      </c>
      <c r="K23" s="50">
        <f t="shared" si="11"/>
        <v>43664</v>
      </c>
      <c r="L23" s="50">
        <f t="shared" si="11"/>
        <v>1040</v>
      </c>
      <c r="M23" s="51">
        <f t="shared" si="4"/>
        <v>2.3261535708694</v>
      </c>
      <c r="N23" s="50">
        <f t="shared" ref="N23:P23" si="12">SUM(N16:N22)</f>
        <v>43664</v>
      </c>
      <c r="O23" s="50">
        <f t="shared" si="12"/>
        <v>42659</v>
      </c>
      <c r="P23" s="50">
        <f t="shared" si="12"/>
        <v>1055</v>
      </c>
      <c r="Q23" s="51">
        <f t="shared" si="5"/>
        <v>2.41617808721143</v>
      </c>
      <c r="R23" s="50">
        <f t="shared" ref="R23:T23" si="13">SUM(R16:R22)</f>
        <v>56710</v>
      </c>
      <c r="S23" s="50">
        <f t="shared" si="13"/>
        <v>1321</v>
      </c>
      <c r="T23" s="50">
        <f t="shared" si="13"/>
        <v>7122</v>
      </c>
      <c r="U23" s="87"/>
      <c r="V23" s="87"/>
      <c r="W23" s="88"/>
    </row>
    <row r="24" ht="16" customHeight="1" spans="1:23">
      <c r="A24" s="52">
        <v>45977</v>
      </c>
      <c r="B24" s="53"/>
      <c r="C24" s="53"/>
      <c r="D24" s="53"/>
      <c r="E24" s="58"/>
      <c r="F24" s="58"/>
      <c r="G24" s="58"/>
      <c r="H24" s="58"/>
      <c r="I24" s="71" t="e">
        <f t="shared" si="3"/>
        <v>#DIV/0!</v>
      </c>
      <c r="J24" s="58"/>
      <c r="K24" s="58"/>
      <c r="L24" s="58"/>
      <c r="M24" s="71" t="e">
        <f t="shared" si="4"/>
        <v>#DIV/0!</v>
      </c>
      <c r="N24" s="58"/>
      <c r="O24" s="58"/>
      <c r="P24" s="58"/>
      <c r="Q24" s="71" t="e">
        <f t="shared" si="5"/>
        <v>#DIV/0!</v>
      </c>
      <c r="R24" s="54">
        <v>8090</v>
      </c>
      <c r="S24" s="58">
        <v>137</v>
      </c>
      <c r="T24" s="83">
        <f>H24+L24+P24+S24</f>
        <v>137</v>
      </c>
      <c r="U24" s="79" t="s">
        <v>22</v>
      </c>
      <c r="V24" s="79"/>
      <c r="W24" s="84"/>
    </row>
    <row r="25" ht="17" customHeight="1" spans="1:23">
      <c r="A25" s="59">
        <v>45978</v>
      </c>
      <c r="B25" s="47">
        <v>12154</v>
      </c>
      <c r="C25" s="47">
        <v>11884</v>
      </c>
      <c r="D25" s="47">
        <v>270</v>
      </c>
      <c r="E25" s="56">
        <f t="shared" ref="E25:E31" si="14">D25/B25*100</f>
        <v>2.22149086720421</v>
      </c>
      <c r="F25" s="15">
        <v>5555</v>
      </c>
      <c r="G25" s="15">
        <v>5267</v>
      </c>
      <c r="H25" s="15">
        <v>203</v>
      </c>
      <c r="I25" s="56">
        <f t="shared" si="3"/>
        <v>3.65436543654365</v>
      </c>
      <c r="J25" s="15">
        <v>10482</v>
      </c>
      <c r="K25" s="15">
        <v>10434</v>
      </c>
      <c r="L25" s="15">
        <v>48</v>
      </c>
      <c r="M25" s="56">
        <f t="shared" si="4"/>
        <v>0.457927876359473</v>
      </c>
      <c r="N25" s="15">
        <v>10434</v>
      </c>
      <c r="O25" s="15">
        <v>10337</v>
      </c>
      <c r="P25" s="15">
        <v>97</v>
      </c>
      <c r="Q25" s="56">
        <f t="shared" si="5"/>
        <v>0.929653057312632</v>
      </c>
      <c r="R25" s="15">
        <v>4888</v>
      </c>
      <c r="S25" s="15">
        <v>219</v>
      </c>
      <c r="T25" s="78">
        <f t="shared" ref="T25:T30" si="15">D25+H25+L25+P25+S25</f>
        <v>837</v>
      </c>
      <c r="U25" s="89">
        <f>B31</f>
        <v>76351</v>
      </c>
      <c r="V25" s="89">
        <f>SUM(T24:T30)</f>
        <v>12481</v>
      </c>
      <c r="W25" s="90">
        <f>V25/U25*100</f>
        <v>16.3468716847193</v>
      </c>
    </row>
    <row r="26" ht="16" customHeight="1" spans="1:23">
      <c r="A26" s="59">
        <v>45979</v>
      </c>
      <c r="B26" s="47">
        <v>12215</v>
      </c>
      <c r="C26" s="47">
        <v>12023</v>
      </c>
      <c r="D26" s="47">
        <v>192</v>
      </c>
      <c r="E26" s="56">
        <f t="shared" si="14"/>
        <v>1.57183790421613</v>
      </c>
      <c r="F26" s="15">
        <v>8285</v>
      </c>
      <c r="G26" s="15">
        <v>7718</v>
      </c>
      <c r="H26" s="15">
        <v>367</v>
      </c>
      <c r="I26" s="56">
        <f t="shared" si="3"/>
        <v>4.42969221484611</v>
      </c>
      <c r="J26" s="15">
        <v>10449</v>
      </c>
      <c r="K26" s="15">
        <v>10437</v>
      </c>
      <c r="L26" s="15">
        <v>12</v>
      </c>
      <c r="M26" s="56">
        <f t="shared" si="4"/>
        <v>0.114843525696239</v>
      </c>
      <c r="N26" s="15">
        <v>10437</v>
      </c>
      <c r="O26" s="15">
        <v>10390</v>
      </c>
      <c r="P26" s="15">
        <v>47</v>
      </c>
      <c r="Q26" s="56">
        <f t="shared" si="5"/>
        <v>0.450320973459806</v>
      </c>
      <c r="R26" s="15">
        <v>5552</v>
      </c>
      <c r="S26" s="15">
        <v>186</v>
      </c>
      <c r="T26" s="78">
        <f t="shared" si="15"/>
        <v>804</v>
      </c>
      <c r="U26" s="85"/>
      <c r="V26" s="85"/>
      <c r="W26" s="86"/>
    </row>
    <row r="27" ht="16" customHeight="1" spans="1:23">
      <c r="A27" s="59">
        <v>45980</v>
      </c>
      <c r="B27" s="47">
        <v>12995</v>
      </c>
      <c r="C27" s="47">
        <v>12758</v>
      </c>
      <c r="D27" s="47">
        <v>237</v>
      </c>
      <c r="E27" s="56">
        <f t="shared" si="14"/>
        <v>1.82377837629858</v>
      </c>
      <c r="F27" s="15">
        <v>11372</v>
      </c>
      <c r="G27" s="15">
        <v>10881</v>
      </c>
      <c r="H27" s="15">
        <v>425</v>
      </c>
      <c r="I27" s="56">
        <f t="shared" si="3"/>
        <v>3.73724938445304</v>
      </c>
      <c r="J27" s="15">
        <v>11093</v>
      </c>
      <c r="K27" s="15">
        <v>11074</v>
      </c>
      <c r="L27" s="15">
        <v>19</v>
      </c>
      <c r="M27" s="56">
        <f t="shared" si="4"/>
        <v>0.171279185071667</v>
      </c>
      <c r="N27" s="15">
        <v>11074</v>
      </c>
      <c r="O27" s="15">
        <v>11027</v>
      </c>
      <c r="P27" s="15">
        <v>47</v>
      </c>
      <c r="Q27" s="56">
        <f t="shared" si="5"/>
        <v>0.424417554632472</v>
      </c>
      <c r="R27" s="15">
        <v>7697</v>
      </c>
      <c r="S27" s="15">
        <v>240</v>
      </c>
      <c r="T27" s="78">
        <f t="shared" si="15"/>
        <v>968</v>
      </c>
      <c r="U27" s="85"/>
      <c r="V27" s="85"/>
      <c r="W27" s="86"/>
    </row>
    <row r="28" ht="16" customHeight="1" spans="1:23">
      <c r="A28" s="59">
        <v>45981</v>
      </c>
      <c r="B28" s="47">
        <v>13030</v>
      </c>
      <c r="C28" s="47">
        <v>12766</v>
      </c>
      <c r="D28" s="47">
        <v>264</v>
      </c>
      <c r="E28" s="56">
        <f t="shared" si="14"/>
        <v>2.02609363008442</v>
      </c>
      <c r="F28" s="15">
        <v>10854</v>
      </c>
      <c r="G28" s="15">
        <v>10445</v>
      </c>
      <c r="H28" s="15">
        <v>310</v>
      </c>
      <c r="I28" s="56">
        <f t="shared" si="3"/>
        <v>2.85608992076654</v>
      </c>
      <c r="J28" s="15">
        <v>10233</v>
      </c>
      <c r="K28" s="15">
        <v>10226</v>
      </c>
      <c r="L28" s="15">
        <v>7</v>
      </c>
      <c r="M28" s="56">
        <f t="shared" si="4"/>
        <v>0.0684061370077201</v>
      </c>
      <c r="N28" s="15">
        <v>10233</v>
      </c>
      <c r="O28" s="15">
        <v>10208</v>
      </c>
      <c r="P28" s="15">
        <v>25</v>
      </c>
      <c r="Q28" s="56">
        <f t="shared" si="5"/>
        <v>0.244307632170429</v>
      </c>
      <c r="R28" s="15">
        <v>9042</v>
      </c>
      <c r="S28" s="15">
        <v>120</v>
      </c>
      <c r="T28" s="78">
        <f t="shared" si="15"/>
        <v>726</v>
      </c>
      <c r="U28" s="85"/>
      <c r="V28" s="85"/>
      <c r="W28" s="86"/>
    </row>
    <row r="29" ht="16" customHeight="1" spans="1:23">
      <c r="A29" s="59">
        <v>45982</v>
      </c>
      <c r="B29" s="47">
        <v>12937</v>
      </c>
      <c r="C29" s="47">
        <v>12749</v>
      </c>
      <c r="D29" s="47">
        <v>6458</v>
      </c>
      <c r="E29" s="56">
        <f t="shared" si="14"/>
        <v>49.918837442993</v>
      </c>
      <c r="F29" s="15">
        <v>9075</v>
      </c>
      <c r="G29" s="15">
        <v>7928</v>
      </c>
      <c r="H29" s="15">
        <v>1051</v>
      </c>
      <c r="I29" s="56">
        <f t="shared" ref="I29:I38" si="16">H29/F29*100</f>
        <v>11.5812672176309</v>
      </c>
      <c r="J29" s="15">
        <v>8584</v>
      </c>
      <c r="K29" s="15">
        <v>8566</v>
      </c>
      <c r="L29" s="15">
        <v>18</v>
      </c>
      <c r="M29" s="56">
        <f t="shared" ref="M29:M38" si="17">L29/J29*100</f>
        <v>0.209692451071761</v>
      </c>
      <c r="N29" s="15">
        <v>8566</v>
      </c>
      <c r="O29" s="15">
        <v>8503</v>
      </c>
      <c r="P29" s="15">
        <v>63</v>
      </c>
      <c r="Q29" s="56">
        <f t="shared" ref="Q29:Q38" si="18">P29/N29*100</f>
        <v>0.735465795003502</v>
      </c>
      <c r="R29" s="15">
        <v>6675</v>
      </c>
      <c r="S29" s="15">
        <v>269</v>
      </c>
      <c r="T29" s="78">
        <f t="shared" si="15"/>
        <v>7859</v>
      </c>
      <c r="U29" s="85"/>
      <c r="V29" s="85"/>
      <c r="W29" s="86"/>
    </row>
    <row r="30" ht="16" customHeight="1" spans="1:23">
      <c r="A30" s="59">
        <v>45983</v>
      </c>
      <c r="B30" s="47">
        <v>13020</v>
      </c>
      <c r="C30" s="47">
        <v>12777</v>
      </c>
      <c r="D30" s="47">
        <v>243</v>
      </c>
      <c r="E30" s="56">
        <f t="shared" si="14"/>
        <v>1.86635944700461</v>
      </c>
      <c r="F30" s="15">
        <v>4959</v>
      </c>
      <c r="G30" s="15">
        <v>4382</v>
      </c>
      <c r="H30" s="15">
        <v>528</v>
      </c>
      <c r="I30" s="56">
        <f t="shared" si="16"/>
        <v>10.6473079249849</v>
      </c>
      <c r="J30" s="15">
        <v>4382</v>
      </c>
      <c r="K30" s="15">
        <v>4367</v>
      </c>
      <c r="L30" s="15">
        <v>15</v>
      </c>
      <c r="M30" s="56">
        <f t="shared" si="17"/>
        <v>0.342309447740758</v>
      </c>
      <c r="N30" s="15">
        <v>4367</v>
      </c>
      <c r="O30" s="15">
        <v>4262</v>
      </c>
      <c r="P30" s="15">
        <v>105</v>
      </c>
      <c r="Q30" s="56">
        <f t="shared" si="18"/>
        <v>2.40439661094573</v>
      </c>
      <c r="R30" s="15">
        <v>6518</v>
      </c>
      <c r="S30" s="15">
        <v>259</v>
      </c>
      <c r="T30" s="78">
        <f t="shared" si="15"/>
        <v>1150</v>
      </c>
      <c r="U30" s="85"/>
      <c r="V30" s="85"/>
      <c r="W30" s="86"/>
    </row>
    <row r="31" ht="16" customHeight="1" spans="1:23">
      <c r="A31" s="49" t="s">
        <v>29</v>
      </c>
      <c r="B31" s="50">
        <f>SUM(B24:B30)</f>
        <v>76351</v>
      </c>
      <c r="C31" s="50">
        <f>SUM(C24:C30)</f>
        <v>74957</v>
      </c>
      <c r="D31" s="50">
        <f>SUM(D24:D30)</f>
        <v>7664</v>
      </c>
      <c r="E31" s="51">
        <f t="shared" si="14"/>
        <v>10.0378515016175</v>
      </c>
      <c r="F31" s="50">
        <f t="shared" ref="F31:L31" si="19">SUM(F24:F30)</f>
        <v>50100</v>
      </c>
      <c r="G31" s="50">
        <f t="shared" si="19"/>
        <v>46621</v>
      </c>
      <c r="H31" s="50">
        <f t="shared" si="19"/>
        <v>2884</v>
      </c>
      <c r="I31" s="51">
        <f t="shared" si="16"/>
        <v>5.7564870259481</v>
      </c>
      <c r="J31" s="50">
        <f t="shared" si="19"/>
        <v>55223</v>
      </c>
      <c r="K31" s="50">
        <f t="shared" si="19"/>
        <v>55104</v>
      </c>
      <c r="L31" s="50">
        <f t="shared" si="19"/>
        <v>119</v>
      </c>
      <c r="M31" s="51">
        <f t="shared" si="17"/>
        <v>0.215489922677145</v>
      </c>
      <c r="N31" s="50">
        <f t="shared" ref="N31:P31" si="20">SUM(N24:N30)</f>
        <v>55111</v>
      </c>
      <c r="O31" s="50">
        <f t="shared" si="20"/>
        <v>54727</v>
      </c>
      <c r="P31" s="50">
        <f t="shared" si="20"/>
        <v>384</v>
      </c>
      <c r="Q31" s="51">
        <f t="shared" si="18"/>
        <v>0.6967755983379</v>
      </c>
      <c r="R31" s="50">
        <f t="shared" ref="R31:T31" si="21">SUM(R24:R30)</f>
        <v>48462</v>
      </c>
      <c r="S31" s="50">
        <f t="shared" si="21"/>
        <v>1430</v>
      </c>
      <c r="T31" s="50">
        <f t="shared" si="21"/>
        <v>12481</v>
      </c>
      <c r="U31" s="87"/>
      <c r="V31" s="87"/>
      <c r="W31" s="88"/>
    </row>
    <row r="32" ht="16" customHeight="1" spans="1:23">
      <c r="A32" s="60">
        <v>45984</v>
      </c>
      <c r="B32" s="61"/>
      <c r="C32" s="61"/>
      <c r="D32" s="61"/>
      <c r="E32" s="58"/>
      <c r="F32" s="58"/>
      <c r="G32" s="58"/>
      <c r="H32" s="58"/>
      <c r="I32" s="71" t="e">
        <f t="shared" si="16"/>
        <v>#DIV/0!</v>
      </c>
      <c r="J32" s="58"/>
      <c r="K32" s="58"/>
      <c r="L32" s="58"/>
      <c r="M32" s="71" t="e">
        <f t="shared" si="17"/>
        <v>#DIV/0!</v>
      </c>
      <c r="N32" s="58"/>
      <c r="O32" s="58"/>
      <c r="P32" s="58"/>
      <c r="Q32" s="71" t="e">
        <f t="shared" si="18"/>
        <v>#DIV/0!</v>
      </c>
      <c r="R32" s="54"/>
      <c r="S32" s="54"/>
      <c r="T32" s="83">
        <f>H32+L32+P32+S32</f>
        <v>0</v>
      </c>
      <c r="U32" s="79" t="s">
        <v>23</v>
      </c>
      <c r="V32" s="79"/>
      <c r="W32" s="84"/>
    </row>
    <row r="33" ht="17" customHeight="1" spans="1:23">
      <c r="A33" s="65">
        <v>45985</v>
      </c>
      <c r="B33" s="47">
        <v>12949</v>
      </c>
      <c r="C33" s="47">
        <v>12751</v>
      </c>
      <c r="D33" s="47">
        <v>198</v>
      </c>
      <c r="E33" s="56">
        <f>D33/B33*100</f>
        <v>1.52907560429377</v>
      </c>
      <c r="F33" s="66">
        <v>4895</v>
      </c>
      <c r="G33" s="66">
        <v>4457</v>
      </c>
      <c r="H33" s="66">
        <v>391</v>
      </c>
      <c r="I33" s="56">
        <f t="shared" si="16"/>
        <v>7.98774259448417</v>
      </c>
      <c r="J33" s="66">
        <v>4457</v>
      </c>
      <c r="K33" s="66">
        <v>4431</v>
      </c>
      <c r="L33" s="66">
        <v>26</v>
      </c>
      <c r="M33" s="56">
        <f t="shared" si="17"/>
        <v>0.583352030513798</v>
      </c>
      <c r="N33" s="66">
        <v>4431</v>
      </c>
      <c r="O33" s="66">
        <v>4396</v>
      </c>
      <c r="P33" s="66">
        <v>35</v>
      </c>
      <c r="Q33" s="56">
        <f t="shared" si="18"/>
        <v>0.789889415481832</v>
      </c>
      <c r="R33" s="57">
        <v>4237</v>
      </c>
      <c r="S33" s="57">
        <v>44</v>
      </c>
      <c r="T33" s="78">
        <f t="shared" ref="T33:T38" si="22">D33+H33+L33+P33+S33</f>
        <v>694</v>
      </c>
      <c r="U33" s="93">
        <f>B39</f>
        <v>76447</v>
      </c>
      <c r="V33" s="85">
        <f>SUM(T32:T38)</f>
        <v>7222</v>
      </c>
      <c r="W33" s="86">
        <f>V33/U33*100</f>
        <v>9.44706790325323</v>
      </c>
    </row>
    <row r="34" ht="17" customHeight="1" spans="1:23">
      <c r="A34" s="65">
        <v>45986</v>
      </c>
      <c r="B34" s="47">
        <v>11901</v>
      </c>
      <c r="C34" s="47">
        <v>11663</v>
      </c>
      <c r="D34" s="47">
        <v>238</v>
      </c>
      <c r="E34" s="56">
        <f t="shared" ref="E33:E39" si="23">D34/B34*100</f>
        <v>1.99983194689522</v>
      </c>
      <c r="F34" s="66">
        <v>3679</v>
      </c>
      <c r="G34" s="66">
        <v>3159</v>
      </c>
      <c r="H34" s="66">
        <v>475</v>
      </c>
      <c r="I34" s="56">
        <f t="shared" si="16"/>
        <v>12.9111171513998</v>
      </c>
      <c r="J34" s="66">
        <v>3159</v>
      </c>
      <c r="K34" s="66">
        <v>3144</v>
      </c>
      <c r="L34" s="66">
        <v>15</v>
      </c>
      <c r="M34" s="56">
        <f t="shared" si="17"/>
        <v>0.474833808167141</v>
      </c>
      <c r="N34" s="66">
        <v>3144</v>
      </c>
      <c r="O34" s="66">
        <v>3117</v>
      </c>
      <c r="P34" s="66">
        <v>27</v>
      </c>
      <c r="Q34" s="56">
        <f t="shared" si="18"/>
        <v>0.858778625954199</v>
      </c>
      <c r="R34" s="57">
        <v>6327</v>
      </c>
      <c r="S34" s="57">
        <v>129</v>
      </c>
      <c r="T34" s="78">
        <f t="shared" si="22"/>
        <v>884</v>
      </c>
      <c r="U34" s="93"/>
      <c r="V34" s="85"/>
      <c r="W34" s="86"/>
    </row>
    <row r="35" ht="17" customHeight="1" spans="1:23">
      <c r="A35" s="65">
        <v>45987</v>
      </c>
      <c r="B35" s="47">
        <v>12933</v>
      </c>
      <c r="C35" s="47">
        <v>12677</v>
      </c>
      <c r="D35" s="47">
        <v>256</v>
      </c>
      <c r="E35" s="56">
        <f t="shared" si="23"/>
        <v>1.97943245959947</v>
      </c>
      <c r="F35" s="66">
        <v>4594</v>
      </c>
      <c r="G35" s="66">
        <v>4012</v>
      </c>
      <c r="H35" s="66">
        <v>365</v>
      </c>
      <c r="I35" s="56">
        <f t="shared" si="16"/>
        <v>7.94514584240313</v>
      </c>
      <c r="J35" s="66">
        <v>4012</v>
      </c>
      <c r="K35" s="66">
        <v>3987</v>
      </c>
      <c r="L35" s="66">
        <v>25</v>
      </c>
      <c r="M35" s="56">
        <f t="shared" si="17"/>
        <v>0.623130608175474</v>
      </c>
      <c r="N35" s="66">
        <v>3987</v>
      </c>
      <c r="O35" s="66">
        <v>3941</v>
      </c>
      <c r="P35" s="66">
        <v>46</v>
      </c>
      <c r="Q35" s="56">
        <f t="shared" si="18"/>
        <v>1.15374968648106</v>
      </c>
      <c r="R35" s="57">
        <v>0</v>
      </c>
      <c r="S35" s="57">
        <v>0</v>
      </c>
      <c r="T35" s="78">
        <f t="shared" si="22"/>
        <v>692</v>
      </c>
      <c r="U35" s="93"/>
      <c r="V35" s="85"/>
      <c r="W35" s="86"/>
    </row>
    <row r="36" ht="17" customHeight="1" spans="1:23">
      <c r="A36" s="65">
        <v>45988</v>
      </c>
      <c r="B36" s="47">
        <v>12898</v>
      </c>
      <c r="C36" s="47">
        <v>12656</v>
      </c>
      <c r="D36" s="47">
        <v>242</v>
      </c>
      <c r="E36" s="56">
        <f t="shared" si="23"/>
        <v>1.87625988525353</v>
      </c>
      <c r="F36" s="66">
        <v>8704</v>
      </c>
      <c r="G36" s="66">
        <v>7900</v>
      </c>
      <c r="H36" s="66">
        <v>753</v>
      </c>
      <c r="I36" s="56">
        <f t="shared" si="16"/>
        <v>8.65119485294118</v>
      </c>
      <c r="J36" s="66">
        <v>7900</v>
      </c>
      <c r="K36" s="66">
        <v>7834</v>
      </c>
      <c r="L36" s="66">
        <v>66</v>
      </c>
      <c r="M36" s="56">
        <f t="shared" si="17"/>
        <v>0.835443037974684</v>
      </c>
      <c r="N36" s="66">
        <v>7834</v>
      </c>
      <c r="O36" s="66">
        <v>7782</v>
      </c>
      <c r="P36" s="66">
        <v>52</v>
      </c>
      <c r="Q36" s="56">
        <f t="shared" si="18"/>
        <v>0.663773295889711</v>
      </c>
      <c r="R36" s="57">
        <v>5644</v>
      </c>
      <c r="S36" s="57">
        <v>434</v>
      </c>
      <c r="T36" s="78">
        <f t="shared" si="22"/>
        <v>1547</v>
      </c>
      <c r="U36" s="93"/>
      <c r="V36" s="85"/>
      <c r="W36" s="86"/>
    </row>
    <row r="37" ht="17" customHeight="1" spans="1:23">
      <c r="A37" s="65">
        <v>45989</v>
      </c>
      <c r="B37" s="47">
        <v>12941</v>
      </c>
      <c r="C37" s="47">
        <v>12707</v>
      </c>
      <c r="D37" s="47">
        <v>234</v>
      </c>
      <c r="E37" s="56">
        <f t="shared" si="23"/>
        <v>1.80820647554285</v>
      </c>
      <c r="F37" s="66">
        <v>8004</v>
      </c>
      <c r="G37" s="66">
        <v>7234</v>
      </c>
      <c r="H37" s="66">
        <v>648</v>
      </c>
      <c r="I37" s="56">
        <f t="shared" si="16"/>
        <v>8.095952023988</v>
      </c>
      <c r="J37" s="66">
        <v>8234</v>
      </c>
      <c r="K37" s="66">
        <v>7899</v>
      </c>
      <c r="L37" s="66">
        <v>335</v>
      </c>
      <c r="M37" s="56">
        <f t="shared" si="17"/>
        <v>4.06849647801797</v>
      </c>
      <c r="N37" s="66">
        <v>6643</v>
      </c>
      <c r="O37" s="66">
        <v>6603</v>
      </c>
      <c r="P37" s="66">
        <v>40</v>
      </c>
      <c r="Q37" s="56">
        <f t="shared" si="18"/>
        <v>0.602137588438958</v>
      </c>
      <c r="R37" s="57">
        <v>6185</v>
      </c>
      <c r="S37" s="57">
        <v>497</v>
      </c>
      <c r="T37" s="78">
        <f t="shared" si="22"/>
        <v>1754</v>
      </c>
      <c r="U37" s="93"/>
      <c r="V37" s="85"/>
      <c r="W37" s="86"/>
    </row>
    <row r="38" ht="17" customHeight="1" spans="1:23">
      <c r="A38" s="65">
        <v>45990</v>
      </c>
      <c r="B38" s="47">
        <v>12825</v>
      </c>
      <c r="C38" s="47">
        <v>12578</v>
      </c>
      <c r="D38" s="47">
        <v>247</v>
      </c>
      <c r="E38" s="56">
        <f t="shared" si="23"/>
        <v>1.92592592592593</v>
      </c>
      <c r="F38" s="66">
        <v>12117</v>
      </c>
      <c r="G38" s="66">
        <v>10855</v>
      </c>
      <c r="H38" s="66">
        <v>1121</v>
      </c>
      <c r="I38" s="56">
        <f t="shared" ref="I38:I41" si="24">H38/F38*100</f>
        <v>9.25146488404721</v>
      </c>
      <c r="J38" s="66">
        <v>9578</v>
      </c>
      <c r="K38" s="66">
        <v>9557</v>
      </c>
      <c r="L38" s="66">
        <v>21</v>
      </c>
      <c r="M38" s="56">
        <f t="shared" ref="M38:M41" si="25">L38/J38*100</f>
        <v>0.219252453539361</v>
      </c>
      <c r="N38" s="66">
        <v>10814</v>
      </c>
      <c r="O38" s="66">
        <v>10704</v>
      </c>
      <c r="P38" s="66">
        <v>110</v>
      </c>
      <c r="Q38" s="56">
        <f t="shared" ref="Q38:Q41" si="26">P38/N38*100</f>
        <v>1.01719992602182</v>
      </c>
      <c r="R38" s="57">
        <v>1590</v>
      </c>
      <c r="S38" s="57">
        <v>152</v>
      </c>
      <c r="T38" s="78">
        <f t="shared" si="22"/>
        <v>1651</v>
      </c>
      <c r="U38" s="93"/>
      <c r="V38" s="85"/>
      <c r="W38" s="86"/>
    </row>
    <row r="39" ht="16" customHeight="1" spans="1:23">
      <c r="A39" s="49" t="s">
        <v>29</v>
      </c>
      <c r="B39" s="50">
        <f>SUM(B32:B38)</f>
        <v>76447</v>
      </c>
      <c r="C39" s="50">
        <f>SUM(C32:C38)</f>
        <v>75032</v>
      </c>
      <c r="D39" s="50">
        <f>SUM(D32:D38)</f>
        <v>1415</v>
      </c>
      <c r="E39" s="51">
        <f t="shared" si="23"/>
        <v>1.85095556398551</v>
      </c>
      <c r="F39" s="50">
        <f t="shared" ref="F39:L39" si="27">SUM(F32:F38)</f>
        <v>41993</v>
      </c>
      <c r="G39" s="50">
        <f t="shared" si="27"/>
        <v>37617</v>
      </c>
      <c r="H39" s="50">
        <f t="shared" si="27"/>
        <v>3753</v>
      </c>
      <c r="I39" s="51">
        <f t="shared" si="24"/>
        <v>8.93720381968423</v>
      </c>
      <c r="J39" s="50">
        <f t="shared" si="27"/>
        <v>37340</v>
      </c>
      <c r="K39" s="50">
        <f t="shared" si="27"/>
        <v>36852</v>
      </c>
      <c r="L39" s="50">
        <f t="shared" si="27"/>
        <v>488</v>
      </c>
      <c r="M39" s="51">
        <f t="shared" si="25"/>
        <v>1.30690948044992</v>
      </c>
      <c r="N39" s="50">
        <f>SUM(N32:N38)</f>
        <v>36853</v>
      </c>
      <c r="O39" s="50">
        <f>SUM(O32:O38)</f>
        <v>36543</v>
      </c>
      <c r="P39" s="50">
        <f>SUM(P32:P38)</f>
        <v>310</v>
      </c>
      <c r="Q39" s="51">
        <f t="shared" si="26"/>
        <v>0.841179822538192</v>
      </c>
      <c r="R39" s="50">
        <f>SUM(R32:R38)</f>
        <v>23983</v>
      </c>
      <c r="S39" s="50">
        <f>SUM(S32:S38)</f>
        <v>1256</v>
      </c>
      <c r="T39" s="50">
        <f>SUM(T32:T38)</f>
        <v>7222</v>
      </c>
      <c r="U39" s="93"/>
      <c r="V39" s="85"/>
      <c r="W39" s="86"/>
    </row>
    <row r="40" ht="16" customHeight="1" spans="1:23">
      <c r="A40" s="60">
        <v>45991</v>
      </c>
      <c r="B40" s="61"/>
      <c r="C40" s="61"/>
      <c r="D40" s="61"/>
      <c r="E40" s="58"/>
      <c r="F40" s="58"/>
      <c r="G40" s="58"/>
      <c r="H40" s="58"/>
      <c r="I40" s="71" t="e">
        <f t="shared" si="24"/>
        <v>#DIV/0!</v>
      </c>
      <c r="J40" s="58"/>
      <c r="K40" s="58"/>
      <c r="L40" s="58"/>
      <c r="M40" s="71" t="e">
        <f t="shared" si="25"/>
        <v>#DIV/0!</v>
      </c>
      <c r="N40" s="58"/>
      <c r="O40" s="58"/>
      <c r="P40" s="58"/>
      <c r="Q40" s="71" t="e">
        <f t="shared" si="26"/>
        <v>#DIV/0!</v>
      </c>
      <c r="R40" s="54"/>
      <c r="S40" s="54"/>
      <c r="T40" s="83">
        <f>H40+L40+P40+S40</f>
        <v>0</v>
      </c>
      <c r="U40" s="93"/>
      <c r="V40" s="85"/>
      <c r="W40" s="86"/>
    </row>
    <row r="41" ht="17" customHeight="1" spans="1:23">
      <c r="A41" s="67" t="s">
        <v>25</v>
      </c>
      <c r="B41" s="68">
        <f>B39+B31+B23+B15+B7</f>
        <v>320041</v>
      </c>
      <c r="C41" s="68">
        <f>C39+C31+C23+C15+C7</f>
        <v>314435</v>
      </c>
      <c r="D41" s="68">
        <f>D39+D31+D23+D15+D7</f>
        <v>11876</v>
      </c>
      <c r="E41" s="68">
        <f>D41/B41*100</f>
        <v>3.71077455700988</v>
      </c>
      <c r="F41" s="68">
        <f>F39+F31+F23+F15+F7</f>
        <v>206957</v>
      </c>
      <c r="G41" s="68">
        <f>G39+G31+G23+G15+G7</f>
        <v>193398</v>
      </c>
      <c r="H41" s="68">
        <f>H39+H31+H23+H15+H7</f>
        <v>11206</v>
      </c>
      <c r="I41" s="68">
        <f t="shared" si="24"/>
        <v>5.41465135269645</v>
      </c>
      <c r="J41" s="68">
        <f t="shared" ref="F41:T41" si="28">J39+J31+J23+J15+J7</f>
        <v>199023</v>
      </c>
      <c r="K41" s="68">
        <f t="shared" si="28"/>
        <v>197107</v>
      </c>
      <c r="L41" s="68">
        <f t="shared" si="28"/>
        <v>1911</v>
      </c>
      <c r="M41" s="68">
        <f t="shared" si="25"/>
        <v>0.960190530742678</v>
      </c>
      <c r="N41" s="68">
        <f t="shared" si="28"/>
        <v>197115</v>
      </c>
      <c r="O41" s="68">
        <f t="shared" si="28"/>
        <v>195157</v>
      </c>
      <c r="P41" s="68">
        <f t="shared" si="28"/>
        <v>2008</v>
      </c>
      <c r="Q41" s="68">
        <f t="shared" si="26"/>
        <v>1.01869467062375</v>
      </c>
      <c r="R41" s="68">
        <f t="shared" si="28"/>
        <v>187724</v>
      </c>
      <c r="S41" s="68">
        <f t="shared" si="28"/>
        <v>6408</v>
      </c>
      <c r="T41" s="68">
        <f t="shared" si="28"/>
        <v>33409</v>
      </c>
      <c r="U41" s="94"/>
      <c r="V41" s="87"/>
      <c r="W41" s="88"/>
    </row>
    <row r="42" ht="27" customHeight="1" spans="1:23">
      <c r="A42" s="69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95" t="s">
        <v>38</v>
      </c>
      <c r="U42" s="96">
        <f>B41</f>
        <v>320041</v>
      </c>
      <c r="V42" s="96">
        <f>T41</f>
        <v>33409</v>
      </c>
      <c r="W42" s="97">
        <f>V42/U42*100</f>
        <v>10.4389750063273</v>
      </c>
    </row>
  </sheetData>
  <mergeCells count="41">
    <mergeCell ref="A3:W3"/>
    <mergeCell ref="U6:W6"/>
    <mergeCell ref="U16:W16"/>
    <mergeCell ref="U24:W24"/>
    <mergeCell ref="U32:W32"/>
    <mergeCell ref="A4:A5"/>
    <mergeCell ref="B4:B5"/>
    <mergeCell ref="C4:C5"/>
    <mergeCell ref="D4:D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U7:U15"/>
    <mergeCell ref="U17:U23"/>
    <mergeCell ref="U25:U31"/>
    <mergeCell ref="U33:U41"/>
    <mergeCell ref="V4:V5"/>
    <mergeCell ref="V7:V15"/>
    <mergeCell ref="V17:V23"/>
    <mergeCell ref="V25:V31"/>
    <mergeCell ref="V33:V41"/>
    <mergeCell ref="W4:W5"/>
    <mergeCell ref="W7:W15"/>
    <mergeCell ref="W17:W23"/>
    <mergeCell ref="W25:W31"/>
    <mergeCell ref="W33:W41"/>
    <mergeCell ref="A1:B2"/>
    <mergeCell ref="C1:W2"/>
  </mergeCells>
  <pageMargins left="0.251388888888889" right="0.251388888888889" top="0.511805555555556" bottom="0.251388888888889" header="0.251388888888889" footer="0.251388888888889"/>
  <pageSetup paperSize="9" scale="66" orientation="landscape" horizontalDpi="600"/>
  <headerFooter>
    <oddFooter>&amp;L&amp;12Checked By:&amp;R&amp;12Approved By: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3"/>
  <sheetViews>
    <sheetView zoomScale="85" zoomScaleNormal="85" workbookViewId="0">
      <selection activeCell="V30" sqref="V30:V36"/>
    </sheetView>
  </sheetViews>
  <sheetFormatPr defaultColWidth="9" defaultRowHeight="15"/>
  <cols>
    <col min="1" max="1" width="11.1428571428571"/>
    <col min="2" max="2" width="10.247619047619" customWidth="1"/>
    <col min="3" max="3" width="10.4190476190476" customWidth="1"/>
    <col min="4" max="4" width="6.54285714285714" customWidth="1"/>
    <col min="5" max="5" width="6.42857142857143" customWidth="1"/>
    <col min="6" max="6" width="7.57142857142857" customWidth="1"/>
    <col min="7" max="7" width="8.97142857142857" customWidth="1"/>
    <col min="8" max="8" width="7.91428571428571" customWidth="1"/>
    <col min="9" max="9" width="6.37142857142857" customWidth="1"/>
    <col min="10" max="10" width="9.57142857142857" customWidth="1"/>
    <col min="11" max="11" width="9.42857142857143" customWidth="1"/>
    <col min="12" max="12" width="7.7047619047619" customWidth="1"/>
    <col min="13" max="13" width="6.8952380952381" customWidth="1"/>
    <col min="14" max="14" width="10.4285714285714" customWidth="1"/>
    <col min="15" max="15" width="11.8571428571429" customWidth="1"/>
    <col min="16" max="16" width="10.8571428571429" customWidth="1"/>
    <col min="17" max="17" width="7.55238095238095" customWidth="1"/>
    <col min="18" max="18" width="10.0761904761905" customWidth="1"/>
    <col min="19" max="19" width="10.1714285714286" customWidth="1"/>
    <col min="20" max="20" width="10.4190476190476" style="30" customWidth="1"/>
    <col min="21" max="21" width="10.1428571428571"/>
    <col min="29" max="29" width="12.8571428571429"/>
  </cols>
  <sheetData>
    <row r="1" spans="1:23">
      <c r="A1" s="31"/>
      <c r="B1" s="32"/>
      <c r="C1" s="33" t="s">
        <v>26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72"/>
    </row>
    <row r="2" ht="67" customHeight="1" spans="1:23">
      <c r="A2" s="35"/>
      <c r="B2" s="36"/>
      <c r="C2" s="3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73"/>
    </row>
    <row r="3" ht="21" customHeight="1" spans="1:23">
      <c r="A3" s="39" t="s">
        <v>42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74"/>
    </row>
    <row r="4" spans="1:23">
      <c r="A4" s="41" t="s">
        <v>2</v>
      </c>
      <c r="B4" s="42" t="s">
        <v>40</v>
      </c>
      <c r="C4" s="42" t="s">
        <v>41</v>
      </c>
      <c r="D4" s="42" t="s">
        <v>5</v>
      </c>
      <c r="E4" s="42"/>
      <c r="F4" s="43" t="s">
        <v>3</v>
      </c>
      <c r="G4" s="43" t="s">
        <v>4</v>
      </c>
      <c r="H4" s="43" t="s">
        <v>5</v>
      </c>
      <c r="I4" s="43" t="s">
        <v>6</v>
      </c>
      <c r="J4" s="43" t="s">
        <v>7</v>
      </c>
      <c r="K4" s="43" t="s">
        <v>8</v>
      </c>
      <c r="L4" s="43" t="s">
        <v>5</v>
      </c>
      <c r="M4" s="43" t="s">
        <v>6</v>
      </c>
      <c r="N4" s="43" t="s">
        <v>9</v>
      </c>
      <c r="O4" s="43" t="s">
        <v>10</v>
      </c>
      <c r="P4" s="43" t="s">
        <v>11</v>
      </c>
      <c r="Q4" s="43" t="s">
        <v>6</v>
      </c>
      <c r="R4" s="75" t="s">
        <v>12</v>
      </c>
      <c r="S4" s="43" t="s">
        <v>13</v>
      </c>
      <c r="T4" s="43" t="s">
        <v>14</v>
      </c>
      <c r="U4" s="43" t="s">
        <v>16</v>
      </c>
      <c r="V4" s="43" t="s">
        <v>17</v>
      </c>
      <c r="W4" s="76" t="s">
        <v>18</v>
      </c>
    </row>
    <row r="5" ht="38" customHeight="1" spans="1:23">
      <c r="A5" s="41"/>
      <c r="B5" s="44"/>
      <c r="C5" s="44"/>
      <c r="D5" s="44"/>
      <c r="E5" s="44" t="s">
        <v>6</v>
      </c>
      <c r="F5" s="43"/>
      <c r="G5" s="45"/>
      <c r="H5" s="45"/>
      <c r="I5" s="43"/>
      <c r="J5" s="43"/>
      <c r="K5" s="45"/>
      <c r="L5" s="45"/>
      <c r="M5" s="45"/>
      <c r="N5" s="45"/>
      <c r="O5" s="45"/>
      <c r="P5" s="45"/>
      <c r="Q5" s="45"/>
      <c r="R5" s="77"/>
      <c r="S5" s="43"/>
      <c r="T5" s="45"/>
      <c r="U5" s="43"/>
      <c r="V5" s="43"/>
      <c r="W5" s="76"/>
    </row>
    <row r="6" ht="16" customHeight="1" spans="1:23">
      <c r="A6" s="46">
        <v>45992</v>
      </c>
      <c r="B6" s="47">
        <v>12968</v>
      </c>
      <c r="C6" s="47">
        <v>12703</v>
      </c>
      <c r="D6" s="47">
        <f>B6-C6</f>
        <v>265</v>
      </c>
      <c r="E6" s="48">
        <f t="shared" ref="E6:E11" si="0">D6/B6*100</f>
        <v>2.04349167180753</v>
      </c>
      <c r="F6" s="47">
        <v>6742</v>
      </c>
      <c r="G6" s="47">
        <v>5826</v>
      </c>
      <c r="H6" s="47">
        <v>824</v>
      </c>
      <c r="I6" s="48">
        <f t="shared" ref="I6:I11" si="1">H6/F6*100</f>
        <v>12.2218926134678</v>
      </c>
      <c r="J6" s="47">
        <v>5518</v>
      </c>
      <c r="K6" s="47">
        <v>5274</v>
      </c>
      <c r="L6" s="47">
        <v>244</v>
      </c>
      <c r="M6" s="48">
        <f t="shared" ref="M6:M11" si="2">L6/J6*100</f>
        <v>4.4218919898514</v>
      </c>
      <c r="N6" s="47">
        <v>5276</v>
      </c>
      <c r="O6" s="47">
        <v>5177</v>
      </c>
      <c r="P6" s="47">
        <v>99</v>
      </c>
      <c r="Q6" s="48">
        <f t="shared" ref="Q6:Q11" si="3">P6/N6*100</f>
        <v>1.87642153146323</v>
      </c>
      <c r="R6" s="57">
        <v>5806</v>
      </c>
      <c r="S6" s="47">
        <v>639</v>
      </c>
      <c r="T6" s="78">
        <f>D6+H6+L6+P6+S6</f>
        <v>2071</v>
      </c>
      <c r="U6" s="79" t="s">
        <v>19</v>
      </c>
      <c r="V6" s="79"/>
      <c r="W6" s="79"/>
    </row>
    <row r="7" ht="16" customHeight="1" spans="1:23">
      <c r="A7" s="46">
        <v>45993</v>
      </c>
      <c r="B7" s="47">
        <v>10431</v>
      </c>
      <c r="C7" s="47">
        <v>10252</v>
      </c>
      <c r="D7" s="47">
        <f>B7-C7</f>
        <v>179</v>
      </c>
      <c r="E7" s="48">
        <f t="shared" si="0"/>
        <v>1.71603873070655</v>
      </c>
      <c r="F7" s="47">
        <v>6368</v>
      </c>
      <c r="G7" s="47">
        <v>5785</v>
      </c>
      <c r="H7" s="47">
        <v>499</v>
      </c>
      <c r="I7" s="48">
        <f t="shared" si="1"/>
        <v>7.83605527638191</v>
      </c>
      <c r="J7" s="47">
        <v>4946</v>
      </c>
      <c r="K7" s="47">
        <v>4842</v>
      </c>
      <c r="L7" s="47">
        <v>104</v>
      </c>
      <c r="M7" s="48">
        <f t="shared" si="2"/>
        <v>2.10270926000809</v>
      </c>
      <c r="N7" s="47">
        <v>6488</v>
      </c>
      <c r="O7" s="47">
        <v>6358</v>
      </c>
      <c r="P7" s="47">
        <v>130</v>
      </c>
      <c r="Q7" s="48">
        <f t="shared" si="3"/>
        <v>2.00369913686806</v>
      </c>
      <c r="R7" s="57">
        <v>3045</v>
      </c>
      <c r="S7" s="47">
        <v>232</v>
      </c>
      <c r="T7" s="78">
        <f>D7+H7+L7+P7+S7</f>
        <v>1144</v>
      </c>
      <c r="U7" s="80">
        <f>B12</f>
        <v>78479</v>
      </c>
      <c r="V7" s="80">
        <f>T12</f>
        <v>7543</v>
      </c>
      <c r="W7" s="80">
        <f>V7/U7*100</f>
        <v>9.61148842365474</v>
      </c>
    </row>
    <row r="8" ht="16" customHeight="1" spans="1:23">
      <c r="A8" s="46">
        <v>45994</v>
      </c>
      <c r="B8" s="47">
        <v>11491</v>
      </c>
      <c r="C8" s="47">
        <v>11209</v>
      </c>
      <c r="D8" s="47">
        <f>B8-C8</f>
        <v>282</v>
      </c>
      <c r="E8" s="48">
        <f t="shared" si="0"/>
        <v>2.45409450874597</v>
      </c>
      <c r="F8" s="47">
        <v>0</v>
      </c>
      <c r="G8" s="47">
        <v>0</v>
      </c>
      <c r="H8" s="47">
        <v>0</v>
      </c>
      <c r="I8" s="48" t="e">
        <f t="shared" si="1"/>
        <v>#DIV/0!</v>
      </c>
      <c r="J8" s="47">
        <v>0</v>
      </c>
      <c r="K8" s="47">
        <v>0</v>
      </c>
      <c r="L8" s="47">
        <v>0</v>
      </c>
      <c r="M8" s="48" t="e">
        <f t="shared" si="2"/>
        <v>#DIV/0!</v>
      </c>
      <c r="N8" s="47">
        <v>0</v>
      </c>
      <c r="O8" s="47">
        <v>0</v>
      </c>
      <c r="P8" s="47">
        <v>0</v>
      </c>
      <c r="Q8" s="48" t="e">
        <f t="shared" si="3"/>
        <v>#DIV/0!</v>
      </c>
      <c r="R8" s="57">
        <v>11165</v>
      </c>
      <c r="S8" s="47">
        <v>168</v>
      </c>
      <c r="T8" s="78">
        <f t="shared" ref="T6:T11" si="4">D8+H8+L8+P8+S8</f>
        <v>450</v>
      </c>
      <c r="U8" s="81"/>
      <c r="V8" s="81"/>
      <c r="W8" s="81"/>
    </row>
    <row r="9" ht="16" customHeight="1" spans="1:23">
      <c r="A9" s="46">
        <v>45995</v>
      </c>
      <c r="B9" s="47">
        <v>14130</v>
      </c>
      <c r="C9" s="47">
        <v>13931</v>
      </c>
      <c r="D9" s="47">
        <f t="shared" ref="D9:D14" si="5">B9-C9</f>
        <v>199</v>
      </c>
      <c r="E9" s="48">
        <f t="shared" si="0"/>
        <v>1.40835102618542</v>
      </c>
      <c r="F9" s="47">
        <v>4174</v>
      </c>
      <c r="G9" s="47">
        <v>3527</v>
      </c>
      <c r="H9" s="47">
        <v>423</v>
      </c>
      <c r="I9" s="48">
        <f t="shared" si="1"/>
        <v>10.134163871586</v>
      </c>
      <c r="J9" s="47">
        <v>5882</v>
      </c>
      <c r="K9" s="47">
        <v>5805</v>
      </c>
      <c r="L9" s="47">
        <v>77</v>
      </c>
      <c r="M9" s="48">
        <f t="shared" si="2"/>
        <v>1.30907854471268</v>
      </c>
      <c r="N9" s="47">
        <v>5805</v>
      </c>
      <c r="O9" s="47">
        <v>5745</v>
      </c>
      <c r="P9" s="47">
        <v>60</v>
      </c>
      <c r="Q9" s="48">
        <f t="shared" si="3"/>
        <v>1.03359173126615</v>
      </c>
      <c r="R9" s="57">
        <v>8246</v>
      </c>
      <c r="S9" s="47">
        <v>444</v>
      </c>
      <c r="T9" s="78">
        <f t="shared" si="4"/>
        <v>1203</v>
      </c>
      <c r="U9" s="81"/>
      <c r="V9" s="81"/>
      <c r="W9" s="81"/>
    </row>
    <row r="10" ht="16" customHeight="1" spans="1:23">
      <c r="A10" s="46">
        <v>45996</v>
      </c>
      <c r="B10" s="47">
        <v>14902</v>
      </c>
      <c r="C10" s="47">
        <v>14689</v>
      </c>
      <c r="D10" s="47">
        <f t="shared" si="5"/>
        <v>213</v>
      </c>
      <c r="E10" s="48">
        <f t="shared" si="0"/>
        <v>1.42933834384646</v>
      </c>
      <c r="F10" s="47">
        <v>7237</v>
      </c>
      <c r="G10" s="47">
        <v>5946</v>
      </c>
      <c r="H10" s="47">
        <v>936</v>
      </c>
      <c r="I10" s="48">
        <f t="shared" si="1"/>
        <v>12.9335359955783</v>
      </c>
      <c r="J10" s="47">
        <v>6903</v>
      </c>
      <c r="K10" s="47">
        <v>6887</v>
      </c>
      <c r="L10" s="47">
        <v>16</v>
      </c>
      <c r="M10" s="48">
        <f t="shared" si="2"/>
        <v>0.23178328263074</v>
      </c>
      <c r="N10" s="47">
        <v>6889</v>
      </c>
      <c r="O10" s="47">
        <v>6812</v>
      </c>
      <c r="P10" s="47">
        <v>87</v>
      </c>
      <c r="Q10" s="48">
        <f t="shared" si="3"/>
        <v>1.26288285672812</v>
      </c>
      <c r="R10" s="57">
        <v>5064</v>
      </c>
      <c r="S10" s="47">
        <v>153</v>
      </c>
      <c r="T10" s="78">
        <f t="shared" si="4"/>
        <v>1405</v>
      </c>
      <c r="U10" s="81"/>
      <c r="V10" s="81"/>
      <c r="W10" s="81"/>
    </row>
    <row r="11" ht="16" customHeight="1" spans="1:23">
      <c r="A11" s="46">
        <v>45997</v>
      </c>
      <c r="B11" s="47">
        <v>14557</v>
      </c>
      <c r="C11" s="47">
        <v>14272</v>
      </c>
      <c r="D11" s="47">
        <f t="shared" si="5"/>
        <v>285</v>
      </c>
      <c r="E11" s="48">
        <f t="shared" si="0"/>
        <v>1.95782097959744</v>
      </c>
      <c r="F11" s="47">
        <v>9097</v>
      </c>
      <c r="G11" s="47">
        <v>7793</v>
      </c>
      <c r="H11" s="47">
        <v>821</v>
      </c>
      <c r="I11" s="48">
        <f t="shared" si="1"/>
        <v>9.02495328130153</v>
      </c>
      <c r="J11" s="47">
        <v>7635</v>
      </c>
      <c r="K11" s="47">
        <v>7608</v>
      </c>
      <c r="L11" s="47">
        <v>27</v>
      </c>
      <c r="M11" s="48">
        <f t="shared" si="2"/>
        <v>0.353634577603143</v>
      </c>
      <c r="N11" s="47">
        <v>7608</v>
      </c>
      <c r="O11" s="47">
        <v>7573</v>
      </c>
      <c r="P11" s="47">
        <v>35</v>
      </c>
      <c r="Q11" s="48">
        <f t="shared" si="3"/>
        <v>0.460042060988433</v>
      </c>
      <c r="R11" s="57">
        <v>6537</v>
      </c>
      <c r="S11" s="47">
        <v>102</v>
      </c>
      <c r="T11" s="78">
        <f t="shared" si="4"/>
        <v>1270</v>
      </c>
      <c r="U11" s="81"/>
      <c r="V11" s="81"/>
      <c r="W11" s="81"/>
    </row>
    <row r="12" ht="16" customHeight="1" spans="1:23">
      <c r="A12" s="49" t="s">
        <v>29</v>
      </c>
      <c r="B12" s="50">
        <f>SUM(B6:B11)</f>
        <v>78479</v>
      </c>
      <c r="C12" s="50">
        <f>SUM(C6:C11)</f>
        <v>77056</v>
      </c>
      <c r="D12" s="50">
        <f>SUM(D6:D11)</f>
        <v>1423</v>
      </c>
      <c r="E12" s="51">
        <f t="shared" ref="E12:E20" si="6">D12/B12*100</f>
        <v>1.81322391977472</v>
      </c>
      <c r="F12" s="50">
        <f>SUM(F6:F11)</f>
        <v>33618</v>
      </c>
      <c r="G12" s="50">
        <f>SUM(G6:G11)</f>
        <v>28877</v>
      </c>
      <c r="H12" s="50">
        <f>SUM(H6:H11)</f>
        <v>3503</v>
      </c>
      <c r="I12" s="51">
        <f t="shared" ref="I12:I45" si="7">H12/F12*100</f>
        <v>10.4200130882265</v>
      </c>
      <c r="J12" s="50">
        <f>SUM(J6:J11)</f>
        <v>30884</v>
      </c>
      <c r="K12" s="50">
        <f>SUM(K6:K11)</f>
        <v>30416</v>
      </c>
      <c r="L12" s="50">
        <f>SUM(L6:L11)</f>
        <v>468</v>
      </c>
      <c r="M12" s="51">
        <f t="shared" ref="M12:M45" si="8">L12/J12*100</f>
        <v>1.51534775288175</v>
      </c>
      <c r="N12" s="50">
        <f>SUM(N6:N11)</f>
        <v>32066</v>
      </c>
      <c r="O12" s="50">
        <f>SUM(O6:O11)</f>
        <v>31665</v>
      </c>
      <c r="P12" s="50">
        <f>SUM(P6:P11)</f>
        <v>411</v>
      </c>
      <c r="Q12" s="51">
        <f t="shared" ref="Q12:Q45" si="9">P12/N12*100</f>
        <v>1.28173142892784</v>
      </c>
      <c r="R12" s="50">
        <f>SUM(R6:R11)</f>
        <v>39863</v>
      </c>
      <c r="S12" s="50">
        <f>SUM(S6:S11)</f>
        <v>1738</v>
      </c>
      <c r="T12" s="82">
        <f>SUM(T6:T11)</f>
        <v>7543</v>
      </c>
      <c r="U12" s="81"/>
      <c r="V12" s="81"/>
      <c r="W12" s="81"/>
    </row>
    <row r="13" ht="16" customHeight="1" spans="1:23">
      <c r="A13" s="52">
        <v>45998</v>
      </c>
      <c r="B13" s="53"/>
      <c r="C13" s="53"/>
      <c r="D13" s="53"/>
      <c r="E13" s="54"/>
      <c r="F13" s="54"/>
      <c r="G13" s="54"/>
      <c r="H13" s="54"/>
      <c r="I13" s="71" t="e">
        <f t="shared" si="7"/>
        <v>#DIV/0!</v>
      </c>
      <c r="J13" s="54"/>
      <c r="K13" s="54"/>
      <c r="L13" s="54"/>
      <c r="M13" s="71" t="e">
        <f t="shared" si="8"/>
        <v>#DIV/0!</v>
      </c>
      <c r="N13" s="54"/>
      <c r="O13" s="54"/>
      <c r="P13" s="54"/>
      <c r="Q13" s="71" t="e">
        <f t="shared" si="9"/>
        <v>#DIV/0!</v>
      </c>
      <c r="R13" s="54"/>
      <c r="S13" s="54"/>
      <c r="T13" s="83">
        <f t="shared" ref="T9:T19" si="10">D13+H13+L13+P13+S13</f>
        <v>0</v>
      </c>
      <c r="U13" s="79" t="s">
        <v>21</v>
      </c>
      <c r="V13" s="79"/>
      <c r="W13" s="84"/>
    </row>
    <row r="14" ht="17" customHeight="1" spans="1:23">
      <c r="A14" s="55">
        <v>45999</v>
      </c>
      <c r="B14" s="47">
        <v>13401</v>
      </c>
      <c r="C14" s="47">
        <v>13177</v>
      </c>
      <c r="D14" s="47">
        <f>B14-C14</f>
        <v>224</v>
      </c>
      <c r="E14" s="56">
        <f t="shared" si="6"/>
        <v>1.67151705096635</v>
      </c>
      <c r="F14" s="57">
        <v>12238</v>
      </c>
      <c r="G14" s="57">
        <v>11521</v>
      </c>
      <c r="H14" s="57">
        <v>564</v>
      </c>
      <c r="I14" s="56">
        <f t="shared" si="7"/>
        <v>4.60859617584573</v>
      </c>
      <c r="J14" s="57">
        <v>10297</v>
      </c>
      <c r="K14" s="57">
        <v>10292</v>
      </c>
      <c r="L14" s="57">
        <v>5</v>
      </c>
      <c r="M14" s="56">
        <f t="shared" si="8"/>
        <v>0.0485578323783626</v>
      </c>
      <c r="N14" s="57">
        <v>10292</v>
      </c>
      <c r="O14" s="57">
        <v>1024</v>
      </c>
      <c r="P14" s="57">
        <v>52</v>
      </c>
      <c r="Q14" s="56">
        <f t="shared" si="9"/>
        <v>0.505246793626117</v>
      </c>
      <c r="R14" s="57">
        <v>8037</v>
      </c>
      <c r="S14" s="57">
        <v>373</v>
      </c>
      <c r="T14" s="78">
        <f t="shared" si="10"/>
        <v>1218</v>
      </c>
      <c r="U14" s="85">
        <f>B20</f>
        <v>85685</v>
      </c>
      <c r="V14" s="85">
        <f>T20</f>
        <v>22389</v>
      </c>
      <c r="W14" s="86">
        <f>V14/U14*100</f>
        <v>26.1294275544144</v>
      </c>
    </row>
    <row r="15" ht="16" customHeight="1" spans="1:23">
      <c r="A15" s="55">
        <v>46000</v>
      </c>
      <c r="B15" s="47">
        <v>14139</v>
      </c>
      <c r="C15" s="47">
        <v>13940</v>
      </c>
      <c r="D15" s="47">
        <v>2759</v>
      </c>
      <c r="E15" s="56">
        <f t="shared" si="6"/>
        <v>19.5134026451659</v>
      </c>
      <c r="F15" s="15">
        <v>8714</v>
      </c>
      <c r="G15" s="15">
        <v>7840</v>
      </c>
      <c r="H15" s="15">
        <v>650</v>
      </c>
      <c r="I15" s="48">
        <f t="shared" si="7"/>
        <v>7.45926095937572</v>
      </c>
      <c r="J15" s="15">
        <v>9562</v>
      </c>
      <c r="K15" s="15">
        <v>9533</v>
      </c>
      <c r="L15" s="15">
        <v>25</v>
      </c>
      <c r="M15" s="48">
        <f t="shared" si="8"/>
        <v>0.261451579167538</v>
      </c>
      <c r="N15" s="15">
        <v>9549</v>
      </c>
      <c r="O15" s="15">
        <v>9488</v>
      </c>
      <c r="P15" s="15">
        <v>61</v>
      </c>
      <c r="Q15" s="48">
        <f t="shared" si="9"/>
        <v>0.638810346633155</v>
      </c>
      <c r="R15" s="15">
        <v>10712</v>
      </c>
      <c r="S15" s="15">
        <v>151</v>
      </c>
      <c r="T15" s="78">
        <f t="shared" si="10"/>
        <v>3646</v>
      </c>
      <c r="U15" s="85"/>
      <c r="V15" s="85"/>
      <c r="W15" s="86"/>
    </row>
    <row r="16" customFormat="1" ht="16" customHeight="1" spans="1:23">
      <c r="A16" s="55">
        <v>46001</v>
      </c>
      <c r="B16" s="47">
        <v>14765</v>
      </c>
      <c r="C16" s="47">
        <v>14551</v>
      </c>
      <c r="D16" s="47">
        <f>B16-C16</f>
        <v>214</v>
      </c>
      <c r="E16" s="56">
        <f t="shared" si="6"/>
        <v>1.44937351845581</v>
      </c>
      <c r="F16" s="15">
        <v>8310</v>
      </c>
      <c r="G16" s="15">
        <v>7969</v>
      </c>
      <c r="H16" s="15">
        <v>190</v>
      </c>
      <c r="I16" s="48">
        <f t="shared" si="7"/>
        <v>2.28640192539109</v>
      </c>
      <c r="J16" s="15">
        <v>8019</v>
      </c>
      <c r="K16" s="15">
        <v>8012</v>
      </c>
      <c r="L16" s="15">
        <v>7</v>
      </c>
      <c r="M16" s="48">
        <f t="shared" si="8"/>
        <v>0.0872926798852725</v>
      </c>
      <c r="N16" s="15">
        <v>8012</v>
      </c>
      <c r="O16" s="15">
        <v>7822</v>
      </c>
      <c r="P16" s="15">
        <v>190</v>
      </c>
      <c r="Q16" s="48">
        <f t="shared" si="9"/>
        <v>2.37144283574638</v>
      </c>
      <c r="R16" s="15">
        <v>13436</v>
      </c>
      <c r="S16" s="15">
        <v>159</v>
      </c>
      <c r="T16" s="78">
        <f t="shared" si="10"/>
        <v>760</v>
      </c>
      <c r="U16" s="85"/>
      <c r="V16" s="85"/>
      <c r="W16" s="86"/>
    </row>
    <row r="17" customFormat="1" ht="16" customHeight="1" spans="1:28">
      <c r="A17" s="55">
        <v>46002</v>
      </c>
      <c r="B17" s="47">
        <v>14131</v>
      </c>
      <c r="C17" s="47">
        <v>13997</v>
      </c>
      <c r="D17" s="47">
        <v>144</v>
      </c>
      <c r="E17" s="56">
        <f t="shared" si="6"/>
        <v>1.01903616163046</v>
      </c>
      <c r="F17" s="15">
        <v>5994</v>
      </c>
      <c r="G17" s="15">
        <v>5262</v>
      </c>
      <c r="H17" s="15">
        <v>301</v>
      </c>
      <c r="I17" s="48">
        <f t="shared" si="7"/>
        <v>5.02168835502169</v>
      </c>
      <c r="J17" s="15">
        <v>6369</v>
      </c>
      <c r="K17" s="15">
        <v>6300</v>
      </c>
      <c r="L17" s="15">
        <v>69</v>
      </c>
      <c r="M17" s="48">
        <f t="shared" si="8"/>
        <v>1.08337258596326</v>
      </c>
      <c r="N17" s="15">
        <v>6122</v>
      </c>
      <c r="O17" s="15">
        <v>4797</v>
      </c>
      <c r="P17" s="15">
        <v>625</v>
      </c>
      <c r="Q17" s="48">
        <f t="shared" si="9"/>
        <v>10.2090819993466</v>
      </c>
      <c r="R17" s="15">
        <v>10794</v>
      </c>
      <c r="S17" s="15">
        <v>143</v>
      </c>
      <c r="T17" s="78">
        <f t="shared" si="10"/>
        <v>1282</v>
      </c>
      <c r="U17" s="85"/>
      <c r="V17" s="85"/>
      <c r="W17" s="86"/>
      <c r="Z17" s="99"/>
      <c r="AA17" s="99"/>
      <c r="AB17" s="99"/>
    </row>
    <row r="18" customFormat="1" ht="16" customHeight="1" spans="1:23">
      <c r="A18" s="55">
        <v>46003</v>
      </c>
      <c r="B18" s="47">
        <v>15032</v>
      </c>
      <c r="C18" s="47">
        <v>14867</v>
      </c>
      <c r="D18" s="47">
        <v>13417</v>
      </c>
      <c r="E18" s="56">
        <f t="shared" si="6"/>
        <v>89.2562533262374</v>
      </c>
      <c r="F18" s="15">
        <v>12012</v>
      </c>
      <c r="G18" s="15">
        <v>11308</v>
      </c>
      <c r="H18" s="15">
        <v>524</v>
      </c>
      <c r="I18" s="48">
        <f t="shared" si="7"/>
        <v>4.36230436230436</v>
      </c>
      <c r="J18" s="15">
        <v>10454</v>
      </c>
      <c r="K18" s="15">
        <v>10440</v>
      </c>
      <c r="L18" s="15">
        <v>14</v>
      </c>
      <c r="M18" s="48">
        <f t="shared" si="8"/>
        <v>0.133920030610293</v>
      </c>
      <c r="N18" s="15">
        <v>10618</v>
      </c>
      <c r="O18" s="15">
        <v>10049</v>
      </c>
      <c r="P18" s="15">
        <v>269</v>
      </c>
      <c r="Q18" s="48">
        <f t="shared" si="9"/>
        <v>2.53343379167451</v>
      </c>
      <c r="R18" s="15">
        <v>9022</v>
      </c>
      <c r="S18" s="15">
        <v>102</v>
      </c>
      <c r="T18" s="78">
        <f t="shared" si="10"/>
        <v>14326</v>
      </c>
      <c r="U18" s="85"/>
      <c r="V18" s="85"/>
      <c r="W18" s="86"/>
    </row>
    <row r="19" s="29" customFormat="1" ht="16" customHeight="1" spans="1:23">
      <c r="A19" s="55">
        <v>46004</v>
      </c>
      <c r="B19" s="47">
        <v>14217</v>
      </c>
      <c r="C19" s="47">
        <v>14030</v>
      </c>
      <c r="D19" s="47">
        <f t="shared" ref="D17:D27" si="11">B19-C19</f>
        <v>187</v>
      </c>
      <c r="E19" s="56">
        <f t="shared" si="6"/>
        <v>1.31532672153056</v>
      </c>
      <c r="F19" s="15">
        <v>12103</v>
      </c>
      <c r="G19" s="15">
        <v>11193</v>
      </c>
      <c r="H19" s="15">
        <v>541</v>
      </c>
      <c r="I19" s="48">
        <f t="shared" si="7"/>
        <v>4.46996612410146</v>
      </c>
      <c r="J19" s="15">
        <v>11183</v>
      </c>
      <c r="K19" s="15">
        <v>11161</v>
      </c>
      <c r="L19" s="15">
        <v>21</v>
      </c>
      <c r="M19" s="48">
        <f t="shared" si="8"/>
        <v>0.187785030850398</v>
      </c>
      <c r="N19" s="15">
        <v>11161</v>
      </c>
      <c r="O19" s="15">
        <v>11026</v>
      </c>
      <c r="P19" s="15">
        <v>83</v>
      </c>
      <c r="Q19" s="48">
        <f t="shared" si="9"/>
        <v>0.743660962279366</v>
      </c>
      <c r="R19" s="15">
        <v>12664</v>
      </c>
      <c r="S19" s="15">
        <v>325</v>
      </c>
      <c r="T19" s="78">
        <f t="shared" si="10"/>
        <v>1157</v>
      </c>
      <c r="U19" s="85"/>
      <c r="V19" s="85"/>
      <c r="W19" s="86"/>
    </row>
    <row r="20" s="29" customFormat="1" ht="16" customHeight="1" spans="1:23">
      <c r="A20" s="49" t="s">
        <v>29</v>
      </c>
      <c r="B20" s="50">
        <f>SUM(B13:B19)</f>
        <v>85685</v>
      </c>
      <c r="C20" s="50">
        <f>SUM(C13:C19)</f>
        <v>84562</v>
      </c>
      <c r="D20" s="50">
        <f>SUM(D13:D19)</f>
        <v>16945</v>
      </c>
      <c r="E20" s="51">
        <f t="shared" si="6"/>
        <v>19.7759234405088</v>
      </c>
      <c r="F20" s="50">
        <f>SUM(F13:F19)</f>
        <v>59371</v>
      </c>
      <c r="G20" s="50">
        <f>SUM(G13:G19)</f>
        <v>55093</v>
      </c>
      <c r="H20" s="50">
        <f>SUM(H13:H19)</f>
        <v>2770</v>
      </c>
      <c r="I20" s="51">
        <f t="shared" si="7"/>
        <v>4.66557747048222</v>
      </c>
      <c r="J20" s="50">
        <f>SUM(J13:J19)</f>
        <v>55884</v>
      </c>
      <c r="K20" s="50">
        <f>SUM(K13:K19)</f>
        <v>55738</v>
      </c>
      <c r="L20" s="50">
        <f>SUM(L13:L19)</f>
        <v>141</v>
      </c>
      <c r="M20" s="51">
        <f t="shared" si="8"/>
        <v>0.252308353016964</v>
      </c>
      <c r="N20" s="50">
        <f>SUM(N13:N19)</f>
        <v>55754</v>
      </c>
      <c r="O20" s="50">
        <f>SUM(O13:O19)</f>
        <v>44206</v>
      </c>
      <c r="P20" s="50">
        <f>SUM(P13:P19)</f>
        <v>1280</v>
      </c>
      <c r="Q20" s="51">
        <f t="shared" si="9"/>
        <v>2.29579940452703</v>
      </c>
      <c r="R20" s="50">
        <f>SUM(R13:R19)</f>
        <v>64665</v>
      </c>
      <c r="S20" s="50">
        <f>SUM(S13:S19)</f>
        <v>1253</v>
      </c>
      <c r="T20" s="82">
        <f>SUM(T13:T19)</f>
        <v>22389</v>
      </c>
      <c r="U20" s="87"/>
      <c r="V20" s="87"/>
      <c r="W20" s="88"/>
    </row>
    <row r="21" ht="16" customHeight="1" spans="1:27">
      <c r="A21" s="52">
        <v>46005</v>
      </c>
      <c r="B21" s="53"/>
      <c r="C21" s="53"/>
      <c r="D21" s="53"/>
      <c r="E21" s="58"/>
      <c r="F21" s="58"/>
      <c r="G21" s="58"/>
      <c r="H21" s="58"/>
      <c r="I21" s="71" t="e">
        <f t="shared" si="7"/>
        <v>#DIV/0!</v>
      </c>
      <c r="J21" s="58"/>
      <c r="K21" s="58"/>
      <c r="L21" s="58"/>
      <c r="M21" s="71" t="e">
        <f t="shared" si="8"/>
        <v>#DIV/0!</v>
      </c>
      <c r="N21" s="58"/>
      <c r="O21" s="58"/>
      <c r="P21" s="58"/>
      <c r="Q21" s="71" t="e">
        <f t="shared" si="9"/>
        <v>#DIV/0!</v>
      </c>
      <c r="R21" s="54"/>
      <c r="S21" s="54"/>
      <c r="T21" s="83">
        <f>H21+L21+P21+S21</f>
        <v>0</v>
      </c>
      <c r="U21" s="79" t="s">
        <v>22</v>
      </c>
      <c r="V21" s="79"/>
      <c r="W21" s="84"/>
      <c r="Z21" s="99"/>
      <c r="AA21" s="99"/>
    </row>
    <row r="22" ht="17" customHeight="1" spans="1:23">
      <c r="A22" s="59">
        <v>46006</v>
      </c>
      <c r="B22" s="47">
        <v>14987</v>
      </c>
      <c r="C22" s="47">
        <v>14788</v>
      </c>
      <c r="D22" s="47">
        <f t="shared" si="11"/>
        <v>199</v>
      </c>
      <c r="E22" s="56">
        <f t="shared" ref="E22:E28" si="12">D22/B22*100</f>
        <v>1.32781744178288</v>
      </c>
      <c r="F22" s="15">
        <v>9819</v>
      </c>
      <c r="G22" s="15">
        <v>8501</v>
      </c>
      <c r="H22" s="15">
        <v>905</v>
      </c>
      <c r="I22" s="48">
        <f t="shared" si="7"/>
        <v>9.21682452388227</v>
      </c>
      <c r="J22" s="15">
        <v>9323</v>
      </c>
      <c r="K22" s="15">
        <v>9304</v>
      </c>
      <c r="L22" s="15">
        <v>19</v>
      </c>
      <c r="M22" s="48">
        <f t="shared" si="8"/>
        <v>0.203797061031857</v>
      </c>
      <c r="N22" s="15">
        <v>8547</v>
      </c>
      <c r="O22" s="15">
        <v>8318</v>
      </c>
      <c r="P22" s="15">
        <v>193</v>
      </c>
      <c r="Q22" s="48">
        <f t="shared" si="9"/>
        <v>2.25810225810226</v>
      </c>
      <c r="R22" s="15">
        <v>8392</v>
      </c>
      <c r="S22" s="15">
        <v>93</v>
      </c>
      <c r="T22" s="78">
        <f>D22+H22+L22+P22+S22</f>
        <v>1409</v>
      </c>
      <c r="U22" s="89">
        <f>B28</f>
        <v>87677</v>
      </c>
      <c r="V22" s="89">
        <f>SUM(T28)</f>
        <v>11706</v>
      </c>
      <c r="W22" s="90">
        <f>V22/U22*100</f>
        <v>13.351277986245</v>
      </c>
    </row>
    <row r="23" ht="16" customHeight="1" spans="1:23">
      <c r="A23" s="59">
        <v>46007</v>
      </c>
      <c r="B23" s="47">
        <v>14522</v>
      </c>
      <c r="C23" s="47">
        <v>14350</v>
      </c>
      <c r="D23" s="47">
        <f t="shared" si="11"/>
        <v>172</v>
      </c>
      <c r="E23" s="56">
        <f t="shared" si="12"/>
        <v>1.1844098609007</v>
      </c>
      <c r="F23" s="15">
        <v>10616</v>
      </c>
      <c r="G23" s="15">
        <v>10355</v>
      </c>
      <c r="H23" s="15">
        <v>211</v>
      </c>
      <c r="I23" s="48">
        <f t="shared" si="7"/>
        <v>1.98756593820648</v>
      </c>
      <c r="J23" s="15">
        <v>10355</v>
      </c>
      <c r="K23" s="15">
        <v>10334</v>
      </c>
      <c r="L23" s="15">
        <v>21</v>
      </c>
      <c r="M23" s="48">
        <f t="shared" si="8"/>
        <v>0.202800579430227</v>
      </c>
      <c r="N23" s="15">
        <v>11844</v>
      </c>
      <c r="O23" s="15">
        <v>11680</v>
      </c>
      <c r="P23" s="15">
        <v>138</v>
      </c>
      <c r="Q23" s="48">
        <f t="shared" si="9"/>
        <v>1.16514690982776</v>
      </c>
      <c r="R23" s="15">
        <v>18142</v>
      </c>
      <c r="S23" s="15">
        <v>446</v>
      </c>
      <c r="T23" s="78">
        <f>D23+H23+L23+P23+S23</f>
        <v>988</v>
      </c>
      <c r="U23" s="85"/>
      <c r="V23" s="85"/>
      <c r="W23" s="86"/>
    </row>
    <row r="24" customFormat="1" ht="16" customHeight="1" spans="1:23">
      <c r="A24" s="59">
        <v>46008</v>
      </c>
      <c r="B24" s="47">
        <v>14543</v>
      </c>
      <c r="C24" s="47">
        <v>14208</v>
      </c>
      <c r="D24" s="47">
        <f t="shared" si="11"/>
        <v>335</v>
      </c>
      <c r="E24" s="56">
        <f t="shared" si="12"/>
        <v>2.3035137179399</v>
      </c>
      <c r="F24" s="15">
        <v>18552</v>
      </c>
      <c r="G24" s="15">
        <v>17458</v>
      </c>
      <c r="H24" s="15">
        <v>733</v>
      </c>
      <c r="I24" s="48">
        <f t="shared" si="7"/>
        <v>3.95105648986632</v>
      </c>
      <c r="J24" s="15">
        <v>12450</v>
      </c>
      <c r="K24" s="15">
        <v>12418</v>
      </c>
      <c r="L24" s="15">
        <v>30</v>
      </c>
      <c r="M24" s="48">
        <f t="shared" si="8"/>
        <v>0.240963855421687</v>
      </c>
      <c r="N24" s="15">
        <v>8419</v>
      </c>
      <c r="O24" s="15">
        <v>8032</v>
      </c>
      <c r="P24" s="15">
        <v>114</v>
      </c>
      <c r="Q24" s="48">
        <f t="shared" si="9"/>
        <v>1.3540800570139</v>
      </c>
      <c r="R24" s="15">
        <v>11832</v>
      </c>
      <c r="S24" s="15">
        <v>455</v>
      </c>
      <c r="T24" s="78">
        <f t="shared" ref="T22:T27" si="13">D24+H24+L24+P24+S24</f>
        <v>1667</v>
      </c>
      <c r="U24" s="85"/>
      <c r="V24" s="85"/>
      <c r="W24" s="86"/>
    </row>
    <row r="25" customFormat="1" ht="16" customHeight="1" spans="1:23">
      <c r="A25" s="59">
        <v>46009</v>
      </c>
      <c r="B25" s="47">
        <v>14541</v>
      </c>
      <c r="C25" s="47">
        <v>14368</v>
      </c>
      <c r="D25" s="47">
        <f t="shared" si="11"/>
        <v>173</v>
      </c>
      <c r="E25" s="56">
        <f t="shared" si="12"/>
        <v>1.18973935767829</v>
      </c>
      <c r="F25" s="15">
        <v>11312</v>
      </c>
      <c r="G25" s="15">
        <v>10295</v>
      </c>
      <c r="H25" s="15">
        <v>271</v>
      </c>
      <c r="I25" s="48">
        <f t="shared" si="7"/>
        <v>2.39568599717115</v>
      </c>
      <c r="J25" s="15">
        <v>12431</v>
      </c>
      <c r="K25" s="15">
        <v>12419</v>
      </c>
      <c r="L25" s="15">
        <v>12</v>
      </c>
      <c r="M25" s="48">
        <f t="shared" si="8"/>
        <v>0.0965328613948998</v>
      </c>
      <c r="N25" s="15">
        <v>13447</v>
      </c>
      <c r="O25" s="15">
        <v>12232</v>
      </c>
      <c r="P25" s="15">
        <v>1215</v>
      </c>
      <c r="Q25" s="48">
        <f t="shared" si="9"/>
        <v>9.03547259611809</v>
      </c>
      <c r="R25" s="15">
        <v>9702</v>
      </c>
      <c r="S25" s="15">
        <v>618</v>
      </c>
      <c r="T25" s="78">
        <f t="shared" si="13"/>
        <v>2289</v>
      </c>
      <c r="U25" s="85"/>
      <c r="V25" s="85"/>
      <c r="W25" s="86"/>
    </row>
    <row r="26" customFormat="1" ht="16" customHeight="1" spans="1:23">
      <c r="A26" s="59">
        <v>46010</v>
      </c>
      <c r="B26" s="47">
        <v>14542</v>
      </c>
      <c r="C26" s="47">
        <v>14328</v>
      </c>
      <c r="D26" s="47">
        <f t="shared" si="11"/>
        <v>214</v>
      </c>
      <c r="E26" s="56">
        <f t="shared" si="12"/>
        <v>1.47159950488241</v>
      </c>
      <c r="F26" s="15">
        <v>17524</v>
      </c>
      <c r="G26" s="15">
        <v>16477</v>
      </c>
      <c r="H26" s="15">
        <v>530</v>
      </c>
      <c r="I26" s="48">
        <f t="shared" si="7"/>
        <v>3.02442364756905</v>
      </c>
      <c r="J26" s="15">
        <v>12453</v>
      </c>
      <c r="K26" s="15">
        <v>12413</v>
      </c>
      <c r="L26" s="15">
        <v>40</v>
      </c>
      <c r="M26" s="48">
        <f t="shared" si="8"/>
        <v>0.321207741106561</v>
      </c>
      <c r="N26" s="15">
        <v>10466</v>
      </c>
      <c r="O26" s="15">
        <v>8715</v>
      </c>
      <c r="P26" s="15">
        <v>1745</v>
      </c>
      <c r="Q26" s="48">
        <f t="shared" si="9"/>
        <v>16.6730364991401</v>
      </c>
      <c r="R26" s="15">
        <v>12477</v>
      </c>
      <c r="S26" s="15">
        <v>90</v>
      </c>
      <c r="T26" s="78">
        <f t="shared" si="13"/>
        <v>2619</v>
      </c>
      <c r="U26" s="85"/>
      <c r="V26" s="85"/>
      <c r="W26" s="86"/>
    </row>
    <row r="27" s="29" customFormat="1" ht="16" customHeight="1" spans="1:23">
      <c r="A27" s="59">
        <v>46011</v>
      </c>
      <c r="B27" s="47">
        <v>14542</v>
      </c>
      <c r="C27" s="47">
        <v>14346</v>
      </c>
      <c r="D27" s="47">
        <f t="shared" si="11"/>
        <v>196</v>
      </c>
      <c r="E27" s="56">
        <f t="shared" si="12"/>
        <v>1.34782010727548</v>
      </c>
      <c r="F27" s="15">
        <v>9560</v>
      </c>
      <c r="G27" s="15">
        <v>8974</v>
      </c>
      <c r="H27" s="15">
        <v>344</v>
      </c>
      <c r="I27" s="48">
        <f t="shared" si="7"/>
        <v>3.59832635983264</v>
      </c>
      <c r="J27" s="15">
        <v>14969</v>
      </c>
      <c r="K27" s="15">
        <v>14950</v>
      </c>
      <c r="L27" s="15">
        <v>19</v>
      </c>
      <c r="M27" s="48">
        <f t="shared" si="8"/>
        <v>0.126928986572249</v>
      </c>
      <c r="N27" s="15">
        <v>15537</v>
      </c>
      <c r="O27" s="15">
        <v>13575</v>
      </c>
      <c r="P27" s="15">
        <v>1962</v>
      </c>
      <c r="Q27" s="48">
        <f t="shared" si="9"/>
        <v>12.6279204479629</v>
      </c>
      <c r="R27" s="15">
        <v>17361</v>
      </c>
      <c r="S27" s="15">
        <v>213</v>
      </c>
      <c r="T27" s="78">
        <f t="shared" si="13"/>
        <v>2734</v>
      </c>
      <c r="U27" s="85"/>
      <c r="V27" s="85"/>
      <c r="W27" s="86"/>
    </row>
    <row r="28" customFormat="1" ht="16" customHeight="1" spans="1:23">
      <c r="A28" s="49" t="s">
        <v>29</v>
      </c>
      <c r="B28" s="50">
        <f>SUM(B21:B27)</f>
        <v>87677</v>
      </c>
      <c r="C28" s="50">
        <f>SUM(C21:C27)</f>
        <v>86388</v>
      </c>
      <c r="D28" s="50">
        <f>SUM(D21:D27)</f>
        <v>1289</v>
      </c>
      <c r="E28" s="51">
        <f t="shared" si="12"/>
        <v>1.47016891545103</v>
      </c>
      <c r="F28" s="50">
        <f t="shared" ref="B28:H28" si="14">SUM(F21:F27)</f>
        <v>77383</v>
      </c>
      <c r="G28" s="50">
        <f t="shared" si="14"/>
        <v>72060</v>
      </c>
      <c r="H28" s="50">
        <f t="shared" si="14"/>
        <v>2994</v>
      </c>
      <c r="I28" s="51">
        <f t="shared" si="7"/>
        <v>3.86906684930799</v>
      </c>
      <c r="J28" s="50">
        <f t="shared" ref="J28:L28" si="15">SUM(J21:J27)</f>
        <v>71981</v>
      </c>
      <c r="K28" s="50">
        <f t="shared" si="15"/>
        <v>71838</v>
      </c>
      <c r="L28" s="50">
        <f t="shared" si="15"/>
        <v>141</v>
      </c>
      <c r="M28" s="51">
        <f t="shared" si="8"/>
        <v>0.195885025214987</v>
      </c>
      <c r="N28" s="50">
        <f t="shared" ref="N28:P28" si="16">SUM(N21:N27)</f>
        <v>68260</v>
      </c>
      <c r="O28" s="50">
        <f t="shared" si="16"/>
        <v>62552</v>
      </c>
      <c r="P28" s="50">
        <f t="shared" si="16"/>
        <v>5367</v>
      </c>
      <c r="Q28" s="51">
        <f t="shared" si="9"/>
        <v>7.86258423674187</v>
      </c>
      <c r="R28" s="50">
        <f t="shared" ref="R28:T28" si="17">SUM(R21:R27)</f>
        <v>77906</v>
      </c>
      <c r="S28" s="50">
        <f t="shared" si="17"/>
        <v>1915</v>
      </c>
      <c r="T28" s="50">
        <f t="shared" si="17"/>
        <v>11706</v>
      </c>
      <c r="U28" s="87"/>
      <c r="V28" s="87"/>
      <c r="W28" s="88"/>
    </row>
    <row r="29" ht="16" customHeight="1" spans="1:23">
      <c r="A29" s="52">
        <v>46012</v>
      </c>
      <c r="B29" s="53"/>
      <c r="C29" s="53"/>
      <c r="D29" s="53"/>
      <c r="E29" s="58"/>
      <c r="F29" s="58"/>
      <c r="G29" s="58"/>
      <c r="H29" s="58"/>
      <c r="I29" s="71" t="e">
        <f t="shared" si="7"/>
        <v>#DIV/0!</v>
      </c>
      <c r="J29" s="58"/>
      <c r="K29" s="58"/>
      <c r="L29" s="58"/>
      <c r="M29" s="71" t="e">
        <f t="shared" si="8"/>
        <v>#DIV/0!</v>
      </c>
      <c r="N29" s="58"/>
      <c r="O29" s="58"/>
      <c r="P29" s="58"/>
      <c r="Q29" s="71" t="e">
        <f t="shared" si="9"/>
        <v>#DIV/0!</v>
      </c>
      <c r="R29" s="54"/>
      <c r="S29" s="58"/>
      <c r="T29" s="83">
        <f>H29+L29+P29+S29</f>
        <v>0</v>
      </c>
      <c r="U29" s="79" t="s">
        <v>23</v>
      </c>
      <c r="V29" s="79"/>
      <c r="W29" s="84"/>
    </row>
    <row r="30" ht="17" customHeight="1" spans="1:23">
      <c r="A30" s="59">
        <v>46013</v>
      </c>
      <c r="B30" s="47">
        <v>14577</v>
      </c>
      <c r="C30" s="47">
        <v>14289</v>
      </c>
      <c r="D30" s="47">
        <f t="shared" ref="D30:D35" si="18">B30-C30</f>
        <v>288</v>
      </c>
      <c r="E30" s="56">
        <f t="shared" ref="E30:E36" si="19">D30/B30*100</f>
        <v>1.97571516772999</v>
      </c>
      <c r="F30" s="15">
        <v>19600</v>
      </c>
      <c r="G30" s="15">
        <v>15385</v>
      </c>
      <c r="H30" s="15">
        <v>605</v>
      </c>
      <c r="I30" s="56">
        <f t="shared" si="7"/>
        <v>3.08673469387755</v>
      </c>
      <c r="J30" s="15">
        <v>12172</v>
      </c>
      <c r="K30" s="15">
        <v>12165</v>
      </c>
      <c r="L30" s="15">
        <v>7</v>
      </c>
      <c r="M30" s="56">
        <f t="shared" si="8"/>
        <v>0.0575090371344068</v>
      </c>
      <c r="N30" s="15">
        <v>10000</v>
      </c>
      <c r="O30" s="15">
        <v>8407</v>
      </c>
      <c r="P30" s="15">
        <v>1593</v>
      </c>
      <c r="Q30" s="56">
        <f t="shared" si="9"/>
        <v>15.93</v>
      </c>
      <c r="R30" s="15">
        <v>11800</v>
      </c>
      <c r="S30" s="15">
        <v>85</v>
      </c>
      <c r="T30" s="78">
        <f>D30+H30+L30+P30+S30</f>
        <v>2578</v>
      </c>
      <c r="U30" s="89">
        <f>B36</f>
        <v>85562</v>
      </c>
      <c r="V30" s="89">
        <f>SUM(T36)</f>
        <v>19615</v>
      </c>
      <c r="W30" s="90">
        <f>V30/U30*100</f>
        <v>22.9248965662327</v>
      </c>
    </row>
    <row r="31" ht="16" customHeight="1" spans="1:23">
      <c r="A31" s="59">
        <v>46014</v>
      </c>
      <c r="B31" s="47">
        <v>14531</v>
      </c>
      <c r="C31" s="47">
        <v>14287</v>
      </c>
      <c r="D31" s="47">
        <f t="shared" si="18"/>
        <v>244</v>
      </c>
      <c r="E31" s="56">
        <f t="shared" si="19"/>
        <v>1.67916867386966</v>
      </c>
      <c r="F31" s="15">
        <v>19123</v>
      </c>
      <c r="G31" s="15">
        <v>17919</v>
      </c>
      <c r="H31" s="15">
        <v>646</v>
      </c>
      <c r="I31" s="56">
        <f t="shared" si="7"/>
        <v>3.37813104638394</v>
      </c>
      <c r="J31" s="15">
        <v>15112</v>
      </c>
      <c r="K31" s="15">
        <v>15107</v>
      </c>
      <c r="L31" s="15">
        <v>5</v>
      </c>
      <c r="M31" s="56">
        <f t="shared" si="8"/>
        <v>0.0330862890418211</v>
      </c>
      <c r="N31" s="15">
        <v>15615</v>
      </c>
      <c r="O31" s="15">
        <v>13123</v>
      </c>
      <c r="P31" s="15">
        <v>2492</v>
      </c>
      <c r="Q31" s="56">
        <f t="shared" si="9"/>
        <v>15.959013768812</v>
      </c>
      <c r="R31" s="15">
        <v>7667</v>
      </c>
      <c r="S31" s="15">
        <v>30</v>
      </c>
      <c r="T31" s="78">
        <f t="shared" ref="T30:T35" si="20">D31+H31+L31+P31+S31</f>
        <v>3417</v>
      </c>
      <c r="U31" s="85"/>
      <c r="V31" s="85"/>
      <c r="W31" s="86"/>
    </row>
    <row r="32" ht="16" customHeight="1" spans="1:23">
      <c r="A32" s="59">
        <v>46015</v>
      </c>
      <c r="B32" s="47">
        <v>13391</v>
      </c>
      <c r="C32" s="47">
        <v>13119</v>
      </c>
      <c r="D32" s="47">
        <f t="shared" si="18"/>
        <v>272</v>
      </c>
      <c r="E32" s="56">
        <f t="shared" si="19"/>
        <v>2.03121499514599</v>
      </c>
      <c r="F32" s="15">
        <v>19044</v>
      </c>
      <c r="G32" s="15">
        <v>15749</v>
      </c>
      <c r="H32" s="15">
        <v>647</v>
      </c>
      <c r="I32" s="56">
        <f t="shared" si="7"/>
        <v>3.39739550514598</v>
      </c>
      <c r="J32" s="15">
        <v>14559</v>
      </c>
      <c r="K32" s="15">
        <v>14529</v>
      </c>
      <c r="L32" s="15">
        <v>30</v>
      </c>
      <c r="M32" s="56">
        <f t="shared" si="8"/>
        <v>0.206058108386565</v>
      </c>
      <c r="N32" s="15">
        <v>15790</v>
      </c>
      <c r="O32" s="15">
        <v>11969</v>
      </c>
      <c r="P32" s="15">
        <v>3827</v>
      </c>
      <c r="Q32" s="56">
        <f t="shared" si="9"/>
        <v>24.2368587713743</v>
      </c>
      <c r="R32" s="15">
        <v>9414</v>
      </c>
      <c r="S32" s="15">
        <v>27</v>
      </c>
      <c r="T32" s="78">
        <f t="shared" si="20"/>
        <v>4803</v>
      </c>
      <c r="U32" s="85"/>
      <c r="V32" s="85"/>
      <c r="W32" s="86"/>
    </row>
    <row r="33" ht="16" customHeight="1" spans="1:23">
      <c r="A33" s="59">
        <v>46016</v>
      </c>
      <c r="B33" s="47">
        <v>14786</v>
      </c>
      <c r="C33" s="47">
        <v>14583</v>
      </c>
      <c r="D33" s="47">
        <f t="shared" si="18"/>
        <v>203</v>
      </c>
      <c r="E33" s="56">
        <f t="shared" si="19"/>
        <v>1.37292033004193</v>
      </c>
      <c r="F33" s="15">
        <v>16287</v>
      </c>
      <c r="G33" s="15">
        <v>13377</v>
      </c>
      <c r="H33" s="15">
        <v>1450</v>
      </c>
      <c r="I33" s="56">
        <f t="shared" si="7"/>
        <v>8.90280591883097</v>
      </c>
      <c r="J33" s="15">
        <v>14878</v>
      </c>
      <c r="K33" s="15">
        <v>14841</v>
      </c>
      <c r="L33" s="15">
        <v>37</v>
      </c>
      <c r="M33" s="56">
        <f t="shared" si="8"/>
        <v>0.248689339965049</v>
      </c>
      <c r="N33" s="15">
        <v>13731</v>
      </c>
      <c r="O33" s="15">
        <v>11798</v>
      </c>
      <c r="P33" s="15">
        <v>1933</v>
      </c>
      <c r="Q33" s="56">
        <f t="shared" si="9"/>
        <v>14.0776345495594</v>
      </c>
      <c r="R33" s="15">
        <v>10983</v>
      </c>
      <c r="S33" s="15">
        <v>27</v>
      </c>
      <c r="T33" s="78">
        <f t="shared" si="20"/>
        <v>3650</v>
      </c>
      <c r="U33" s="85"/>
      <c r="V33" s="85"/>
      <c r="W33" s="86"/>
    </row>
    <row r="34" ht="16" customHeight="1" spans="1:23">
      <c r="A34" s="59">
        <v>46017</v>
      </c>
      <c r="B34" s="47">
        <v>13237</v>
      </c>
      <c r="C34" s="47">
        <v>13080</v>
      </c>
      <c r="D34" s="47">
        <f t="shared" si="18"/>
        <v>157</v>
      </c>
      <c r="E34" s="56">
        <f t="shared" si="19"/>
        <v>1.18606935106142</v>
      </c>
      <c r="F34" s="15">
        <v>17625</v>
      </c>
      <c r="G34" s="15">
        <v>14380</v>
      </c>
      <c r="H34" s="15">
        <v>754</v>
      </c>
      <c r="I34" s="56">
        <f t="shared" si="7"/>
        <v>4.27801418439716</v>
      </c>
      <c r="J34" s="15">
        <v>16825</v>
      </c>
      <c r="K34" s="15">
        <v>16772</v>
      </c>
      <c r="L34" s="15">
        <v>53</v>
      </c>
      <c r="M34" s="56">
        <f t="shared" si="8"/>
        <v>0.315007429420505</v>
      </c>
      <c r="N34" s="15">
        <v>18108</v>
      </c>
      <c r="O34" s="15">
        <v>16531</v>
      </c>
      <c r="P34" s="15">
        <v>1577</v>
      </c>
      <c r="Q34" s="56">
        <f t="shared" si="9"/>
        <v>8.70885796333113</v>
      </c>
      <c r="R34" s="15">
        <v>10992</v>
      </c>
      <c r="S34" s="15">
        <v>106</v>
      </c>
      <c r="T34" s="78">
        <f t="shared" si="20"/>
        <v>2647</v>
      </c>
      <c r="U34" s="85"/>
      <c r="V34" s="85"/>
      <c r="W34" s="86"/>
    </row>
    <row r="35" ht="16" customHeight="1" spans="1:23">
      <c r="A35" s="59">
        <v>46018</v>
      </c>
      <c r="B35" s="47">
        <v>15040</v>
      </c>
      <c r="C35" s="47">
        <v>14892</v>
      </c>
      <c r="D35" s="47">
        <f t="shared" si="18"/>
        <v>148</v>
      </c>
      <c r="E35" s="56">
        <f t="shared" si="19"/>
        <v>0.984042553191489</v>
      </c>
      <c r="F35" s="15">
        <v>19434</v>
      </c>
      <c r="G35" s="15">
        <v>16312</v>
      </c>
      <c r="H35" s="15">
        <v>951</v>
      </c>
      <c r="I35" s="56">
        <f t="shared" si="7"/>
        <v>4.8934856437172</v>
      </c>
      <c r="J35" s="15">
        <v>10873</v>
      </c>
      <c r="K35" s="15">
        <v>10857</v>
      </c>
      <c r="L35" s="15">
        <v>16</v>
      </c>
      <c r="M35" s="56">
        <f t="shared" si="8"/>
        <v>0.14715349949416</v>
      </c>
      <c r="N35" s="15">
        <v>13065</v>
      </c>
      <c r="O35" s="15">
        <v>11830</v>
      </c>
      <c r="P35" s="15">
        <v>1235</v>
      </c>
      <c r="Q35" s="56">
        <f t="shared" si="9"/>
        <v>9.45273631840796</v>
      </c>
      <c r="R35" s="15">
        <v>14328</v>
      </c>
      <c r="S35" s="15">
        <v>170</v>
      </c>
      <c r="T35" s="78">
        <f t="shared" si="20"/>
        <v>2520</v>
      </c>
      <c r="U35" s="85"/>
      <c r="V35" s="85"/>
      <c r="W35" s="86"/>
    </row>
    <row r="36" ht="16" customHeight="1" spans="1:23">
      <c r="A36" s="49" t="s">
        <v>29</v>
      </c>
      <c r="B36" s="50">
        <f>SUM(B29:B35)</f>
        <v>85562</v>
      </c>
      <c r="C36" s="50">
        <f t="shared" ref="B36:H36" si="21">SUM(C29:C35)</f>
        <v>84250</v>
      </c>
      <c r="D36" s="50">
        <f t="shared" si="21"/>
        <v>1312</v>
      </c>
      <c r="E36" s="51">
        <f t="shared" si="19"/>
        <v>1.53339099132793</v>
      </c>
      <c r="F36" s="50">
        <f t="shared" si="21"/>
        <v>111113</v>
      </c>
      <c r="G36" s="50">
        <f t="shared" si="21"/>
        <v>93122</v>
      </c>
      <c r="H36" s="50">
        <f t="shared" si="21"/>
        <v>5053</v>
      </c>
      <c r="I36" s="51">
        <f t="shared" si="7"/>
        <v>4.54762269041426</v>
      </c>
      <c r="J36" s="50">
        <f t="shared" ref="J36:L36" si="22">SUM(J29:J35)</f>
        <v>84419</v>
      </c>
      <c r="K36" s="50">
        <f t="shared" si="22"/>
        <v>84271</v>
      </c>
      <c r="L36" s="50">
        <f t="shared" si="22"/>
        <v>148</v>
      </c>
      <c r="M36" s="51">
        <f t="shared" si="8"/>
        <v>0.175315983368673</v>
      </c>
      <c r="N36" s="50">
        <f t="shared" ref="N36:P36" si="23">SUM(N29:N35)</f>
        <v>86309</v>
      </c>
      <c r="O36" s="50">
        <f t="shared" si="23"/>
        <v>73658</v>
      </c>
      <c r="P36" s="50">
        <f t="shared" si="23"/>
        <v>12657</v>
      </c>
      <c r="Q36" s="51">
        <f t="shared" si="9"/>
        <v>14.6647510688341</v>
      </c>
      <c r="R36" s="50">
        <f>SUM(R29:R35)</f>
        <v>65184</v>
      </c>
      <c r="S36" s="50">
        <f t="shared" ref="R36:T36" si="24">SUM(S29:S35)</f>
        <v>445</v>
      </c>
      <c r="T36" s="50">
        <f t="shared" si="24"/>
        <v>19615</v>
      </c>
      <c r="U36" s="87"/>
      <c r="V36" s="87"/>
      <c r="W36" s="88"/>
    </row>
    <row r="37" ht="16" customHeight="1" spans="1:23">
      <c r="A37" s="60">
        <v>46019</v>
      </c>
      <c r="B37" s="61"/>
      <c r="C37" s="61"/>
      <c r="D37" s="61"/>
      <c r="E37" s="58"/>
      <c r="F37" s="58"/>
      <c r="G37" s="58"/>
      <c r="H37" s="58"/>
      <c r="I37" s="71" t="e">
        <f t="shared" si="7"/>
        <v>#DIV/0!</v>
      </c>
      <c r="J37" s="58"/>
      <c r="K37" s="58"/>
      <c r="L37" s="58"/>
      <c r="M37" s="71" t="e">
        <f t="shared" si="8"/>
        <v>#DIV/0!</v>
      </c>
      <c r="N37" s="58"/>
      <c r="O37" s="58"/>
      <c r="P37" s="58"/>
      <c r="Q37" s="71" t="e">
        <f t="shared" si="9"/>
        <v>#DIV/0!</v>
      </c>
      <c r="R37" s="54"/>
      <c r="S37" s="54"/>
      <c r="T37" s="83">
        <f>H37+L37+P37+S37</f>
        <v>0</v>
      </c>
      <c r="U37" s="79" t="s">
        <v>24</v>
      </c>
      <c r="V37" s="79"/>
      <c r="W37" s="84"/>
    </row>
    <row r="38" ht="17" customHeight="1" spans="1:23">
      <c r="A38" s="65">
        <v>46020</v>
      </c>
      <c r="B38" s="47">
        <v>14980</v>
      </c>
      <c r="C38" s="47">
        <v>14449</v>
      </c>
      <c r="D38" s="47">
        <f>B38-C38</f>
        <v>531</v>
      </c>
      <c r="E38" s="56">
        <f>D38/B38*100</f>
        <v>3.54472630173565</v>
      </c>
      <c r="F38" s="66">
        <v>10715</v>
      </c>
      <c r="G38" s="66">
        <v>10073</v>
      </c>
      <c r="H38" s="66">
        <v>281</v>
      </c>
      <c r="I38" s="56">
        <f t="shared" si="7"/>
        <v>2.62249183387774</v>
      </c>
      <c r="J38" s="66">
        <v>16602</v>
      </c>
      <c r="K38" s="66">
        <v>16565</v>
      </c>
      <c r="L38" s="66">
        <v>37</v>
      </c>
      <c r="M38" s="56">
        <f t="shared" si="8"/>
        <v>0.222864715094567</v>
      </c>
      <c r="N38" s="66">
        <v>12940</v>
      </c>
      <c r="O38" s="66">
        <v>10353</v>
      </c>
      <c r="P38" s="66">
        <v>2587</v>
      </c>
      <c r="Q38" s="56">
        <f t="shared" si="9"/>
        <v>19.9922720247295</v>
      </c>
      <c r="R38" s="57">
        <v>9428</v>
      </c>
      <c r="S38" s="57">
        <v>43</v>
      </c>
      <c r="T38" s="78">
        <f>D38+H38+L38+P38+S38</f>
        <v>3479</v>
      </c>
      <c r="U38" s="93">
        <f>B41</f>
        <v>41760</v>
      </c>
      <c r="V38" s="85">
        <f>SUM(T41)</f>
        <v>13308</v>
      </c>
      <c r="W38" s="86">
        <f>V38/U38*100</f>
        <v>31.867816091954</v>
      </c>
    </row>
    <row r="39" ht="17" customHeight="1" spans="1:23">
      <c r="A39" s="65">
        <v>46021</v>
      </c>
      <c r="B39" s="47">
        <v>13386</v>
      </c>
      <c r="C39" s="47">
        <v>13121</v>
      </c>
      <c r="D39" s="47">
        <f>B39-C39</f>
        <v>265</v>
      </c>
      <c r="E39" s="56">
        <f>D39/B39*100</f>
        <v>1.9796802629613</v>
      </c>
      <c r="F39" s="66">
        <v>19266</v>
      </c>
      <c r="G39" s="66">
        <v>18047</v>
      </c>
      <c r="H39" s="66">
        <v>555</v>
      </c>
      <c r="I39" s="56">
        <f t="shared" si="7"/>
        <v>2.88072251635005</v>
      </c>
      <c r="J39" s="66">
        <v>11537</v>
      </c>
      <c r="K39" s="66">
        <v>11521</v>
      </c>
      <c r="L39" s="66">
        <v>16</v>
      </c>
      <c r="M39" s="56">
        <f t="shared" si="8"/>
        <v>0.138684233336223</v>
      </c>
      <c r="N39" s="66">
        <v>15410</v>
      </c>
      <c r="O39" s="66">
        <v>10383</v>
      </c>
      <c r="P39" s="66">
        <v>5027</v>
      </c>
      <c r="Q39" s="56">
        <f t="shared" si="9"/>
        <v>32.6216742375081</v>
      </c>
      <c r="R39" s="57">
        <v>8103</v>
      </c>
      <c r="S39" s="57">
        <v>32</v>
      </c>
      <c r="T39" s="78">
        <f>D39+H39+L39+P39+S39</f>
        <v>5895</v>
      </c>
      <c r="U39" s="93"/>
      <c r="V39" s="85"/>
      <c r="W39" s="86"/>
    </row>
    <row r="40" ht="17" customHeight="1" spans="1:23">
      <c r="A40" s="65">
        <v>46022</v>
      </c>
      <c r="B40" s="47">
        <v>13394</v>
      </c>
      <c r="C40" s="47">
        <v>13191</v>
      </c>
      <c r="D40" s="47">
        <f>B40-C40</f>
        <v>203</v>
      </c>
      <c r="E40" s="56">
        <f>D40/B40*100</f>
        <v>1.51560400179185</v>
      </c>
      <c r="F40" s="66">
        <v>15691</v>
      </c>
      <c r="G40" s="66">
        <v>15030</v>
      </c>
      <c r="H40" s="66">
        <v>448</v>
      </c>
      <c r="I40" s="56">
        <f t="shared" si="7"/>
        <v>2.85513988910841</v>
      </c>
      <c r="J40" s="66">
        <v>13441</v>
      </c>
      <c r="K40" s="66">
        <v>13411</v>
      </c>
      <c r="L40" s="66">
        <v>30</v>
      </c>
      <c r="M40" s="56">
        <f t="shared" si="8"/>
        <v>0.223197678744141</v>
      </c>
      <c r="N40" s="66">
        <v>8516</v>
      </c>
      <c r="O40" s="66">
        <v>5327</v>
      </c>
      <c r="P40" s="66">
        <v>3189</v>
      </c>
      <c r="Q40" s="56">
        <f t="shared" si="9"/>
        <v>37.4471582902771</v>
      </c>
      <c r="R40" s="57">
        <v>7854</v>
      </c>
      <c r="S40" s="57">
        <v>64</v>
      </c>
      <c r="T40" s="78">
        <f>D40+H40+L40+P40+S40</f>
        <v>3934</v>
      </c>
      <c r="U40" s="93"/>
      <c r="V40" s="85"/>
      <c r="W40" s="86"/>
    </row>
    <row r="41" ht="16" customHeight="1" spans="1:23">
      <c r="A41" s="49" t="s">
        <v>29</v>
      </c>
      <c r="B41" s="50">
        <f>SUM(B37:B40)</f>
        <v>41760</v>
      </c>
      <c r="C41" s="50">
        <f>SUM(C37:C40)</f>
        <v>40761</v>
      </c>
      <c r="D41" s="50">
        <f>SUM(D37:D40)</f>
        <v>999</v>
      </c>
      <c r="E41" s="51">
        <f>D41/B41*100</f>
        <v>2.39224137931034</v>
      </c>
      <c r="F41" s="50">
        <f>SUM(F37:F40)</f>
        <v>45672</v>
      </c>
      <c r="G41" s="50">
        <f>SUM(G37:G40)</f>
        <v>43150</v>
      </c>
      <c r="H41" s="50">
        <f>SUM(H37:H40)</f>
        <v>1284</v>
      </c>
      <c r="I41" s="51">
        <f t="shared" si="7"/>
        <v>2.81135049921177</v>
      </c>
      <c r="J41" s="50">
        <f>SUM(J37:J40)</f>
        <v>41580</v>
      </c>
      <c r="K41" s="50">
        <f>SUM(K37:K40)</f>
        <v>41497</v>
      </c>
      <c r="L41" s="50">
        <f>SUM(L37:L40)</f>
        <v>83</v>
      </c>
      <c r="M41" s="51">
        <f t="shared" si="8"/>
        <v>0.1996151996152</v>
      </c>
      <c r="N41" s="50">
        <f>SUM(N37:N40)</f>
        <v>36866</v>
      </c>
      <c r="O41" s="50">
        <f>SUM(O37:O40)</f>
        <v>26063</v>
      </c>
      <c r="P41" s="50">
        <f>SUM(P37:P40)</f>
        <v>10803</v>
      </c>
      <c r="Q41" s="51">
        <f t="shared" si="9"/>
        <v>29.3034232083763</v>
      </c>
      <c r="R41" s="50">
        <f>SUM(R37:R40)</f>
        <v>25385</v>
      </c>
      <c r="S41" s="50">
        <f>SUM(S37:S40)</f>
        <v>139</v>
      </c>
      <c r="T41" s="50">
        <f>SUM(T37:T40)</f>
        <v>13308</v>
      </c>
      <c r="U41" s="93"/>
      <c r="V41" s="85"/>
      <c r="W41" s="86"/>
    </row>
    <row r="42" ht="17" customHeight="1" spans="1:23">
      <c r="A42" s="67" t="s">
        <v>25</v>
      </c>
      <c r="B42" s="68">
        <f>B41+B36+B28+B20+B12</f>
        <v>379163</v>
      </c>
      <c r="C42" s="68">
        <f>C41+C36+C28+C20+C12</f>
        <v>373017</v>
      </c>
      <c r="D42" s="68">
        <f>D41+D36+D28+D20+D12</f>
        <v>21968</v>
      </c>
      <c r="E42" s="68"/>
      <c r="F42" s="68">
        <f>F41+F36+F28+F20+F12</f>
        <v>327157</v>
      </c>
      <c r="G42" s="68">
        <f>G41+G36+G28+G20+G12</f>
        <v>292302</v>
      </c>
      <c r="H42" s="68">
        <f>H41+H36+H28+H20+H12</f>
        <v>15604</v>
      </c>
      <c r="I42" s="68"/>
      <c r="J42" s="68">
        <f>J41+J36+J28+J20+J12</f>
        <v>284748</v>
      </c>
      <c r="K42" s="68">
        <f>K41+K36+K28+K20+K12</f>
        <v>283760</v>
      </c>
      <c r="L42" s="68">
        <f>L41+L36+L28+L20+L12</f>
        <v>981</v>
      </c>
      <c r="M42" s="68"/>
      <c r="N42" s="68">
        <f t="shared" ref="N42:P42" si="25">N41+N36+N28+N20+N12</f>
        <v>279255</v>
      </c>
      <c r="O42" s="68">
        <f t="shared" si="25"/>
        <v>238144</v>
      </c>
      <c r="P42" s="68">
        <f t="shared" si="25"/>
        <v>30518</v>
      </c>
      <c r="Q42" s="68"/>
      <c r="R42" s="68">
        <f t="shared" ref="R42:T42" si="26">R41+R36+R28+R20+R12</f>
        <v>273003</v>
      </c>
      <c r="S42" s="68">
        <f t="shared" si="26"/>
        <v>5490</v>
      </c>
      <c r="T42" s="68">
        <f t="shared" si="26"/>
        <v>74561</v>
      </c>
      <c r="U42" s="94"/>
      <c r="V42" s="87"/>
      <c r="W42" s="88"/>
    </row>
    <row r="43" ht="27" customHeight="1" spans="1:23">
      <c r="A43" s="69"/>
      <c r="B43" s="70"/>
      <c r="C43" s="70"/>
      <c r="D43" s="10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95" t="s">
        <v>38</v>
      </c>
      <c r="U43" s="101">
        <f>B42</f>
        <v>379163</v>
      </c>
      <c r="V43" s="101">
        <f>T42</f>
        <v>74561</v>
      </c>
      <c r="W43" s="102">
        <f>V43/U43*100</f>
        <v>19.6646297238918</v>
      </c>
    </row>
  </sheetData>
  <mergeCells count="45">
    <mergeCell ref="A3:W3"/>
    <mergeCell ref="U6:W6"/>
    <mergeCell ref="U13:W13"/>
    <mergeCell ref="U21:W21"/>
    <mergeCell ref="U29:W29"/>
    <mergeCell ref="U37:W37"/>
    <mergeCell ref="A4:A5"/>
    <mergeCell ref="B4:B5"/>
    <mergeCell ref="C4:C5"/>
    <mergeCell ref="D4:D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U7:U12"/>
    <mergeCell ref="U14:U20"/>
    <mergeCell ref="U22:U28"/>
    <mergeCell ref="U30:U36"/>
    <mergeCell ref="U38:U42"/>
    <mergeCell ref="V4:V5"/>
    <mergeCell ref="V7:V12"/>
    <mergeCell ref="V14:V20"/>
    <mergeCell ref="V22:V28"/>
    <mergeCell ref="V30:V36"/>
    <mergeCell ref="V38:V42"/>
    <mergeCell ref="W4:W5"/>
    <mergeCell ref="W7:W12"/>
    <mergeCell ref="W14:W20"/>
    <mergeCell ref="W22:W28"/>
    <mergeCell ref="W30:W36"/>
    <mergeCell ref="W38:W42"/>
    <mergeCell ref="A1:B2"/>
    <mergeCell ref="C1:W2"/>
  </mergeCells>
  <pageMargins left="0.251388888888889" right="0.251388888888889" top="0.511805555555556" bottom="0.251388888888889" header="0.251388888888889" footer="0.251388888888889"/>
  <pageSetup paperSize="9" scale="68" orientation="landscape" horizontalDpi="600"/>
  <headerFooter>
    <oddFooter>&amp;L&amp;12Checked By:&amp;R&amp;12Approved By:</oddFooter>
  </headerFooter>
  <ignoredErrors>
    <ignoredError sqref="T24:T27" emptyCellReference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43"/>
  <sheetViews>
    <sheetView tabSelected="1" zoomScale="85" zoomScaleNormal="85" topLeftCell="A7" workbookViewId="0">
      <selection activeCell="Q27" sqref="Q27"/>
    </sheetView>
  </sheetViews>
  <sheetFormatPr defaultColWidth="9" defaultRowHeight="15"/>
  <cols>
    <col min="1" max="1" width="11.1428571428571"/>
    <col min="2" max="2" width="10.247619047619" customWidth="1"/>
    <col min="3" max="3" width="10.4190476190476" customWidth="1"/>
    <col min="4" max="4" width="6.54285714285714" customWidth="1"/>
    <col min="5" max="5" width="6.42857142857143" customWidth="1"/>
    <col min="6" max="6" width="7.57142857142857" customWidth="1"/>
    <col min="7" max="7" width="9.71428571428571" customWidth="1"/>
    <col min="8" max="8" width="10.1428571428571"/>
    <col min="9" max="9" width="6.37142857142857" customWidth="1"/>
    <col min="10" max="10" width="9.57142857142857" customWidth="1"/>
    <col min="11" max="11" width="9.42857142857143" customWidth="1"/>
    <col min="13" max="13" width="6.8952380952381" customWidth="1"/>
    <col min="14" max="14" width="10.4285714285714" customWidth="1"/>
    <col min="15" max="15" width="11.8571428571429" customWidth="1"/>
    <col min="16" max="16" width="10.8571428571429" customWidth="1"/>
    <col min="17" max="17" width="9.57142857142857" customWidth="1"/>
    <col min="18" max="18" width="10.0761904761905" customWidth="1"/>
    <col min="19" max="20" width="11.2666666666667" customWidth="1"/>
    <col min="21" max="21" width="10.4190476190476" style="30" customWidth="1"/>
    <col min="22" max="22" width="10.1428571428571"/>
    <col min="27" max="27" width="9.85714285714286"/>
    <col min="30" max="30" width="12.8571428571429"/>
  </cols>
  <sheetData>
    <row r="1" spans="1:24">
      <c r="A1" s="31"/>
      <c r="B1" s="32"/>
      <c r="C1" s="33" t="s">
        <v>26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72"/>
    </row>
    <row r="2" ht="67" customHeight="1" spans="1:24">
      <c r="A2" s="35"/>
      <c r="B2" s="36"/>
      <c r="C2" s="3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73"/>
    </row>
    <row r="3" ht="21" customHeight="1" spans="1:24">
      <c r="A3" s="39" t="s">
        <v>43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74"/>
    </row>
    <row r="4" spans="1:24">
      <c r="A4" s="41" t="s">
        <v>2</v>
      </c>
      <c r="B4" s="42" t="s">
        <v>40</v>
      </c>
      <c r="C4" s="42" t="s">
        <v>41</v>
      </c>
      <c r="D4" s="42" t="s">
        <v>5</v>
      </c>
      <c r="E4" s="42"/>
      <c r="F4" s="43" t="s">
        <v>3</v>
      </c>
      <c r="G4" s="43" t="s">
        <v>4</v>
      </c>
      <c r="H4" s="43" t="s">
        <v>5</v>
      </c>
      <c r="I4" s="43" t="s">
        <v>6</v>
      </c>
      <c r="J4" s="43" t="s">
        <v>7</v>
      </c>
      <c r="K4" s="43" t="s">
        <v>8</v>
      </c>
      <c r="L4" s="43" t="s">
        <v>5</v>
      </c>
      <c r="M4" s="43" t="s">
        <v>6</v>
      </c>
      <c r="N4" s="43" t="s">
        <v>9</v>
      </c>
      <c r="O4" s="43" t="s">
        <v>10</v>
      </c>
      <c r="P4" s="43" t="s">
        <v>11</v>
      </c>
      <c r="Q4" s="43" t="s">
        <v>6</v>
      </c>
      <c r="R4" s="75" t="s">
        <v>12</v>
      </c>
      <c r="S4" s="75" t="s">
        <v>44</v>
      </c>
      <c r="T4" s="43" t="s">
        <v>13</v>
      </c>
      <c r="U4" s="43" t="s">
        <v>14</v>
      </c>
      <c r="V4" s="43" t="s">
        <v>16</v>
      </c>
      <c r="W4" s="43" t="s">
        <v>17</v>
      </c>
      <c r="X4" s="76" t="s">
        <v>18</v>
      </c>
    </row>
    <row r="5" ht="38" customHeight="1" spans="1:24">
      <c r="A5" s="41"/>
      <c r="B5" s="44"/>
      <c r="C5" s="44"/>
      <c r="D5" s="44"/>
      <c r="E5" s="44" t="s">
        <v>6</v>
      </c>
      <c r="F5" s="43"/>
      <c r="G5" s="45"/>
      <c r="H5" s="45"/>
      <c r="I5" s="43"/>
      <c r="J5" s="43"/>
      <c r="K5" s="45"/>
      <c r="L5" s="45"/>
      <c r="M5" s="45"/>
      <c r="N5" s="45"/>
      <c r="O5" s="45"/>
      <c r="P5" s="45"/>
      <c r="Q5" s="45"/>
      <c r="R5" s="77"/>
      <c r="S5" s="77"/>
      <c r="T5" s="43"/>
      <c r="U5" s="45"/>
      <c r="V5" s="43"/>
      <c r="W5" s="43"/>
      <c r="X5" s="76"/>
    </row>
    <row r="6" ht="16" customHeight="1" spans="1:24">
      <c r="A6" s="46">
        <v>46023</v>
      </c>
      <c r="B6" s="47">
        <v>14912</v>
      </c>
      <c r="C6" s="47">
        <v>14742</v>
      </c>
      <c r="D6" s="47">
        <v>170</v>
      </c>
      <c r="E6" s="48">
        <f>D6/B6*100</f>
        <v>1.14002145922747</v>
      </c>
      <c r="F6" s="47">
        <v>11003</v>
      </c>
      <c r="G6" s="47">
        <v>10760</v>
      </c>
      <c r="H6" s="47">
        <v>162</v>
      </c>
      <c r="I6" s="48">
        <f t="shared" ref="I6:I24" si="0">H6/F6*100</f>
        <v>1.47232572934654</v>
      </c>
      <c r="J6" s="47">
        <v>7690</v>
      </c>
      <c r="K6" s="47">
        <v>7659</v>
      </c>
      <c r="L6" s="47">
        <v>31</v>
      </c>
      <c r="M6" s="48">
        <f t="shared" ref="M6:M24" si="1">L6/J6*100</f>
        <v>0.403120936280884</v>
      </c>
      <c r="N6" s="47">
        <v>8000</v>
      </c>
      <c r="O6" s="47">
        <v>6686</v>
      </c>
      <c r="P6" s="47">
        <v>1314</v>
      </c>
      <c r="Q6" s="48">
        <f t="shared" ref="Q6:Q24" si="2">P6/N6*100</f>
        <v>16.425</v>
      </c>
      <c r="R6" s="57">
        <v>12094</v>
      </c>
      <c r="S6" s="47">
        <v>11884</v>
      </c>
      <c r="T6" s="47">
        <v>160</v>
      </c>
      <c r="U6" s="78">
        <f>D6+H6+L6+P6+T6</f>
        <v>1837</v>
      </c>
      <c r="V6" s="79" t="s">
        <v>19</v>
      </c>
      <c r="W6" s="79"/>
      <c r="X6" s="79"/>
    </row>
    <row r="7" ht="16" customHeight="1" spans="1:24">
      <c r="A7" s="46">
        <v>46024</v>
      </c>
      <c r="B7" s="47">
        <v>10293</v>
      </c>
      <c r="C7" s="47">
        <v>10139</v>
      </c>
      <c r="D7" s="47">
        <v>154</v>
      </c>
      <c r="E7" s="48">
        <f>D7/B7*100</f>
        <v>1.49616244049354</v>
      </c>
      <c r="F7" s="47">
        <v>7976</v>
      </c>
      <c r="G7" s="47">
        <v>7413</v>
      </c>
      <c r="H7" s="47">
        <v>274</v>
      </c>
      <c r="I7" s="48">
        <f t="shared" si="0"/>
        <v>3.43530591775326</v>
      </c>
      <c r="J7" s="47">
        <v>10009</v>
      </c>
      <c r="K7" s="47">
        <v>10001</v>
      </c>
      <c r="L7" s="47">
        <v>8</v>
      </c>
      <c r="M7" s="48">
        <f t="shared" si="1"/>
        <v>0.0799280647417324</v>
      </c>
      <c r="N7" s="47">
        <v>9659</v>
      </c>
      <c r="O7" s="47">
        <v>7942</v>
      </c>
      <c r="P7" s="47">
        <v>725</v>
      </c>
      <c r="Q7" s="48">
        <f t="shared" si="2"/>
        <v>7.50595299720468</v>
      </c>
      <c r="R7" s="57">
        <v>8345</v>
      </c>
      <c r="S7" s="47">
        <v>8206</v>
      </c>
      <c r="T7" s="47">
        <v>139</v>
      </c>
      <c r="U7" s="78">
        <f>D7+H7+L7+P7+T7</f>
        <v>1300</v>
      </c>
      <c r="V7" s="80">
        <f>B9</f>
        <v>38560</v>
      </c>
      <c r="W7" s="80">
        <f>U9</f>
        <v>3953</v>
      </c>
      <c r="X7" s="80">
        <f>W7/V7*100</f>
        <v>10.2515560165975</v>
      </c>
    </row>
    <row r="8" ht="16" customHeight="1" spans="1:27">
      <c r="A8" s="46">
        <v>46025</v>
      </c>
      <c r="B8" s="47">
        <v>13355</v>
      </c>
      <c r="C8" s="47">
        <v>13182</v>
      </c>
      <c r="D8" s="47">
        <v>173</v>
      </c>
      <c r="E8" s="48">
        <f>D8/B8*100</f>
        <v>1.29539498315238</v>
      </c>
      <c r="F8" s="47">
        <v>8964</v>
      </c>
      <c r="G8" s="47">
        <v>8175</v>
      </c>
      <c r="H8" s="47">
        <v>449</v>
      </c>
      <c r="I8" s="48">
        <f t="shared" si="0"/>
        <v>5.00892458723784</v>
      </c>
      <c r="J8" s="47">
        <v>8304</v>
      </c>
      <c r="K8" s="47">
        <v>8293</v>
      </c>
      <c r="L8" s="47">
        <v>11</v>
      </c>
      <c r="M8" s="48">
        <f t="shared" si="1"/>
        <v>0.132466281310212</v>
      </c>
      <c r="N8" s="47">
        <v>10010</v>
      </c>
      <c r="O8" s="47">
        <v>8311</v>
      </c>
      <c r="P8" s="47">
        <v>121</v>
      </c>
      <c r="Q8" s="48">
        <f t="shared" si="2"/>
        <v>1.20879120879121</v>
      </c>
      <c r="R8" s="57">
        <v>11505</v>
      </c>
      <c r="S8" s="47">
        <v>11338</v>
      </c>
      <c r="T8" s="47">
        <v>62</v>
      </c>
      <c r="U8" s="78">
        <f>D8+H8+L8+P8+T8</f>
        <v>816</v>
      </c>
      <c r="V8" s="81"/>
      <c r="W8" s="81"/>
      <c r="X8" s="81"/>
      <c r="AA8" s="98"/>
    </row>
    <row r="9" ht="16" customHeight="1" spans="1:24">
      <c r="A9" s="49" t="s">
        <v>29</v>
      </c>
      <c r="B9" s="50">
        <f t="shared" ref="B9:H9" si="3">SUM(B6:B8)</f>
        <v>38560</v>
      </c>
      <c r="C9" s="50">
        <f t="shared" si="3"/>
        <v>38063</v>
      </c>
      <c r="D9" s="50">
        <f t="shared" si="3"/>
        <v>497</v>
      </c>
      <c r="E9" s="51">
        <f>D9/B9*100</f>
        <v>1.28890041493776</v>
      </c>
      <c r="F9" s="50">
        <f t="shared" si="3"/>
        <v>27943</v>
      </c>
      <c r="G9" s="50">
        <f t="shared" si="3"/>
        <v>26348</v>
      </c>
      <c r="H9" s="50">
        <f t="shared" si="3"/>
        <v>885</v>
      </c>
      <c r="I9" s="51">
        <f t="shared" si="0"/>
        <v>3.16716172207709</v>
      </c>
      <c r="J9" s="50">
        <f>SUM(J6:J8)</f>
        <v>26003</v>
      </c>
      <c r="K9" s="50">
        <f>SUM(K6:K8)</f>
        <v>25953</v>
      </c>
      <c r="L9" s="50">
        <f>SUM(L6:L8)</f>
        <v>50</v>
      </c>
      <c r="M9" s="51">
        <f t="shared" si="1"/>
        <v>0.192285505518594</v>
      </c>
      <c r="N9" s="50">
        <f>SUM(N6:N8)</f>
        <v>27669</v>
      </c>
      <c r="O9" s="50">
        <f>SUM(O6:O8)</f>
        <v>22939</v>
      </c>
      <c r="P9" s="50">
        <f>SUM(P6:P8)</f>
        <v>2160</v>
      </c>
      <c r="Q9" s="51">
        <f t="shared" si="2"/>
        <v>7.80657053019625</v>
      </c>
      <c r="R9" s="50">
        <f>SUM(R6:R8)</f>
        <v>31944</v>
      </c>
      <c r="S9" s="50">
        <f>SUM(S6:S8)</f>
        <v>31428</v>
      </c>
      <c r="T9" s="50">
        <f>SUM(T6:T8)</f>
        <v>361</v>
      </c>
      <c r="U9" s="82">
        <f>SUM(U6:U8)</f>
        <v>3953</v>
      </c>
      <c r="V9" s="81"/>
      <c r="W9" s="81"/>
      <c r="X9" s="81"/>
    </row>
    <row r="10" ht="16" customHeight="1" spans="1:24">
      <c r="A10" s="52">
        <v>46026</v>
      </c>
      <c r="B10" s="53"/>
      <c r="C10" s="53"/>
      <c r="D10" s="53"/>
      <c r="E10" s="54"/>
      <c r="F10" s="54"/>
      <c r="G10" s="54"/>
      <c r="H10" s="54"/>
      <c r="I10" s="71" t="e">
        <f t="shared" si="0"/>
        <v>#DIV/0!</v>
      </c>
      <c r="J10" s="54"/>
      <c r="K10" s="54"/>
      <c r="L10" s="54"/>
      <c r="M10" s="71" t="e">
        <f t="shared" si="1"/>
        <v>#DIV/0!</v>
      </c>
      <c r="N10" s="54"/>
      <c r="O10" s="54"/>
      <c r="P10" s="54"/>
      <c r="Q10" s="71" t="e">
        <f t="shared" si="2"/>
        <v>#DIV/0!</v>
      </c>
      <c r="R10" s="54"/>
      <c r="S10" s="54"/>
      <c r="T10" s="54"/>
      <c r="U10" s="83">
        <f t="shared" ref="U10:U16" si="4">D10+H10+L10+P10+T10</f>
        <v>0</v>
      </c>
      <c r="V10" s="79" t="s">
        <v>21</v>
      </c>
      <c r="W10" s="79"/>
      <c r="X10" s="84"/>
    </row>
    <row r="11" ht="17" customHeight="1" spans="1:24">
      <c r="A11" s="55">
        <v>46027</v>
      </c>
      <c r="B11" s="47">
        <v>14911</v>
      </c>
      <c r="C11" s="47">
        <v>14674</v>
      </c>
      <c r="D11" s="47">
        <v>237</v>
      </c>
      <c r="E11" s="56">
        <f t="shared" ref="E11:E17" si="5">D11/B11*100</f>
        <v>1.58943062168869</v>
      </c>
      <c r="F11" s="57">
        <v>12695</v>
      </c>
      <c r="G11" s="57">
        <v>12034</v>
      </c>
      <c r="H11" s="57">
        <v>549</v>
      </c>
      <c r="I11" s="56">
        <f t="shared" si="0"/>
        <v>4.32453721937771</v>
      </c>
      <c r="J11" s="57">
        <v>10585</v>
      </c>
      <c r="K11" s="57">
        <v>10535</v>
      </c>
      <c r="L11" s="57">
        <v>50</v>
      </c>
      <c r="M11" s="56">
        <f t="shared" si="1"/>
        <v>0.472366556447803</v>
      </c>
      <c r="N11" s="57">
        <v>9618</v>
      </c>
      <c r="O11" s="57">
        <v>4806</v>
      </c>
      <c r="P11" s="57">
        <v>1545</v>
      </c>
      <c r="Q11" s="56">
        <f t="shared" si="2"/>
        <v>16.0636306924517</v>
      </c>
      <c r="R11" s="57">
        <v>6179</v>
      </c>
      <c r="S11" s="57">
        <v>6109</v>
      </c>
      <c r="T11" s="57">
        <v>35</v>
      </c>
      <c r="U11" s="78">
        <f t="shared" si="4"/>
        <v>2416</v>
      </c>
      <c r="V11" s="85">
        <f>B17</f>
        <v>89502</v>
      </c>
      <c r="W11" s="85">
        <f>U17</f>
        <v>10372</v>
      </c>
      <c r="X11" s="86">
        <f>W11/V11*100</f>
        <v>11.5885678532323</v>
      </c>
    </row>
    <row r="12" ht="16" customHeight="1" spans="1:24">
      <c r="A12" s="55">
        <v>46028</v>
      </c>
      <c r="B12" s="47">
        <v>14898</v>
      </c>
      <c r="C12" s="47">
        <v>14708</v>
      </c>
      <c r="D12" s="47">
        <v>190</v>
      </c>
      <c r="E12" s="56">
        <f t="shared" si="5"/>
        <v>1.27533897167405</v>
      </c>
      <c r="F12" s="57">
        <v>9853</v>
      </c>
      <c r="G12" s="57">
        <v>9166</v>
      </c>
      <c r="H12" s="57">
        <v>496</v>
      </c>
      <c r="I12" s="56">
        <f t="shared" si="0"/>
        <v>5.03399979701614</v>
      </c>
      <c r="J12" s="57">
        <v>13037</v>
      </c>
      <c r="K12" s="57">
        <v>13032</v>
      </c>
      <c r="L12" s="57">
        <v>5</v>
      </c>
      <c r="M12" s="56">
        <f t="shared" si="1"/>
        <v>0.0383523816829025</v>
      </c>
      <c r="N12" s="57">
        <v>10993</v>
      </c>
      <c r="O12" s="57">
        <v>8417</v>
      </c>
      <c r="P12" s="57">
        <v>584</v>
      </c>
      <c r="Q12" s="56">
        <f t="shared" si="2"/>
        <v>5.31247157281907</v>
      </c>
      <c r="R12" s="57">
        <v>11768</v>
      </c>
      <c r="S12" s="57">
        <v>11585</v>
      </c>
      <c r="T12" s="57">
        <v>100</v>
      </c>
      <c r="U12" s="78">
        <f t="shared" si="4"/>
        <v>1375</v>
      </c>
      <c r="V12" s="85"/>
      <c r="W12" s="85"/>
      <c r="X12" s="86"/>
    </row>
    <row r="13" ht="16" customHeight="1" spans="1:24">
      <c r="A13" s="55">
        <v>46029</v>
      </c>
      <c r="B13" s="47">
        <v>14944</v>
      </c>
      <c r="C13" s="47">
        <v>14756</v>
      </c>
      <c r="D13" s="47">
        <v>188</v>
      </c>
      <c r="E13" s="56">
        <f t="shared" si="5"/>
        <v>1.25802997858672</v>
      </c>
      <c r="F13" s="57">
        <v>10889</v>
      </c>
      <c r="G13" s="57">
        <v>10024</v>
      </c>
      <c r="H13" s="57">
        <v>430</v>
      </c>
      <c r="I13" s="56">
        <f t="shared" si="0"/>
        <v>3.94893929653779</v>
      </c>
      <c r="J13" s="57">
        <v>10869</v>
      </c>
      <c r="K13" s="57">
        <v>10804</v>
      </c>
      <c r="L13" s="57">
        <v>65</v>
      </c>
      <c r="M13" s="56">
        <f t="shared" si="1"/>
        <v>0.598031097617076</v>
      </c>
      <c r="N13" s="57">
        <v>11685</v>
      </c>
      <c r="O13" s="57">
        <v>9120</v>
      </c>
      <c r="P13" s="57">
        <v>312</v>
      </c>
      <c r="Q13" s="56">
        <f t="shared" si="2"/>
        <v>2.67008985879332</v>
      </c>
      <c r="R13" s="57">
        <v>9624</v>
      </c>
      <c r="S13" s="57">
        <v>9429</v>
      </c>
      <c r="T13" s="57">
        <v>99</v>
      </c>
      <c r="U13" s="78">
        <f t="shared" si="4"/>
        <v>1094</v>
      </c>
      <c r="V13" s="85"/>
      <c r="W13" s="85"/>
      <c r="X13" s="86"/>
    </row>
    <row r="14" ht="16" customHeight="1" spans="1:24">
      <c r="A14" s="55">
        <v>46030</v>
      </c>
      <c r="B14" s="47">
        <v>14908</v>
      </c>
      <c r="C14" s="47">
        <v>14728</v>
      </c>
      <c r="D14" s="47">
        <v>180</v>
      </c>
      <c r="E14" s="56">
        <f t="shared" si="5"/>
        <v>1.20740541990877</v>
      </c>
      <c r="F14" s="57">
        <v>10471</v>
      </c>
      <c r="G14" s="57">
        <v>9918</v>
      </c>
      <c r="H14" s="57">
        <v>319</v>
      </c>
      <c r="I14" s="56">
        <f t="shared" si="0"/>
        <v>3.04650940693344</v>
      </c>
      <c r="J14" s="57">
        <v>10114</v>
      </c>
      <c r="K14" s="57">
        <v>10097</v>
      </c>
      <c r="L14" s="57">
        <v>17</v>
      </c>
      <c r="M14" s="56">
        <f t="shared" si="1"/>
        <v>0.168083844176389</v>
      </c>
      <c r="N14" s="57">
        <v>15156</v>
      </c>
      <c r="O14" s="57">
        <v>12105</v>
      </c>
      <c r="P14" s="57">
        <v>826</v>
      </c>
      <c r="Q14" s="56">
        <f t="shared" si="2"/>
        <v>5.44998680390604</v>
      </c>
      <c r="R14" s="57">
        <v>11455</v>
      </c>
      <c r="S14" s="57">
        <v>11234</v>
      </c>
      <c r="T14" s="57">
        <v>103</v>
      </c>
      <c r="U14" s="78">
        <f t="shared" si="4"/>
        <v>1445</v>
      </c>
      <c r="V14" s="85"/>
      <c r="W14" s="85"/>
      <c r="X14" s="86"/>
    </row>
    <row r="15" ht="16" customHeight="1" spans="1:24">
      <c r="A15" s="55">
        <v>46031</v>
      </c>
      <c r="B15" s="47">
        <v>14908</v>
      </c>
      <c r="C15" s="47">
        <v>14727</v>
      </c>
      <c r="D15" s="47">
        <v>181</v>
      </c>
      <c r="E15" s="56">
        <f t="shared" si="5"/>
        <v>1.21411322779716</v>
      </c>
      <c r="F15" s="57">
        <v>16214</v>
      </c>
      <c r="G15" s="57">
        <v>14580</v>
      </c>
      <c r="H15" s="57">
        <v>945</v>
      </c>
      <c r="I15" s="56">
        <f t="shared" si="0"/>
        <v>5.82829653385963</v>
      </c>
      <c r="J15" s="57">
        <v>14014</v>
      </c>
      <c r="K15" s="57">
        <v>13976</v>
      </c>
      <c r="L15" s="57">
        <v>38</v>
      </c>
      <c r="M15" s="56">
        <f t="shared" si="1"/>
        <v>0.271157414014557</v>
      </c>
      <c r="N15" s="57">
        <v>16954</v>
      </c>
      <c r="O15" s="57">
        <v>14813</v>
      </c>
      <c r="P15" s="57">
        <v>418</v>
      </c>
      <c r="Q15" s="56">
        <f t="shared" si="2"/>
        <v>2.46549486846762</v>
      </c>
      <c r="R15" s="57">
        <v>12689</v>
      </c>
      <c r="S15" s="57">
        <v>12246</v>
      </c>
      <c r="T15" s="57">
        <v>300</v>
      </c>
      <c r="U15" s="78">
        <f t="shared" si="4"/>
        <v>1882</v>
      </c>
      <c r="V15" s="85"/>
      <c r="W15" s="85"/>
      <c r="X15" s="86"/>
    </row>
    <row r="16" customFormat="1" ht="16" customHeight="1" spans="1:24">
      <c r="A16" s="55">
        <v>46032</v>
      </c>
      <c r="B16" s="47">
        <v>14933</v>
      </c>
      <c r="C16" s="47">
        <v>13897</v>
      </c>
      <c r="D16" s="47">
        <v>1036</v>
      </c>
      <c r="E16" s="56">
        <f t="shared" si="5"/>
        <v>6.93765485836737</v>
      </c>
      <c r="F16" s="57">
        <v>18477</v>
      </c>
      <c r="G16" s="57">
        <v>15887</v>
      </c>
      <c r="H16" s="57">
        <v>621</v>
      </c>
      <c r="I16" s="56">
        <f t="shared" si="0"/>
        <v>3.36093521675597</v>
      </c>
      <c r="J16" s="57">
        <v>12916</v>
      </c>
      <c r="K16" s="57">
        <v>12889</v>
      </c>
      <c r="L16" s="57">
        <v>27</v>
      </c>
      <c r="M16" s="56">
        <f t="shared" si="1"/>
        <v>0.209043047383091</v>
      </c>
      <c r="N16" s="57">
        <v>12892</v>
      </c>
      <c r="O16" s="57">
        <v>12187</v>
      </c>
      <c r="P16" s="57">
        <v>309</v>
      </c>
      <c r="Q16" s="56">
        <f t="shared" si="2"/>
        <v>2.3968352466646</v>
      </c>
      <c r="R16" s="57">
        <v>13018</v>
      </c>
      <c r="S16" s="57">
        <v>12806</v>
      </c>
      <c r="T16" s="57">
        <v>167</v>
      </c>
      <c r="U16" s="78">
        <f t="shared" si="4"/>
        <v>2160</v>
      </c>
      <c r="V16" s="85"/>
      <c r="W16" s="85"/>
      <c r="X16" s="86"/>
    </row>
    <row r="17" s="29" customFormat="1" ht="16" customHeight="1" spans="1:24">
      <c r="A17" s="49" t="s">
        <v>29</v>
      </c>
      <c r="B17" s="50">
        <f t="shared" ref="B17:H17" si="6">SUM(B10:B16)</f>
        <v>89502</v>
      </c>
      <c r="C17" s="50">
        <f t="shared" si="6"/>
        <v>87490</v>
      </c>
      <c r="D17" s="50">
        <f t="shared" si="6"/>
        <v>2012</v>
      </c>
      <c r="E17" s="51">
        <f t="shared" si="5"/>
        <v>2.2479944582244</v>
      </c>
      <c r="F17" s="50">
        <f t="shared" si="6"/>
        <v>78599</v>
      </c>
      <c r="G17" s="50">
        <f t="shared" si="6"/>
        <v>71609</v>
      </c>
      <c r="H17" s="50">
        <f t="shared" si="6"/>
        <v>3360</v>
      </c>
      <c r="I17" s="51">
        <f t="shared" si="0"/>
        <v>4.27486354788229</v>
      </c>
      <c r="J17" s="50">
        <f>SUM(J10:J16)</f>
        <v>71535</v>
      </c>
      <c r="K17" s="50">
        <f>SUM(K10:K16)</f>
        <v>71333</v>
      </c>
      <c r="L17" s="50">
        <f>SUM(L10:L16)</f>
        <v>202</v>
      </c>
      <c r="M17" s="51">
        <f t="shared" si="1"/>
        <v>0.282379254910184</v>
      </c>
      <c r="N17" s="50">
        <f>SUM(N10:N16)</f>
        <v>77298</v>
      </c>
      <c r="O17" s="50">
        <f>SUM(O10:O16)</f>
        <v>61448</v>
      </c>
      <c r="P17" s="50">
        <f>SUM(P10:P16)</f>
        <v>3994</v>
      </c>
      <c r="Q17" s="51">
        <f t="shared" si="2"/>
        <v>5.16701596419054</v>
      </c>
      <c r="R17" s="50">
        <f>SUM(R10:R16)</f>
        <v>64733</v>
      </c>
      <c r="S17" s="50">
        <f>SUM(S10:S16)</f>
        <v>63409</v>
      </c>
      <c r="T17" s="50">
        <f>SUM(T10:T16)</f>
        <v>804</v>
      </c>
      <c r="U17" s="82">
        <f>SUM(U10:U16)</f>
        <v>10372</v>
      </c>
      <c r="V17" s="87"/>
      <c r="W17" s="87"/>
      <c r="X17" s="88"/>
    </row>
    <row r="18" ht="16" customHeight="1" spans="1:28">
      <c r="A18" s="52">
        <v>46033</v>
      </c>
      <c r="B18" s="53"/>
      <c r="C18" s="53"/>
      <c r="D18" s="53"/>
      <c r="E18" s="58"/>
      <c r="F18" s="58"/>
      <c r="G18" s="58"/>
      <c r="H18" s="58"/>
      <c r="I18" s="71" t="e">
        <f t="shared" si="0"/>
        <v>#DIV/0!</v>
      </c>
      <c r="J18" s="58"/>
      <c r="K18" s="58"/>
      <c r="L18" s="58"/>
      <c r="M18" s="71" t="e">
        <f t="shared" si="1"/>
        <v>#DIV/0!</v>
      </c>
      <c r="N18" s="58"/>
      <c r="O18" s="58"/>
      <c r="P18" s="58"/>
      <c r="Q18" s="71" t="e">
        <f t="shared" si="2"/>
        <v>#DIV/0!</v>
      </c>
      <c r="R18" s="54"/>
      <c r="S18" s="54"/>
      <c r="T18" s="54"/>
      <c r="U18" s="83">
        <f>H18+L18+P18+T18</f>
        <v>0</v>
      </c>
      <c r="V18" s="79" t="s">
        <v>22</v>
      </c>
      <c r="W18" s="79"/>
      <c r="X18" s="84"/>
      <c r="AA18" s="99"/>
      <c r="AB18" s="99"/>
    </row>
    <row r="19" ht="17" customHeight="1" spans="1:24">
      <c r="A19" s="59">
        <v>46034</v>
      </c>
      <c r="B19" s="47"/>
      <c r="C19" s="47"/>
      <c r="D19" s="47"/>
      <c r="E19" s="56" t="e">
        <f t="shared" ref="E19:E25" si="7">D19/B19*100</f>
        <v>#DIV/0!</v>
      </c>
      <c r="F19" s="15">
        <v>14954</v>
      </c>
      <c r="G19" s="15">
        <v>13853</v>
      </c>
      <c r="H19" s="15">
        <v>645</v>
      </c>
      <c r="I19" s="48">
        <f t="shared" si="0"/>
        <v>4.31322723017253</v>
      </c>
      <c r="J19" s="15">
        <v>15439</v>
      </c>
      <c r="K19" s="15">
        <v>15391</v>
      </c>
      <c r="L19" s="15">
        <v>48</v>
      </c>
      <c r="M19" s="48">
        <f t="shared" si="1"/>
        <v>0.310900965088412</v>
      </c>
      <c r="N19" s="15">
        <v>11300</v>
      </c>
      <c r="O19" s="15">
        <v>10497</v>
      </c>
      <c r="P19" s="15">
        <v>332</v>
      </c>
      <c r="Q19" s="48">
        <f t="shared" si="2"/>
        <v>2.93805309734513</v>
      </c>
      <c r="R19" s="15">
        <v>9711</v>
      </c>
      <c r="S19" s="15">
        <v>9490</v>
      </c>
      <c r="T19" s="15">
        <v>183</v>
      </c>
      <c r="U19" s="78">
        <f t="shared" ref="U19:U24" si="8">D19+H19+L19+P19+T19</f>
        <v>1208</v>
      </c>
      <c r="V19" s="89">
        <f>B25</f>
        <v>0</v>
      </c>
      <c r="W19" s="89">
        <f>SUM(U25)</f>
        <v>7000</v>
      </c>
      <c r="X19" s="90" t="e">
        <f>W19/V19*100</f>
        <v>#DIV/0!</v>
      </c>
    </row>
    <row r="20" ht="16" customHeight="1" spans="1:24">
      <c r="A20" s="59">
        <v>46035</v>
      </c>
      <c r="B20" s="47"/>
      <c r="C20" s="47"/>
      <c r="D20" s="47"/>
      <c r="E20" s="56" t="e">
        <f t="shared" si="7"/>
        <v>#DIV/0!</v>
      </c>
      <c r="F20" s="15">
        <v>12860</v>
      </c>
      <c r="G20" s="15">
        <v>11778</v>
      </c>
      <c r="H20" s="15">
        <v>756</v>
      </c>
      <c r="I20" s="48">
        <f t="shared" si="0"/>
        <v>5.87869362363919</v>
      </c>
      <c r="J20" s="15">
        <v>13217</v>
      </c>
      <c r="K20" s="15">
        <v>13207</v>
      </c>
      <c r="L20" s="15">
        <v>10</v>
      </c>
      <c r="M20" s="48">
        <f t="shared" si="1"/>
        <v>0.0756601346750397</v>
      </c>
      <c r="N20" s="15">
        <v>14709</v>
      </c>
      <c r="O20" s="15">
        <v>14472</v>
      </c>
      <c r="P20" s="15">
        <v>131</v>
      </c>
      <c r="Q20" s="48">
        <f t="shared" si="2"/>
        <v>0.890611190427629</v>
      </c>
      <c r="R20" s="15">
        <v>10566</v>
      </c>
      <c r="S20" s="15">
        <v>10413</v>
      </c>
      <c r="T20" s="15">
        <v>127</v>
      </c>
      <c r="U20" s="78">
        <f t="shared" si="8"/>
        <v>1024</v>
      </c>
      <c r="V20" s="85"/>
      <c r="W20" s="85"/>
      <c r="X20" s="86"/>
    </row>
    <row r="21" ht="16" customHeight="1" spans="1:24">
      <c r="A21" s="59">
        <v>46036</v>
      </c>
      <c r="B21" s="47"/>
      <c r="C21" s="47"/>
      <c r="D21" s="47"/>
      <c r="E21" s="56" t="e">
        <f t="shared" si="7"/>
        <v>#DIV/0!</v>
      </c>
      <c r="F21" s="15">
        <v>17632</v>
      </c>
      <c r="G21" s="15">
        <v>15964</v>
      </c>
      <c r="H21" s="15">
        <v>740</v>
      </c>
      <c r="I21" s="48">
        <f t="shared" si="0"/>
        <v>4.19691470054446</v>
      </c>
      <c r="J21" s="15">
        <v>12899</v>
      </c>
      <c r="K21" s="15">
        <v>12866</v>
      </c>
      <c r="L21" s="15">
        <v>33</v>
      </c>
      <c r="M21" s="48">
        <f t="shared" si="1"/>
        <v>0.255833785564772</v>
      </c>
      <c r="N21" s="15">
        <v>12802</v>
      </c>
      <c r="O21" s="15">
        <v>11768</v>
      </c>
      <c r="P21" s="15">
        <v>306</v>
      </c>
      <c r="Q21" s="48">
        <f t="shared" si="2"/>
        <v>2.3902515231995</v>
      </c>
      <c r="R21" s="15">
        <v>11977</v>
      </c>
      <c r="S21" s="15">
        <v>11757</v>
      </c>
      <c r="T21" s="15">
        <v>136</v>
      </c>
      <c r="U21" s="78">
        <f t="shared" si="8"/>
        <v>1215</v>
      </c>
      <c r="V21" s="85"/>
      <c r="W21" s="85"/>
      <c r="X21" s="86"/>
    </row>
    <row r="22" ht="16" customHeight="1" spans="1:24">
      <c r="A22" s="59">
        <v>46037</v>
      </c>
      <c r="B22" s="47"/>
      <c r="C22" s="47"/>
      <c r="D22" s="47"/>
      <c r="E22" s="56" t="e">
        <f t="shared" si="7"/>
        <v>#DIV/0!</v>
      </c>
      <c r="F22" s="15">
        <v>10997</v>
      </c>
      <c r="G22" s="15">
        <v>9964</v>
      </c>
      <c r="H22" s="15">
        <v>730</v>
      </c>
      <c r="I22" s="48">
        <f t="shared" si="0"/>
        <v>6.63817404746749</v>
      </c>
      <c r="J22" s="15">
        <v>12155</v>
      </c>
      <c r="K22" s="15">
        <v>12107</v>
      </c>
      <c r="L22" s="15">
        <v>48</v>
      </c>
      <c r="M22" s="48">
        <f t="shared" si="1"/>
        <v>0.39489921842863</v>
      </c>
      <c r="N22" s="15">
        <v>13185</v>
      </c>
      <c r="O22" s="15">
        <v>12586</v>
      </c>
      <c r="P22" s="15">
        <v>298</v>
      </c>
      <c r="Q22" s="48">
        <f t="shared" si="2"/>
        <v>2.26014410314752</v>
      </c>
      <c r="R22" s="15">
        <v>12633</v>
      </c>
      <c r="S22" s="15">
        <v>12305</v>
      </c>
      <c r="T22" s="15">
        <v>227</v>
      </c>
      <c r="U22" s="78">
        <f t="shared" si="8"/>
        <v>1303</v>
      </c>
      <c r="V22" s="85"/>
      <c r="W22" s="85"/>
      <c r="X22" s="86"/>
    </row>
    <row r="23" ht="16" customHeight="1" spans="1:24">
      <c r="A23" s="59">
        <v>46038</v>
      </c>
      <c r="B23" s="47"/>
      <c r="C23" s="47"/>
      <c r="D23" s="47"/>
      <c r="E23" s="56" t="e">
        <f t="shared" si="7"/>
        <v>#DIV/0!</v>
      </c>
      <c r="F23" s="15">
        <v>10228</v>
      </c>
      <c r="G23" s="15">
        <v>9107</v>
      </c>
      <c r="H23" s="15">
        <v>883</v>
      </c>
      <c r="I23" s="48">
        <f t="shared" si="0"/>
        <v>8.63316386390301</v>
      </c>
      <c r="J23" s="15">
        <v>15338</v>
      </c>
      <c r="K23" s="15">
        <v>15310</v>
      </c>
      <c r="L23" s="15">
        <v>28</v>
      </c>
      <c r="M23" s="48">
        <f t="shared" si="1"/>
        <v>0.182553136002086</v>
      </c>
      <c r="N23" s="15">
        <v>11062</v>
      </c>
      <c r="O23" s="15">
        <v>9656</v>
      </c>
      <c r="P23" s="15">
        <v>210</v>
      </c>
      <c r="Q23" s="48">
        <f t="shared" si="2"/>
        <v>1.89839088772374</v>
      </c>
      <c r="R23" s="15">
        <v>7749</v>
      </c>
      <c r="S23" s="15">
        <v>7572</v>
      </c>
      <c r="T23" s="15">
        <v>132</v>
      </c>
      <c r="U23" s="78">
        <f t="shared" si="8"/>
        <v>1253</v>
      </c>
      <c r="V23" s="85"/>
      <c r="W23" s="85"/>
      <c r="X23" s="86"/>
    </row>
    <row r="24" customFormat="1" ht="16" customHeight="1" spans="1:24">
      <c r="A24" s="59">
        <v>46039</v>
      </c>
      <c r="B24" s="47"/>
      <c r="C24" s="47"/>
      <c r="D24" s="47"/>
      <c r="E24" s="56" t="e">
        <f t="shared" si="7"/>
        <v>#DIV/0!</v>
      </c>
      <c r="F24" s="15">
        <v>15894</v>
      </c>
      <c r="G24" s="15">
        <v>14521</v>
      </c>
      <c r="H24" s="15">
        <v>912</v>
      </c>
      <c r="I24" s="48">
        <f t="shared" si="0"/>
        <v>5.73801434503586</v>
      </c>
      <c r="J24" s="15">
        <v>11494</v>
      </c>
      <c r="K24" s="15">
        <v>11469</v>
      </c>
      <c r="L24" s="15">
        <v>25</v>
      </c>
      <c r="M24" s="48">
        <f t="shared" si="1"/>
        <v>0.217504785105272</v>
      </c>
      <c r="N24" s="15">
        <v>10262</v>
      </c>
      <c r="O24" s="15">
        <v>10222</v>
      </c>
      <c r="P24" s="15">
        <v>40</v>
      </c>
      <c r="Q24" s="48">
        <f t="shared" si="2"/>
        <v>0.389787565776652</v>
      </c>
      <c r="R24" s="15">
        <v>8024</v>
      </c>
      <c r="S24" s="15">
        <v>7971</v>
      </c>
      <c r="T24" s="15">
        <v>20</v>
      </c>
      <c r="U24" s="78">
        <f t="shared" si="8"/>
        <v>997</v>
      </c>
      <c r="V24" s="85"/>
      <c r="W24" s="85"/>
      <c r="X24" s="86"/>
    </row>
    <row r="25" customFormat="1" ht="16" customHeight="1" spans="1:24">
      <c r="A25" s="49" t="s">
        <v>29</v>
      </c>
      <c r="B25" s="50">
        <f t="shared" ref="B25:H25" si="9">SUM(B18:B24)</f>
        <v>0</v>
      </c>
      <c r="C25" s="50">
        <f t="shared" si="9"/>
        <v>0</v>
      </c>
      <c r="D25" s="50">
        <f t="shared" si="9"/>
        <v>0</v>
      </c>
      <c r="E25" s="51" t="e">
        <f t="shared" si="7"/>
        <v>#DIV/0!</v>
      </c>
      <c r="F25" s="50">
        <f t="shared" si="9"/>
        <v>82565</v>
      </c>
      <c r="G25" s="50">
        <f t="shared" si="9"/>
        <v>75187</v>
      </c>
      <c r="H25" s="50">
        <f t="shared" si="9"/>
        <v>4666</v>
      </c>
      <c r="I25" s="51">
        <f t="shared" ref="I25:I41" si="10">H25/F25*100</f>
        <v>5.65130503239872</v>
      </c>
      <c r="J25" s="50">
        <f>SUM(J18:J24)</f>
        <v>80542</v>
      </c>
      <c r="K25" s="50">
        <f>SUM(K18:K24)</f>
        <v>80350</v>
      </c>
      <c r="L25" s="50">
        <f>SUM(L18:L24)</f>
        <v>192</v>
      </c>
      <c r="M25" s="51">
        <f t="shared" ref="M25:M41" si="11">L25/J25*100</f>
        <v>0.238384942017829</v>
      </c>
      <c r="N25" s="50">
        <f>SUM(N18:N24)</f>
        <v>73320</v>
      </c>
      <c r="O25" s="50">
        <f>SUM(O18:O24)</f>
        <v>69201</v>
      </c>
      <c r="P25" s="50">
        <f>SUM(P18:P24)</f>
        <v>1317</v>
      </c>
      <c r="Q25" s="51">
        <f t="shared" ref="Q25:Q41" si="12">P25/N25*100</f>
        <v>1.7962356792144</v>
      </c>
      <c r="R25" s="50">
        <f>SUM(R18:R24)</f>
        <v>60660</v>
      </c>
      <c r="S25" s="50">
        <f>SUM(S18:S24)</f>
        <v>59508</v>
      </c>
      <c r="T25" s="50">
        <f>SUM(T18:T24)</f>
        <v>825</v>
      </c>
      <c r="U25" s="50">
        <f>SUM(U18:U24)</f>
        <v>7000</v>
      </c>
      <c r="V25" s="87"/>
      <c r="W25" s="87"/>
      <c r="X25" s="88"/>
    </row>
    <row r="26" ht="16" customHeight="1" spans="1:24">
      <c r="A26" s="52">
        <v>46040</v>
      </c>
      <c r="B26" s="53"/>
      <c r="C26" s="53"/>
      <c r="D26" s="53"/>
      <c r="E26" s="58"/>
      <c r="F26" s="58"/>
      <c r="G26" s="58"/>
      <c r="H26" s="58"/>
      <c r="I26" s="71" t="e">
        <f t="shared" si="10"/>
        <v>#DIV/0!</v>
      </c>
      <c r="J26" s="58"/>
      <c r="K26" s="58"/>
      <c r="L26" s="58"/>
      <c r="M26" s="71" t="e">
        <f t="shared" si="11"/>
        <v>#DIV/0!</v>
      </c>
      <c r="N26" s="58"/>
      <c r="O26" s="58"/>
      <c r="P26" s="58"/>
      <c r="Q26" s="71" t="e">
        <f t="shared" si="12"/>
        <v>#DIV/0!</v>
      </c>
      <c r="R26" s="54"/>
      <c r="S26" s="58"/>
      <c r="T26" s="58"/>
      <c r="U26" s="83">
        <f>H26+L26+P26+T26</f>
        <v>0</v>
      </c>
      <c r="V26" s="79" t="s">
        <v>23</v>
      </c>
      <c r="W26" s="79"/>
      <c r="X26" s="84"/>
    </row>
    <row r="27" ht="17" customHeight="1" spans="1:24">
      <c r="A27" s="59">
        <v>46041</v>
      </c>
      <c r="B27" s="47"/>
      <c r="C27" s="47"/>
      <c r="D27" s="47"/>
      <c r="E27" s="56" t="e">
        <f t="shared" ref="E27:E33" si="13">D27/B27*100</f>
        <v>#DIV/0!</v>
      </c>
      <c r="F27" s="15">
        <v>15322</v>
      </c>
      <c r="G27" s="15">
        <v>14328</v>
      </c>
      <c r="H27" s="15">
        <v>674</v>
      </c>
      <c r="I27" s="56">
        <f t="shared" si="10"/>
        <v>4.39890353739721</v>
      </c>
      <c r="J27" s="15">
        <v>12313</v>
      </c>
      <c r="K27" s="15">
        <v>12282</v>
      </c>
      <c r="L27" s="15">
        <v>31</v>
      </c>
      <c r="M27" s="56">
        <f t="shared" si="11"/>
        <v>0.251766425728904</v>
      </c>
      <c r="N27" s="15">
        <v>11724</v>
      </c>
      <c r="O27" s="15">
        <v>11691</v>
      </c>
      <c r="P27" s="15">
        <v>33</v>
      </c>
      <c r="Q27" s="56">
        <f t="shared" si="12"/>
        <v>0.281473899692938</v>
      </c>
      <c r="R27" s="15">
        <v>8554</v>
      </c>
      <c r="S27" s="15">
        <v>8212</v>
      </c>
      <c r="T27" s="15">
        <v>248</v>
      </c>
      <c r="U27" s="78">
        <f t="shared" ref="U27:U32" si="14">D27+H27+L27+P27+T27</f>
        <v>986</v>
      </c>
      <c r="V27" s="89">
        <f>B33</f>
        <v>0</v>
      </c>
      <c r="W27" s="89">
        <f>SUM(U33)</f>
        <v>6048</v>
      </c>
      <c r="X27" s="90" t="e">
        <f>W27/V27*100</f>
        <v>#DIV/0!</v>
      </c>
    </row>
    <row r="28" ht="16" customHeight="1" spans="1:24">
      <c r="A28" s="59">
        <v>46042</v>
      </c>
      <c r="B28" s="47"/>
      <c r="C28" s="47"/>
      <c r="D28" s="47"/>
      <c r="E28" s="56" t="e">
        <f t="shared" si="13"/>
        <v>#DIV/0!</v>
      </c>
      <c r="F28" s="15">
        <v>13089</v>
      </c>
      <c r="G28" s="15">
        <v>12225</v>
      </c>
      <c r="H28" s="15">
        <v>648</v>
      </c>
      <c r="I28" s="56">
        <f t="shared" si="10"/>
        <v>4.95072198028879</v>
      </c>
      <c r="J28" s="15">
        <v>11317</v>
      </c>
      <c r="K28" s="15">
        <v>11289</v>
      </c>
      <c r="L28" s="15">
        <v>28</v>
      </c>
      <c r="M28" s="56">
        <f t="shared" si="11"/>
        <v>0.247415392771936</v>
      </c>
      <c r="N28" s="15">
        <v>12358</v>
      </c>
      <c r="O28" s="15">
        <v>11337</v>
      </c>
      <c r="P28" s="15">
        <v>219</v>
      </c>
      <c r="Q28" s="56">
        <f t="shared" si="12"/>
        <v>1.77213141284998</v>
      </c>
      <c r="R28" s="15">
        <v>10256</v>
      </c>
      <c r="S28" s="15">
        <v>9741</v>
      </c>
      <c r="T28" s="15">
        <v>335</v>
      </c>
      <c r="U28" s="78">
        <f t="shared" si="14"/>
        <v>1230</v>
      </c>
      <c r="V28" s="85"/>
      <c r="W28" s="85"/>
      <c r="X28" s="86"/>
    </row>
    <row r="29" ht="16" customHeight="1" spans="1:24">
      <c r="A29" s="59">
        <v>46043</v>
      </c>
      <c r="B29" s="47"/>
      <c r="C29" s="47"/>
      <c r="D29" s="47"/>
      <c r="E29" s="56" t="e">
        <f t="shared" si="13"/>
        <v>#DIV/0!</v>
      </c>
      <c r="F29" s="15">
        <v>12469</v>
      </c>
      <c r="G29" s="15">
        <v>11664</v>
      </c>
      <c r="H29" s="15">
        <v>538</v>
      </c>
      <c r="I29" s="56">
        <f t="shared" si="10"/>
        <v>4.31470045713369</v>
      </c>
      <c r="J29" s="15">
        <v>14909</v>
      </c>
      <c r="K29" s="15">
        <v>14836</v>
      </c>
      <c r="L29" s="15">
        <v>73</v>
      </c>
      <c r="M29" s="56">
        <f t="shared" si="11"/>
        <v>0.489637131933731</v>
      </c>
      <c r="N29" s="15">
        <v>15391</v>
      </c>
      <c r="O29" s="15">
        <v>14687</v>
      </c>
      <c r="P29" s="15">
        <v>348</v>
      </c>
      <c r="Q29" s="56">
        <f>P29/N29*100</f>
        <v>2.26106165941134</v>
      </c>
      <c r="R29" s="15">
        <v>12719</v>
      </c>
      <c r="S29" s="15">
        <v>12719</v>
      </c>
      <c r="T29" s="15">
        <v>316</v>
      </c>
      <c r="U29" s="78">
        <f t="shared" si="14"/>
        <v>1275</v>
      </c>
      <c r="V29" s="85"/>
      <c r="W29" s="85"/>
      <c r="X29" s="86"/>
    </row>
    <row r="30" ht="16" customHeight="1" spans="1:24">
      <c r="A30" s="59">
        <v>46044</v>
      </c>
      <c r="B30" s="47"/>
      <c r="C30" s="47"/>
      <c r="D30" s="47"/>
      <c r="E30" s="56" t="e">
        <f t="shared" si="13"/>
        <v>#DIV/0!</v>
      </c>
      <c r="F30" s="15">
        <v>14332</v>
      </c>
      <c r="G30" s="15">
        <v>13592</v>
      </c>
      <c r="H30" s="15">
        <v>437</v>
      </c>
      <c r="I30" s="56">
        <f t="shared" si="10"/>
        <v>3.04912084845102</v>
      </c>
      <c r="J30" s="15">
        <v>14777</v>
      </c>
      <c r="K30" s="15">
        <v>14721</v>
      </c>
      <c r="L30" s="15">
        <v>56</v>
      </c>
      <c r="M30" s="56">
        <f t="shared" si="11"/>
        <v>0.378967314069162</v>
      </c>
      <c r="N30" s="15">
        <v>12586</v>
      </c>
      <c r="O30" s="15">
        <v>12497</v>
      </c>
      <c r="P30" s="15">
        <v>89</v>
      </c>
      <c r="Q30" s="56">
        <f t="shared" si="12"/>
        <v>0.707134911806769</v>
      </c>
      <c r="R30" s="15">
        <v>10324</v>
      </c>
      <c r="S30" s="15">
        <v>10082</v>
      </c>
      <c r="T30" s="15">
        <v>128</v>
      </c>
      <c r="U30" s="78">
        <f t="shared" si="14"/>
        <v>710</v>
      </c>
      <c r="V30" s="85"/>
      <c r="W30" s="85"/>
      <c r="X30" s="86"/>
    </row>
    <row r="31" ht="16" customHeight="1" spans="1:24">
      <c r="A31" s="59">
        <v>46045</v>
      </c>
      <c r="B31" s="47"/>
      <c r="C31" s="47"/>
      <c r="D31" s="47"/>
      <c r="E31" s="56" t="e">
        <f t="shared" si="13"/>
        <v>#DIV/0!</v>
      </c>
      <c r="F31" s="15">
        <v>10830</v>
      </c>
      <c r="G31" s="15">
        <v>9754</v>
      </c>
      <c r="H31" s="15">
        <v>510</v>
      </c>
      <c r="I31" s="56">
        <f t="shared" si="10"/>
        <v>4.70914127423823</v>
      </c>
      <c r="J31" s="15">
        <v>10267</v>
      </c>
      <c r="K31" s="15">
        <v>10236</v>
      </c>
      <c r="L31" s="15">
        <v>31</v>
      </c>
      <c r="M31" s="56">
        <f t="shared" si="11"/>
        <v>0.301938248758157</v>
      </c>
      <c r="N31" s="15">
        <v>11557</v>
      </c>
      <c r="O31" s="15">
        <v>11021</v>
      </c>
      <c r="P31" s="15">
        <v>182</v>
      </c>
      <c r="Q31" s="56">
        <f t="shared" si="12"/>
        <v>1.5748031496063</v>
      </c>
      <c r="R31" s="15">
        <v>8875</v>
      </c>
      <c r="S31" s="15">
        <v>8845</v>
      </c>
      <c r="T31" s="15">
        <v>20</v>
      </c>
      <c r="U31" s="78">
        <f t="shared" si="14"/>
        <v>743</v>
      </c>
      <c r="V31" s="85"/>
      <c r="W31" s="85"/>
      <c r="X31" s="86"/>
    </row>
    <row r="32" ht="16" customHeight="1" spans="1:24">
      <c r="A32" s="59">
        <v>46046</v>
      </c>
      <c r="B32" s="47"/>
      <c r="C32" s="47"/>
      <c r="D32" s="47"/>
      <c r="E32" s="56" t="e">
        <f t="shared" si="13"/>
        <v>#DIV/0!</v>
      </c>
      <c r="F32" s="15">
        <v>11841</v>
      </c>
      <c r="G32" s="15">
        <v>10878</v>
      </c>
      <c r="H32" s="15">
        <v>721</v>
      </c>
      <c r="I32" s="56">
        <f t="shared" si="10"/>
        <v>6.08901275230133</v>
      </c>
      <c r="J32" s="15">
        <v>13468</v>
      </c>
      <c r="K32" s="15">
        <v>13428</v>
      </c>
      <c r="L32" s="15">
        <v>40</v>
      </c>
      <c r="M32" s="56">
        <f t="shared" si="11"/>
        <v>0.297000297000297</v>
      </c>
      <c r="N32" s="15">
        <v>15327</v>
      </c>
      <c r="O32" s="15">
        <v>15158</v>
      </c>
      <c r="P32" s="15">
        <v>169</v>
      </c>
      <c r="Q32" s="56">
        <f t="shared" si="12"/>
        <v>1.10262934690416</v>
      </c>
      <c r="R32" s="15">
        <v>8656</v>
      </c>
      <c r="S32" s="15">
        <v>8403</v>
      </c>
      <c r="T32" s="15">
        <v>174</v>
      </c>
      <c r="U32" s="78">
        <f t="shared" si="14"/>
        <v>1104</v>
      </c>
      <c r="V32" s="85"/>
      <c r="W32" s="85"/>
      <c r="X32" s="86"/>
    </row>
    <row r="33" ht="16" customHeight="1" spans="1:24">
      <c r="A33" s="49" t="s">
        <v>29</v>
      </c>
      <c r="B33" s="50">
        <f t="shared" ref="B33:H33" si="15">SUM(B26:B32)</f>
        <v>0</v>
      </c>
      <c r="C33" s="50">
        <f t="shared" si="15"/>
        <v>0</v>
      </c>
      <c r="D33" s="50">
        <f t="shared" si="15"/>
        <v>0</v>
      </c>
      <c r="E33" s="51" t="e">
        <f t="shared" si="13"/>
        <v>#DIV/0!</v>
      </c>
      <c r="F33" s="50">
        <f t="shared" si="15"/>
        <v>77883</v>
      </c>
      <c r="G33" s="50">
        <f t="shared" si="15"/>
        <v>72441</v>
      </c>
      <c r="H33" s="50">
        <f t="shared" si="15"/>
        <v>3528</v>
      </c>
      <c r="I33" s="51">
        <f t="shared" si="10"/>
        <v>4.52987173067293</v>
      </c>
      <c r="J33" s="50">
        <f t="shared" ref="J33:L33" si="16">SUM(J26:J32)</f>
        <v>77051</v>
      </c>
      <c r="K33" s="50">
        <f t="shared" si="16"/>
        <v>76792</v>
      </c>
      <c r="L33" s="50">
        <f t="shared" si="16"/>
        <v>259</v>
      </c>
      <c r="M33" s="51">
        <f t="shared" si="11"/>
        <v>0.336140997521122</v>
      </c>
      <c r="N33" s="50">
        <f t="shared" ref="N33:P33" si="17">SUM(N26:N32)</f>
        <v>78943</v>
      </c>
      <c r="O33" s="50">
        <f t="shared" si="17"/>
        <v>76391</v>
      </c>
      <c r="P33" s="50">
        <f t="shared" si="17"/>
        <v>1040</v>
      </c>
      <c r="Q33" s="51">
        <f t="shared" si="12"/>
        <v>1.31740622981138</v>
      </c>
      <c r="R33" s="50">
        <f>SUM(R26:R32)</f>
        <v>59384</v>
      </c>
      <c r="S33" s="50">
        <f>SUM(S26:S32)</f>
        <v>58002</v>
      </c>
      <c r="T33" s="50">
        <f>SUM(T26:T32)</f>
        <v>1221</v>
      </c>
      <c r="U33" s="50">
        <f>SUM(U26:U32)</f>
        <v>6048</v>
      </c>
      <c r="V33" s="87"/>
      <c r="W33" s="87"/>
      <c r="X33" s="88"/>
    </row>
    <row r="34" ht="16" customHeight="1" spans="1:24">
      <c r="A34" s="60">
        <v>46047</v>
      </c>
      <c r="B34" s="61"/>
      <c r="C34" s="61"/>
      <c r="D34" s="61"/>
      <c r="E34" s="58"/>
      <c r="F34" s="58"/>
      <c r="G34" s="58"/>
      <c r="H34" s="58"/>
      <c r="I34" s="71" t="e">
        <f t="shared" si="10"/>
        <v>#DIV/0!</v>
      </c>
      <c r="J34" s="58"/>
      <c r="K34" s="58"/>
      <c r="L34" s="58"/>
      <c r="M34" s="71" t="e">
        <f t="shared" si="11"/>
        <v>#DIV/0!</v>
      </c>
      <c r="N34" s="58"/>
      <c r="O34" s="58"/>
      <c r="P34" s="58"/>
      <c r="Q34" s="71" t="e">
        <f t="shared" si="12"/>
        <v>#DIV/0!</v>
      </c>
      <c r="R34" s="54"/>
      <c r="S34" s="54"/>
      <c r="T34" s="54"/>
      <c r="U34" s="83">
        <f>H34+L34+P34+T34</f>
        <v>0</v>
      </c>
      <c r="V34" s="79" t="s">
        <v>24</v>
      </c>
      <c r="W34" s="79"/>
      <c r="X34" s="84"/>
    </row>
    <row r="35" ht="17" customHeight="1" spans="1:24">
      <c r="A35" s="62">
        <v>46048</v>
      </c>
      <c r="B35" s="63"/>
      <c r="C35" s="63"/>
      <c r="D35" s="63"/>
      <c r="E35" s="56" t="e">
        <f t="shared" ref="E35:E41" si="18">D35/B35*100</f>
        <v>#DIV/0!</v>
      </c>
      <c r="F35" s="64"/>
      <c r="G35" s="64"/>
      <c r="H35" s="64"/>
      <c r="I35" s="56" t="e">
        <f t="shared" si="10"/>
        <v>#DIV/0!</v>
      </c>
      <c r="J35" s="64"/>
      <c r="K35" s="64"/>
      <c r="L35" s="64"/>
      <c r="M35" s="56" t="e">
        <f t="shared" si="11"/>
        <v>#DIV/0!</v>
      </c>
      <c r="N35" s="64"/>
      <c r="O35" s="64"/>
      <c r="P35" s="64"/>
      <c r="Q35" s="56" t="e">
        <f t="shared" si="12"/>
        <v>#DIV/0!</v>
      </c>
      <c r="R35" s="91"/>
      <c r="S35" s="91"/>
      <c r="T35" s="91"/>
      <c r="U35" s="92">
        <f t="shared" ref="U35:U40" si="19">D35+H35+L35+P35+T35</f>
        <v>0</v>
      </c>
      <c r="V35" s="93">
        <f>B41</f>
        <v>0</v>
      </c>
      <c r="W35" s="85">
        <f>SUM(U41)</f>
        <v>1169</v>
      </c>
      <c r="X35" s="86" t="e">
        <f>W35/V35*100</f>
        <v>#DIV/0!</v>
      </c>
    </row>
    <row r="36" ht="17" customHeight="1" spans="1:24">
      <c r="A36" s="65">
        <v>46049</v>
      </c>
      <c r="B36" s="47"/>
      <c r="C36" s="47"/>
      <c r="D36" s="47"/>
      <c r="E36" s="56" t="e">
        <f t="shared" si="18"/>
        <v>#DIV/0!</v>
      </c>
      <c r="F36" s="66">
        <v>14398</v>
      </c>
      <c r="G36" s="66">
        <v>13166</v>
      </c>
      <c r="H36" s="66">
        <v>715</v>
      </c>
      <c r="I36" s="56">
        <f t="shared" si="10"/>
        <v>4.96596749548548</v>
      </c>
      <c r="J36" s="66">
        <v>17410</v>
      </c>
      <c r="K36" s="66">
        <v>17351</v>
      </c>
      <c r="L36" s="66">
        <v>59</v>
      </c>
      <c r="M36" s="56">
        <f t="shared" si="11"/>
        <v>0.338885697874785</v>
      </c>
      <c r="N36" s="66">
        <v>15596</v>
      </c>
      <c r="O36" s="66">
        <v>15435</v>
      </c>
      <c r="P36" s="66">
        <v>161</v>
      </c>
      <c r="Q36" s="56">
        <f t="shared" si="12"/>
        <v>1.03231597845601</v>
      </c>
      <c r="R36" s="57">
        <v>6707</v>
      </c>
      <c r="S36" s="57">
        <v>6446</v>
      </c>
      <c r="T36" s="57">
        <v>234</v>
      </c>
      <c r="U36" s="78">
        <f t="shared" si="19"/>
        <v>1169</v>
      </c>
      <c r="V36" s="93"/>
      <c r="W36" s="85"/>
      <c r="X36" s="86"/>
    </row>
    <row r="37" ht="17" customHeight="1" spans="1:24">
      <c r="A37" s="65">
        <v>46050</v>
      </c>
      <c r="B37" s="47"/>
      <c r="C37" s="47"/>
      <c r="D37" s="47"/>
      <c r="E37" s="56" t="e">
        <f t="shared" si="18"/>
        <v>#DIV/0!</v>
      </c>
      <c r="F37" s="66"/>
      <c r="G37" s="66"/>
      <c r="H37" s="66"/>
      <c r="I37" s="56" t="e">
        <f t="shared" si="10"/>
        <v>#DIV/0!</v>
      </c>
      <c r="J37" s="66"/>
      <c r="K37" s="66"/>
      <c r="L37" s="66"/>
      <c r="M37" s="56" t="e">
        <f t="shared" si="11"/>
        <v>#DIV/0!</v>
      </c>
      <c r="N37" s="66"/>
      <c r="O37" s="66"/>
      <c r="P37" s="66"/>
      <c r="Q37" s="56" t="e">
        <f t="shared" si="12"/>
        <v>#DIV/0!</v>
      </c>
      <c r="R37" s="57"/>
      <c r="S37" s="57"/>
      <c r="T37" s="57"/>
      <c r="U37" s="78">
        <f t="shared" si="19"/>
        <v>0</v>
      </c>
      <c r="V37" s="93"/>
      <c r="W37" s="85"/>
      <c r="X37" s="86"/>
    </row>
    <row r="38" ht="17" customHeight="1" spans="1:24">
      <c r="A38" s="65">
        <v>46051</v>
      </c>
      <c r="B38" s="47"/>
      <c r="C38" s="47"/>
      <c r="D38" s="47"/>
      <c r="E38" s="56" t="e">
        <f t="shared" si="18"/>
        <v>#DIV/0!</v>
      </c>
      <c r="F38" s="66"/>
      <c r="G38" s="66"/>
      <c r="H38" s="66"/>
      <c r="I38" s="56" t="e">
        <f t="shared" si="10"/>
        <v>#DIV/0!</v>
      </c>
      <c r="J38" s="66"/>
      <c r="K38" s="66"/>
      <c r="L38" s="66"/>
      <c r="M38" s="56" t="e">
        <f t="shared" si="11"/>
        <v>#DIV/0!</v>
      </c>
      <c r="N38" s="66"/>
      <c r="O38" s="66"/>
      <c r="P38" s="66"/>
      <c r="Q38" s="56" t="e">
        <f t="shared" si="12"/>
        <v>#DIV/0!</v>
      </c>
      <c r="R38" s="57"/>
      <c r="S38" s="57"/>
      <c r="T38" s="57"/>
      <c r="U38" s="78">
        <f t="shared" si="19"/>
        <v>0</v>
      </c>
      <c r="V38" s="93"/>
      <c r="W38" s="85"/>
      <c r="X38" s="86"/>
    </row>
    <row r="39" ht="17" customHeight="1" spans="1:24">
      <c r="A39" s="65">
        <v>46052</v>
      </c>
      <c r="B39" s="47"/>
      <c r="C39" s="47"/>
      <c r="D39" s="47"/>
      <c r="E39" s="56" t="e">
        <f t="shared" si="18"/>
        <v>#DIV/0!</v>
      </c>
      <c r="F39" s="66"/>
      <c r="G39" s="66"/>
      <c r="H39" s="66"/>
      <c r="I39" s="56" t="e">
        <f t="shared" si="10"/>
        <v>#DIV/0!</v>
      </c>
      <c r="J39" s="66"/>
      <c r="K39" s="66"/>
      <c r="L39" s="66"/>
      <c r="M39" s="56" t="e">
        <f t="shared" si="11"/>
        <v>#DIV/0!</v>
      </c>
      <c r="N39" s="66"/>
      <c r="O39" s="66"/>
      <c r="P39" s="66"/>
      <c r="Q39" s="56" t="e">
        <f t="shared" si="12"/>
        <v>#DIV/0!</v>
      </c>
      <c r="R39" s="57"/>
      <c r="S39" s="57"/>
      <c r="T39" s="57"/>
      <c r="U39" s="78">
        <f t="shared" si="19"/>
        <v>0</v>
      </c>
      <c r="V39" s="93"/>
      <c r="W39" s="85"/>
      <c r="X39" s="86"/>
    </row>
    <row r="40" ht="17" customHeight="1" spans="1:24">
      <c r="A40" s="65">
        <v>46053</v>
      </c>
      <c r="B40" s="47"/>
      <c r="C40" s="47"/>
      <c r="D40" s="47"/>
      <c r="E40" s="56" t="e">
        <f t="shared" si="18"/>
        <v>#DIV/0!</v>
      </c>
      <c r="F40" s="66"/>
      <c r="G40" s="66"/>
      <c r="H40" s="66"/>
      <c r="I40" s="56" t="e">
        <f t="shared" si="10"/>
        <v>#DIV/0!</v>
      </c>
      <c r="J40" s="66"/>
      <c r="K40" s="66"/>
      <c r="L40" s="66"/>
      <c r="M40" s="56" t="e">
        <f t="shared" si="11"/>
        <v>#DIV/0!</v>
      </c>
      <c r="N40" s="66"/>
      <c r="O40" s="66"/>
      <c r="P40" s="66"/>
      <c r="Q40" s="56" t="e">
        <f t="shared" si="12"/>
        <v>#DIV/0!</v>
      </c>
      <c r="R40" s="57"/>
      <c r="S40" s="57"/>
      <c r="T40" s="57"/>
      <c r="U40" s="78">
        <f t="shared" si="19"/>
        <v>0</v>
      </c>
      <c r="V40" s="93"/>
      <c r="W40" s="85"/>
      <c r="X40" s="86"/>
    </row>
    <row r="41" ht="16" customHeight="1" spans="1:24">
      <c r="A41" s="49" t="s">
        <v>29</v>
      </c>
      <c r="B41" s="50">
        <f t="shared" ref="B41:H41" si="20">SUM(B34:B40)</f>
        <v>0</v>
      </c>
      <c r="C41" s="50">
        <f t="shared" si="20"/>
        <v>0</v>
      </c>
      <c r="D41" s="50">
        <f t="shared" si="20"/>
        <v>0</v>
      </c>
      <c r="E41" s="51" t="e">
        <f t="shared" si="18"/>
        <v>#DIV/0!</v>
      </c>
      <c r="F41" s="50">
        <f t="shared" si="20"/>
        <v>14398</v>
      </c>
      <c r="G41" s="50">
        <f t="shared" si="20"/>
        <v>13166</v>
      </c>
      <c r="H41" s="50">
        <f t="shared" si="20"/>
        <v>715</v>
      </c>
      <c r="I41" s="51">
        <f t="shared" si="10"/>
        <v>4.96596749548548</v>
      </c>
      <c r="J41" s="50">
        <f>SUM(J34:J40)</f>
        <v>17410</v>
      </c>
      <c r="K41" s="50">
        <f>SUM(K34:K40)</f>
        <v>17351</v>
      </c>
      <c r="L41" s="50">
        <f>SUM(L34:L40)</f>
        <v>59</v>
      </c>
      <c r="M41" s="51">
        <f t="shared" si="11"/>
        <v>0.338885697874785</v>
      </c>
      <c r="N41" s="50">
        <f>SUM(N34:N40)</f>
        <v>15596</v>
      </c>
      <c r="O41" s="50">
        <f>SUM(O34:O40)</f>
        <v>15435</v>
      </c>
      <c r="P41" s="50">
        <f>SUM(P34:P40)</f>
        <v>161</v>
      </c>
      <c r="Q41" s="51">
        <f t="shared" si="12"/>
        <v>1.03231597845601</v>
      </c>
      <c r="R41" s="50">
        <f>SUM(R34:R40)</f>
        <v>6707</v>
      </c>
      <c r="S41" s="50">
        <f>SUM(S34:S40)</f>
        <v>6446</v>
      </c>
      <c r="T41" s="50">
        <f>SUM(T34:T40)</f>
        <v>234</v>
      </c>
      <c r="U41" s="50">
        <f>SUM(U34:U40)</f>
        <v>1169</v>
      </c>
      <c r="V41" s="93"/>
      <c r="W41" s="85"/>
      <c r="X41" s="86"/>
    </row>
    <row r="42" ht="17" customHeight="1" spans="1:24">
      <c r="A42" s="67" t="s">
        <v>25</v>
      </c>
      <c r="B42" s="68">
        <f t="shared" ref="B42:H42" si="21">B41+B33+B25+B17+B9</f>
        <v>128062</v>
      </c>
      <c r="C42" s="68">
        <f t="shared" si="21"/>
        <v>125553</v>
      </c>
      <c r="D42" s="68">
        <f t="shared" si="21"/>
        <v>2509</v>
      </c>
      <c r="E42" s="68"/>
      <c r="F42" s="68">
        <f t="shared" si="21"/>
        <v>281388</v>
      </c>
      <c r="G42" s="68">
        <f t="shared" si="21"/>
        <v>258751</v>
      </c>
      <c r="H42" s="68">
        <f t="shared" si="21"/>
        <v>13154</v>
      </c>
      <c r="I42" s="68"/>
      <c r="J42" s="68">
        <f t="shared" ref="J42:L42" si="22">J41+J33+J25+J17+J9</f>
        <v>272541</v>
      </c>
      <c r="K42" s="68">
        <f t="shared" si="22"/>
        <v>271779</v>
      </c>
      <c r="L42" s="68">
        <f t="shared" si="22"/>
        <v>762</v>
      </c>
      <c r="M42" s="68"/>
      <c r="N42" s="68">
        <f t="shared" ref="N42:P42" si="23">N41+N33+N25+N17+N9</f>
        <v>272826</v>
      </c>
      <c r="O42" s="68">
        <f t="shared" si="23"/>
        <v>245414</v>
      </c>
      <c r="P42" s="68">
        <f t="shared" si="23"/>
        <v>8672</v>
      </c>
      <c r="Q42" s="68"/>
      <c r="R42" s="68">
        <f>R41+R33+R25+R17+R9</f>
        <v>223428</v>
      </c>
      <c r="S42" s="68">
        <f>S41+S33+S25+S17+S9</f>
        <v>218793</v>
      </c>
      <c r="T42" s="68">
        <f>T41+T33+T25+T17+T9</f>
        <v>3445</v>
      </c>
      <c r="U42" s="68">
        <f>U41+U33+U25+U17+U9</f>
        <v>28542</v>
      </c>
      <c r="V42" s="94"/>
      <c r="W42" s="87"/>
      <c r="X42" s="88"/>
    </row>
    <row r="43" ht="27" customHeight="1" spans="1:24">
      <c r="A43" s="69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95" t="s">
        <v>38</v>
      </c>
      <c r="V43" s="96">
        <f>B42</f>
        <v>128062</v>
      </c>
      <c r="W43" s="96">
        <f>U42</f>
        <v>28542</v>
      </c>
      <c r="X43" s="97">
        <f>W43/V43*100</f>
        <v>22.2876419234433</v>
      </c>
    </row>
  </sheetData>
  <mergeCells count="46">
    <mergeCell ref="A3:X3"/>
    <mergeCell ref="V6:X6"/>
    <mergeCell ref="V10:X10"/>
    <mergeCell ref="V18:X18"/>
    <mergeCell ref="V26:X26"/>
    <mergeCell ref="V34:X34"/>
    <mergeCell ref="A4:A5"/>
    <mergeCell ref="B4:B5"/>
    <mergeCell ref="C4:C5"/>
    <mergeCell ref="D4:D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V7:V9"/>
    <mergeCell ref="V11:V17"/>
    <mergeCell ref="V19:V25"/>
    <mergeCell ref="V27:V33"/>
    <mergeCell ref="V35:V42"/>
    <mergeCell ref="W4:W5"/>
    <mergeCell ref="W7:W9"/>
    <mergeCell ref="W11:W17"/>
    <mergeCell ref="W19:W25"/>
    <mergeCell ref="W27:W33"/>
    <mergeCell ref="W35:W42"/>
    <mergeCell ref="X4:X5"/>
    <mergeCell ref="X7:X9"/>
    <mergeCell ref="X11:X17"/>
    <mergeCell ref="X19:X25"/>
    <mergeCell ref="X27:X33"/>
    <mergeCell ref="X35:X42"/>
    <mergeCell ref="A1:B2"/>
    <mergeCell ref="C1:X2"/>
  </mergeCells>
  <pageMargins left="0.251388888888889" right="0.251388888888889" top="0.511805555555556" bottom="0.251388888888889" header="0.251388888888889" footer="0.251388888888889"/>
  <pageSetup paperSize="9" scale="66" orientation="landscape" horizontalDpi="600"/>
  <headerFooter>
    <oddFooter>&amp;L&amp;12Checked By:&amp;R&amp;12Approved By: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31"/>
  <sheetViews>
    <sheetView view="pageLayout" zoomScale="115" zoomScaleNormal="100" topLeftCell="A4" workbookViewId="0">
      <selection activeCell="L18" sqref="L18"/>
    </sheetView>
  </sheetViews>
  <sheetFormatPr defaultColWidth="9.14285714285714" defaultRowHeight="15"/>
  <cols>
    <col min="1" max="1" width="13" customWidth="1"/>
    <col min="3" max="3" width="9.5047619047619" customWidth="1"/>
    <col min="4" max="4" width="9.37142857142857" customWidth="1"/>
    <col min="5" max="5" width="8.63809523809524" customWidth="1"/>
    <col min="8" max="8" width="9.5047619047619" customWidth="1"/>
    <col min="9" max="9" width="8.77142857142857" customWidth="1"/>
    <col min="13" max="15" width="11.2952380952381" customWidth="1"/>
    <col min="16" max="16" width="10.6380952380952" customWidth="1"/>
    <col min="17" max="17" width="15.2095238095238" customWidth="1"/>
  </cols>
  <sheetData>
    <row r="1" ht="23.25" spans="1:21">
      <c r="A1" s="1"/>
      <c r="B1" s="1"/>
      <c r="C1" s="2" t="s">
        <v>26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8"/>
      <c r="S1" s="28"/>
      <c r="T1" s="28"/>
      <c r="U1" s="28"/>
    </row>
    <row r="2" ht="63" customHeight="1" spans="1:21">
      <c r="A2" s="1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28"/>
      <c r="S2" s="28"/>
      <c r="T2" s="28"/>
      <c r="U2" s="28"/>
    </row>
    <row r="3" ht="17" customHeight="1" spans="1:21">
      <c r="A3" s="4" t="s">
        <v>45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24"/>
      <c r="S3" s="24"/>
      <c r="T3" s="24"/>
      <c r="U3" s="24"/>
    </row>
    <row r="4" ht="60" customHeight="1" spans="1:18">
      <c r="A4" s="6" t="s">
        <v>46</v>
      </c>
      <c r="B4" s="7" t="s">
        <v>3</v>
      </c>
      <c r="C4" s="7" t="s">
        <v>4</v>
      </c>
      <c r="D4" s="7" t="s">
        <v>47</v>
      </c>
      <c r="E4" s="7" t="s">
        <v>6</v>
      </c>
      <c r="F4" s="7" t="s">
        <v>7</v>
      </c>
      <c r="G4" s="7" t="s">
        <v>8</v>
      </c>
      <c r="H4" s="7" t="s">
        <v>5</v>
      </c>
      <c r="I4" s="7" t="s">
        <v>6</v>
      </c>
      <c r="J4" s="7" t="s">
        <v>9</v>
      </c>
      <c r="K4" s="7" t="s">
        <v>10</v>
      </c>
      <c r="L4" s="7" t="s">
        <v>11</v>
      </c>
      <c r="M4" s="7" t="s">
        <v>6</v>
      </c>
      <c r="N4" s="25" t="s">
        <v>12</v>
      </c>
      <c r="O4" s="25" t="s">
        <v>13</v>
      </c>
      <c r="P4" s="7" t="s">
        <v>14</v>
      </c>
      <c r="Q4" s="7" t="s">
        <v>48</v>
      </c>
      <c r="R4" s="24"/>
    </row>
    <row r="5" ht="2" customHeight="1" spans="1:17">
      <c r="A5" s="6"/>
      <c r="B5" s="7"/>
      <c r="C5" s="6"/>
      <c r="D5" s="6"/>
      <c r="E5" s="7"/>
      <c r="F5" s="7"/>
      <c r="G5" s="6"/>
      <c r="H5" s="6"/>
      <c r="I5" s="6"/>
      <c r="J5" s="6"/>
      <c r="K5" s="6"/>
      <c r="L5" s="6"/>
      <c r="M5" s="6"/>
      <c r="N5" s="26"/>
      <c r="O5" s="26"/>
      <c r="P5" s="7"/>
      <c r="Q5" s="6"/>
    </row>
    <row r="6" ht="20" customHeight="1" spans="1:17">
      <c r="A6" s="8" t="s">
        <v>49</v>
      </c>
      <c r="B6" s="9">
        <f>'APRIL 25'!B41</f>
        <v>247767</v>
      </c>
      <c r="C6" s="9">
        <f>'APRIL 25'!C41</f>
        <v>215796</v>
      </c>
      <c r="D6" s="9">
        <f>'APRIL 25'!D41</f>
        <v>19271</v>
      </c>
      <c r="E6" s="10">
        <f>D6/B6*100</f>
        <v>7.77787195227774</v>
      </c>
      <c r="F6" s="9">
        <f>'APRIL 25'!F41</f>
        <v>216080</v>
      </c>
      <c r="G6" s="9">
        <f>'APRIL 25'!G41</f>
        <v>214182</v>
      </c>
      <c r="H6" s="9">
        <f>'APRIL 25'!H41</f>
        <v>1910</v>
      </c>
      <c r="I6" s="10">
        <f>H6/F6*100</f>
        <v>0.883931877082562</v>
      </c>
      <c r="J6" s="9">
        <f>'APRIL 25'!J41</f>
        <v>214182</v>
      </c>
      <c r="K6" s="9">
        <f>'APRIL 25'!K41</f>
        <v>207405</v>
      </c>
      <c r="L6" s="9">
        <f>'APRIL 25'!L41</f>
        <v>6101</v>
      </c>
      <c r="M6" s="10">
        <f t="shared" ref="M6:M12" si="0">L6/J6*100</f>
        <v>2.8485120131477</v>
      </c>
      <c r="N6" s="15">
        <f>'APRIL 25'!N41</f>
        <v>220895</v>
      </c>
      <c r="O6" s="15">
        <f>'APRIL 25'!O41</f>
        <v>5900</v>
      </c>
      <c r="P6" s="15">
        <f>SUM(D6+H6+L6+O6)</f>
        <v>33182</v>
      </c>
      <c r="Q6" s="10">
        <f>E6+I6+M6</f>
        <v>11.510315842508</v>
      </c>
    </row>
    <row r="7" ht="20" customHeight="1" spans="1:17">
      <c r="A7" s="11" t="s">
        <v>50</v>
      </c>
      <c r="B7" s="12">
        <f>'MAY 25'!B42</f>
        <v>260869</v>
      </c>
      <c r="C7" s="12">
        <f>'MAY 25'!C42</f>
        <v>232205</v>
      </c>
      <c r="D7" s="12">
        <f>'MAY 25'!D42</f>
        <v>18798</v>
      </c>
      <c r="E7" s="13">
        <f>D7/B7*100</f>
        <v>7.20591561281716</v>
      </c>
      <c r="F7" s="12">
        <f>'MAY 25'!F42</f>
        <v>248862</v>
      </c>
      <c r="G7" s="12">
        <f>'MAY 25'!G42</f>
        <v>246681</v>
      </c>
      <c r="H7" s="12">
        <f>'MAY 25'!H42</f>
        <v>2181</v>
      </c>
      <c r="I7" s="13">
        <f>H7/F7*100</f>
        <v>0.876389324203776</v>
      </c>
      <c r="J7" s="12">
        <f>'MAY 25'!J42</f>
        <v>249676</v>
      </c>
      <c r="K7" s="12">
        <f>'MAY 25'!K42</f>
        <v>247066</v>
      </c>
      <c r="L7" s="12">
        <f>'MAY 25'!L42</f>
        <v>2582</v>
      </c>
      <c r="M7" s="13">
        <f t="shared" si="0"/>
        <v>1.0341402457585</v>
      </c>
      <c r="N7" s="14">
        <f>'MAY 25'!N42</f>
        <v>246011</v>
      </c>
      <c r="O7" s="14">
        <f>'MAY 25'!O42</f>
        <v>8460</v>
      </c>
      <c r="P7" s="14">
        <f>'MAY 25'!P42</f>
        <v>32021</v>
      </c>
      <c r="Q7" s="13">
        <f t="shared" ref="Q6:Q17" si="1">E7+I7+M7</f>
        <v>9.11644518277944</v>
      </c>
    </row>
    <row r="8" ht="20" customHeight="1" spans="1:17">
      <c r="A8" s="8" t="s">
        <v>51</v>
      </c>
      <c r="B8" s="9">
        <f>'JUNE 25'!B41</f>
        <v>279532</v>
      </c>
      <c r="C8" s="9">
        <f>'JUNE 25'!C41</f>
        <v>255185</v>
      </c>
      <c r="D8" s="9">
        <f>'JUNE 25'!D41</f>
        <v>15872</v>
      </c>
      <c r="E8" s="10">
        <f t="shared" ref="E8:E17" si="2">D8/B8*100</f>
        <v>5.67806190346722</v>
      </c>
      <c r="F8" s="9">
        <f>'JUNE 25'!F41</f>
        <v>281210</v>
      </c>
      <c r="G8" s="9">
        <f>'JUNE 25'!G41</f>
        <v>279119</v>
      </c>
      <c r="H8" s="9">
        <f>'JUNE 25'!H41</f>
        <v>2091</v>
      </c>
      <c r="I8" s="10">
        <f t="shared" ref="I8:I17" si="3">H8/F8*100</f>
        <v>0.743572419188507</v>
      </c>
      <c r="J8" s="9">
        <f>'JUNE 25'!J41</f>
        <v>283904</v>
      </c>
      <c r="K8" s="9">
        <f>'JUNE 25'!K41</f>
        <v>275847</v>
      </c>
      <c r="L8" s="9">
        <f>'JUNE 25'!L41</f>
        <v>8093</v>
      </c>
      <c r="M8" s="10">
        <f t="shared" si="0"/>
        <v>2.85061147430117</v>
      </c>
      <c r="N8" s="15">
        <f>'JUNE 25'!N41</f>
        <v>266298</v>
      </c>
      <c r="O8" s="15">
        <f>'JUNE 25'!O41</f>
        <v>4898</v>
      </c>
      <c r="P8" s="15">
        <f>'JUNE 25'!P41</f>
        <v>30954</v>
      </c>
      <c r="Q8" s="10">
        <f t="shared" si="1"/>
        <v>9.2722457969569</v>
      </c>
    </row>
    <row r="9" ht="20" customHeight="1" spans="1:17">
      <c r="A9" s="11" t="s">
        <v>52</v>
      </c>
      <c r="B9" s="14">
        <f>'JULY 25'!B42</f>
        <v>318831</v>
      </c>
      <c r="C9" s="14">
        <f>'JULY 25'!C42</f>
        <v>291609</v>
      </c>
      <c r="D9" s="14">
        <f>'JULY 25'!D42</f>
        <v>17562</v>
      </c>
      <c r="E9" s="13">
        <f t="shared" si="2"/>
        <v>5.50824731597617</v>
      </c>
      <c r="F9" s="14">
        <f>'JULY 25'!F42</f>
        <v>313744</v>
      </c>
      <c r="G9" s="14">
        <f>'JULY 25'!G42</f>
        <v>312819</v>
      </c>
      <c r="H9" s="14">
        <f>'JULY 25'!H42</f>
        <v>925</v>
      </c>
      <c r="I9" s="13">
        <f t="shared" si="3"/>
        <v>0.294826355245041</v>
      </c>
      <c r="J9" s="14">
        <f>'JULY 25'!J42</f>
        <v>310745</v>
      </c>
      <c r="K9" s="14">
        <f>'JULY 25'!K42</f>
        <v>309160</v>
      </c>
      <c r="L9" s="14">
        <f>'JULY 25'!L42</f>
        <v>1575</v>
      </c>
      <c r="M9" s="13">
        <f t="shared" si="0"/>
        <v>0.506846449661298</v>
      </c>
      <c r="N9" s="14">
        <f>'JULY 25'!N42</f>
        <v>290757</v>
      </c>
      <c r="O9" s="14">
        <f>'JULY 25'!O42</f>
        <v>4451</v>
      </c>
      <c r="P9" s="14">
        <f>'JULY 25'!P42</f>
        <v>24513</v>
      </c>
      <c r="Q9" s="13">
        <f t="shared" si="1"/>
        <v>6.30992012088251</v>
      </c>
    </row>
    <row r="10" ht="20" customHeight="1" spans="1:17">
      <c r="A10" s="8" t="s">
        <v>53</v>
      </c>
      <c r="B10" s="15">
        <f>'AUGUST 25'!B42</f>
        <v>267179</v>
      </c>
      <c r="C10" s="15">
        <f>'AUGUST 25'!C42</f>
        <v>247269</v>
      </c>
      <c r="D10" s="15">
        <f>'AUGUST 25'!D42</f>
        <v>11296</v>
      </c>
      <c r="E10" s="10">
        <f t="shared" si="2"/>
        <v>4.22787719094689</v>
      </c>
      <c r="F10" s="15">
        <f>'AUGUST 25'!F42</f>
        <v>253407</v>
      </c>
      <c r="G10" s="15">
        <f>'AUGUST 25'!G42</f>
        <v>252649</v>
      </c>
      <c r="H10" s="15">
        <f>'AUGUST 25'!H42</f>
        <v>687</v>
      </c>
      <c r="I10" s="10">
        <f t="shared" si="3"/>
        <v>0.271105375936734</v>
      </c>
      <c r="J10" s="15">
        <f>'AUGUST 25'!J42</f>
        <v>249724</v>
      </c>
      <c r="K10" s="15">
        <f>'AUGUST 25'!K42</f>
        <v>246635</v>
      </c>
      <c r="L10" s="15">
        <f>'AUGUST 25'!L42</f>
        <v>3240</v>
      </c>
      <c r="M10" s="10">
        <f t="shared" si="0"/>
        <v>1.29743236533133</v>
      </c>
      <c r="N10" s="15">
        <f>'AUGUST 25'!N42</f>
        <v>272058</v>
      </c>
      <c r="O10" s="15">
        <f>'AUGUST 25'!O42</f>
        <v>3413</v>
      </c>
      <c r="P10" s="15">
        <f>'AUGUST 25'!P42</f>
        <v>18636</v>
      </c>
      <c r="Q10" s="10">
        <f t="shared" si="1"/>
        <v>5.79641493221495</v>
      </c>
    </row>
    <row r="11" ht="20" customHeight="1" spans="1:17">
      <c r="A11" s="16" t="s">
        <v>54</v>
      </c>
      <c r="B11" s="14">
        <f>'SEPTEMBER 25'!B41</f>
        <v>335960</v>
      </c>
      <c r="C11" s="14">
        <f>'SEPTEMBER 25'!C41</f>
        <v>310725</v>
      </c>
      <c r="D11" s="14">
        <f>'SEPTEMBER 25'!D41</f>
        <v>20726</v>
      </c>
      <c r="E11" s="13">
        <f t="shared" si="2"/>
        <v>6.16918680795333</v>
      </c>
      <c r="F11" s="14">
        <f>'SEPTEMBER 25'!F41</f>
        <v>308913</v>
      </c>
      <c r="G11" s="14">
        <f>'SEPTEMBER 25'!G41</f>
        <v>307951</v>
      </c>
      <c r="H11" s="14">
        <f>'SEPTEMBER 25'!H41</f>
        <v>962</v>
      </c>
      <c r="I11" s="13">
        <f t="shared" si="3"/>
        <v>0.311414540663553</v>
      </c>
      <c r="J11" s="14">
        <f>'SEPTEMBER 25'!J41</f>
        <v>309922</v>
      </c>
      <c r="K11" s="14">
        <f>'SEPTEMBER 25'!K41</f>
        <v>304532</v>
      </c>
      <c r="L11" s="14">
        <f>'SEPTEMBER 25'!L41</f>
        <v>5390</v>
      </c>
      <c r="M11" s="13">
        <f t="shared" si="0"/>
        <v>1.73914726931292</v>
      </c>
      <c r="N11" s="14">
        <f>'SEPTEMBER 25'!N41</f>
        <v>320063</v>
      </c>
      <c r="O11" s="14">
        <f>'SEPTEMBER 25'!O41</f>
        <v>3536</v>
      </c>
      <c r="P11" s="14">
        <f>'SEPTEMBER 25'!P41</f>
        <v>30614</v>
      </c>
      <c r="Q11" s="13">
        <f t="shared" si="1"/>
        <v>8.2197486179298</v>
      </c>
    </row>
    <row r="12" ht="20" customHeight="1" spans="1:17">
      <c r="A12" s="17" t="s">
        <v>55</v>
      </c>
      <c r="B12" s="15">
        <f>'OCTOBER 25'!B42</f>
        <v>187837</v>
      </c>
      <c r="C12" s="15">
        <f>'OCTOBER 25'!C42</f>
        <v>169289</v>
      </c>
      <c r="D12" s="15">
        <f>'OCTOBER 25'!D42</f>
        <v>12887</v>
      </c>
      <c r="E12" s="10">
        <f t="shared" si="2"/>
        <v>6.86073563781364</v>
      </c>
      <c r="F12" s="15">
        <f>'OCTOBER 25'!F42</f>
        <v>178104</v>
      </c>
      <c r="G12" s="15">
        <f>'OCTOBER 25'!G42</f>
        <v>175844</v>
      </c>
      <c r="H12" s="15">
        <f>'OCTOBER 25'!H42</f>
        <v>2709</v>
      </c>
      <c r="I12" s="10">
        <f t="shared" si="3"/>
        <v>1.52102142568387</v>
      </c>
      <c r="J12" s="15">
        <f>'OCTOBER 25'!J42</f>
        <v>177316</v>
      </c>
      <c r="K12" s="15">
        <f>'OCTOBER 25'!K42</f>
        <v>175077</v>
      </c>
      <c r="L12" s="15">
        <f>'OCTOBER 25'!L42</f>
        <v>2639</v>
      </c>
      <c r="M12" s="10">
        <f t="shared" si="0"/>
        <v>1.48830336799838</v>
      </c>
      <c r="N12" s="15">
        <f>'OCTOBER 25'!N42</f>
        <v>148054</v>
      </c>
      <c r="O12" s="15">
        <f>'OCTOBER 25'!O42</f>
        <v>14444</v>
      </c>
      <c r="P12" s="15">
        <f>'OCTOBER 25'!P42</f>
        <v>32679</v>
      </c>
      <c r="Q12" s="10">
        <f t="shared" si="1"/>
        <v>9.87006043149588</v>
      </c>
    </row>
    <row r="13" ht="20" customHeight="1" spans="1:17">
      <c r="A13" s="18" t="s">
        <v>56</v>
      </c>
      <c r="B13" s="14">
        <f>'NOVEMBER 25'!F41</f>
        <v>206957</v>
      </c>
      <c r="C13" s="14">
        <f>'NOVEMBER 25'!G41</f>
        <v>193398</v>
      </c>
      <c r="D13" s="14">
        <f>'NOVEMBER 25'!H41</f>
        <v>11206</v>
      </c>
      <c r="E13" s="14">
        <f>'NOVEMBER 25'!I41</f>
        <v>5.41465135269645</v>
      </c>
      <c r="F13" s="14">
        <f>'NOVEMBER 25'!J41</f>
        <v>199023</v>
      </c>
      <c r="G13" s="14">
        <f>'NOVEMBER 25'!K41</f>
        <v>197107</v>
      </c>
      <c r="H13" s="14">
        <f>'NOVEMBER 25'!L41</f>
        <v>1911</v>
      </c>
      <c r="I13" s="14">
        <f>'NOVEMBER 25'!M41</f>
        <v>0.960190530742678</v>
      </c>
      <c r="J13" s="14">
        <f>'NOVEMBER 25'!N41</f>
        <v>197115</v>
      </c>
      <c r="K13" s="14">
        <f>'NOVEMBER 25'!O41</f>
        <v>195157</v>
      </c>
      <c r="L13" s="14">
        <f>'NOVEMBER 25'!P41</f>
        <v>2008</v>
      </c>
      <c r="M13" s="14">
        <f>'NOVEMBER 25'!Q41</f>
        <v>1.01869467062375</v>
      </c>
      <c r="N13" s="14">
        <f>'NOVEMBER 25'!R41</f>
        <v>187724</v>
      </c>
      <c r="O13" s="14">
        <f>'NOVEMBER 25'!S41</f>
        <v>6408</v>
      </c>
      <c r="P13" s="14">
        <f>'NOVEMBER 25'!T41</f>
        <v>33409</v>
      </c>
      <c r="Q13" s="14">
        <f>'NOVEMBER 25'!U41</f>
        <v>0</v>
      </c>
    </row>
    <row r="14" ht="20" customHeight="1" spans="1:17">
      <c r="A14" s="17" t="s">
        <v>57</v>
      </c>
      <c r="B14" s="15">
        <f>'DECEMBER 25'!F42</f>
        <v>327157</v>
      </c>
      <c r="C14" s="15">
        <f>'DECEMBER 25'!G42</f>
        <v>292302</v>
      </c>
      <c r="D14" s="15">
        <f>'DECEMBER 25'!H42</f>
        <v>15604</v>
      </c>
      <c r="E14" s="10">
        <f t="shared" si="2"/>
        <v>4.76957546376816</v>
      </c>
      <c r="F14" s="15">
        <f>'DECEMBER 25'!J42</f>
        <v>284748</v>
      </c>
      <c r="G14" s="15">
        <f>'DECEMBER 25'!K42</f>
        <v>283760</v>
      </c>
      <c r="H14" s="15">
        <f>'DECEMBER 25'!L42</f>
        <v>981</v>
      </c>
      <c r="I14" s="10">
        <f t="shared" si="3"/>
        <v>0.344515150238105</v>
      </c>
      <c r="J14" s="15">
        <f>'DECEMBER 25'!N42</f>
        <v>279255</v>
      </c>
      <c r="K14" s="15">
        <f>'DECEMBER 25'!O42</f>
        <v>238144</v>
      </c>
      <c r="L14" s="15">
        <f>'DECEMBER 25'!P42</f>
        <v>30518</v>
      </c>
      <c r="M14" s="10">
        <f>L14/J14*100</f>
        <v>10.9283629657481</v>
      </c>
      <c r="N14" s="15">
        <f>'DECEMBER 25'!R42</f>
        <v>273003</v>
      </c>
      <c r="O14" s="15">
        <f>'DECEMBER 25'!S42</f>
        <v>5490</v>
      </c>
      <c r="P14" s="15">
        <f>'DECEMBER 25'!T42</f>
        <v>74561</v>
      </c>
      <c r="Q14" s="10">
        <f t="shared" si="1"/>
        <v>16.0424535797544</v>
      </c>
    </row>
    <row r="15" ht="20" customHeight="1" spans="1:17">
      <c r="A15" s="18" t="s">
        <v>58</v>
      </c>
      <c r="B15" s="12"/>
      <c r="C15" s="12"/>
      <c r="D15" s="12"/>
      <c r="E15" s="13" t="e">
        <f t="shared" si="2"/>
        <v>#DIV/0!</v>
      </c>
      <c r="F15" s="12"/>
      <c r="G15" s="12"/>
      <c r="H15" s="12"/>
      <c r="I15" s="13" t="e">
        <f t="shared" si="3"/>
        <v>#DIV/0!</v>
      </c>
      <c r="J15" s="12"/>
      <c r="K15" s="12"/>
      <c r="L15" s="12"/>
      <c r="M15" s="13" t="e">
        <f>L15/J15*100</f>
        <v>#DIV/0!</v>
      </c>
      <c r="N15" s="13"/>
      <c r="O15" s="14"/>
      <c r="P15" s="14"/>
      <c r="Q15" s="13" t="e">
        <f t="shared" si="1"/>
        <v>#DIV/0!</v>
      </c>
    </row>
    <row r="16" ht="20" customHeight="1" spans="1:17">
      <c r="A16" s="17" t="s">
        <v>59</v>
      </c>
      <c r="B16" s="9"/>
      <c r="C16" s="9"/>
      <c r="D16" s="9"/>
      <c r="E16" s="10" t="e">
        <f t="shared" si="2"/>
        <v>#DIV/0!</v>
      </c>
      <c r="F16" s="9"/>
      <c r="G16" s="9"/>
      <c r="H16" s="9"/>
      <c r="I16" s="10" t="e">
        <f t="shared" si="3"/>
        <v>#DIV/0!</v>
      </c>
      <c r="J16" s="9"/>
      <c r="K16" s="9"/>
      <c r="L16" s="9"/>
      <c r="M16" s="10" t="e">
        <f>L16/J16*100</f>
        <v>#DIV/0!</v>
      </c>
      <c r="N16" s="10"/>
      <c r="O16" s="15"/>
      <c r="P16" s="15"/>
      <c r="Q16" s="10" t="e">
        <f t="shared" si="1"/>
        <v>#DIV/0!</v>
      </c>
    </row>
    <row r="17" ht="20" customHeight="1" spans="1:17">
      <c r="A17" s="18" t="s">
        <v>60</v>
      </c>
      <c r="B17" s="12"/>
      <c r="C17" s="12"/>
      <c r="D17" s="12"/>
      <c r="E17" s="13" t="e">
        <f t="shared" si="2"/>
        <v>#DIV/0!</v>
      </c>
      <c r="F17" s="12"/>
      <c r="G17" s="12"/>
      <c r="H17" s="12"/>
      <c r="I17" s="13" t="e">
        <f t="shared" si="3"/>
        <v>#DIV/0!</v>
      </c>
      <c r="J17" s="12"/>
      <c r="K17" s="12"/>
      <c r="L17" s="12"/>
      <c r="M17" s="13" t="e">
        <f>L17/J17*100</f>
        <v>#DIV/0!</v>
      </c>
      <c r="N17" s="13"/>
      <c r="O17" s="14"/>
      <c r="P17" s="14"/>
      <c r="Q17" s="13" t="e">
        <f t="shared" si="1"/>
        <v>#DIV/0!</v>
      </c>
    </row>
    <row r="18" ht="20" customHeight="1" spans="1:17">
      <c r="A18" s="19"/>
      <c r="B18" s="9"/>
      <c r="C18" s="9"/>
      <c r="D18" s="9"/>
      <c r="E18" s="10"/>
      <c r="F18" s="9"/>
      <c r="G18" s="9"/>
      <c r="H18" s="9"/>
      <c r="I18" s="9"/>
      <c r="J18" s="9"/>
      <c r="K18" s="9"/>
      <c r="L18" s="9"/>
      <c r="M18" s="9"/>
      <c r="N18" s="9"/>
      <c r="O18" s="9"/>
      <c r="P18" s="15"/>
      <c r="Q18" s="9"/>
    </row>
    <row r="19" ht="35" customHeight="1" spans="1:17">
      <c r="A19" s="20" t="s">
        <v>38</v>
      </c>
      <c r="B19" s="21">
        <f>SUM(B6:B17)</f>
        <v>2432089</v>
      </c>
      <c r="C19" s="21">
        <f>SUM(C6:C17)</f>
        <v>2207778</v>
      </c>
      <c r="D19" s="21">
        <f>SUM(D6:D17)</f>
        <v>143222</v>
      </c>
      <c r="E19" s="22">
        <f>D19/B19*100</f>
        <v>5.88884699531966</v>
      </c>
      <c r="F19" s="21">
        <f>SUM(F6:F17)</f>
        <v>2284091</v>
      </c>
      <c r="G19" s="21">
        <f>SUM(G6:G17)</f>
        <v>2270112</v>
      </c>
      <c r="H19" s="21">
        <f>SUM(H6:H17)</f>
        <v>14357</v>
      </c>
      <c r="I19" s="22">
        <f>H19/F19*100</f>
        <v>0.628565149111835</v>
      </c>
      <c r="J19" s="21">
        <f>SUM(J6:J17)</f>
        <v>2271839</v>
      </c>
      <c r="K19" s="21">
        <f>SUM(K6:K17)</f>
        <v>2199023</v>
      </c>
      <c r="L19" s="21">
        <f>SUM(L6:L17)</f>
        <v>62146</v>
      </c>
      <c r="M19" s="22">
        <f>L19/J19*100</f>
        <v>2.73549314013889</v>
      </c>
      <c r="N19" s="27">
        <f>SUM(N6:N17)</f>
        <v>2224863</v>
      </c>
      <c r="O19" s="27">
        <f>SUM(O6:O17)</f>
        <v>57000</v>
      </c>
      <c r="P19" s="27">
        <f>SUM(D19+H19+L19+O19)</f>
        <v>276725</v>
      </c>
      <c r="Q19" s="22">
        <f>E19+I19+M19</f>
        <v>9.25290528457039</v>
      </c>
    </row>
    <row r="20" spans="1:17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 spans="1:17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</row>
    <row r="22" spans="1:17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 spans="1:17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</row>
    <row r="24" spans="1:17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</row>
    <row r="25" spans="1:17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</row>
    <row r="26" spans="1:17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</row>
    <row r="27" spans="1:1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</row>
    <row r="28" spans="1:17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</row>
    <row r="29" spans="1:17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</row>
    <row r="30" spans="1:17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 spans="1:17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</row>
  </sheetData>
  <mergeCells count="20">
    <mergeCell ref="A3:Q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A1:B2"/>
    <mergeCell ref="C1:Q2"/>
  </mergeCells>
  <hyperlinks>
    <hyperlink ref="A6" location="'APRIL 25'!A1" display="APRIL 25"/>
    <hyperlink ref="A7" location="'MAY 25'!A1" display="MAY 25"/>
    <hyperlink ref="A8" location="'JUNE 25'!A1" display="JUNE 25"/>
    <hyperlink ref="A9" location="'JULY 25'!A1" display="JULY 25"/>
    <hyperlink ref="A10" location="'AUGUST 25'!A1" display="AUGUST 25"/>
    <hyperlink ref="A11" location="'SEPTEMBER 25'!A1" display="SEPTEMBER 25"/>
  </hyperlinks>
  <pageMargins left="0.251388888888889" right="0.184027777777778" top="0.251388888888889" bottom="0.251388888888889" header="0.251388888888889" footer="0.251388888888889"/>
  <pageSetup paperSize="256" scale="82" fitToHeight="0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APRIL 25</vt:lpstr>
      <vt:lpstr>MAY 25</vt:lpstr>
      <vt:lpstr>JUNE 25</vt:lpstr>
      <vt:lpstr>JULY 25</vt:lpstr>
      <vt:lpstr>AUGUST 25</vt:lpstr>
      <vt:lpstr>SEPTEMBER 25</vt:lpstr>
      <vt:lpstr>OCTOBER 25</vt:lpstr>
      <vt:lpstr>NOVEMBER 25</vt:lpstr>
      <vt:lpstr>DECEMBER 25</vt:lpstr>
      <vt:lpstr>JANUARY 26</vt:lpstr>
      <vt:lpstr>YEARLY 2025-26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PC-134</cp:lastModifiedBy>
  <dcterms:created xsi:type="dcterms:W3CDTF">2025-01-23T10:07:00Z</dcterms:created>
  <dcterms:modified xsi:type="dcterms:W3CDTF">2026-01-28T04:31:25Z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8A5765F1C43E47D988B0C3AF502FD32D_12</vt:lpwstr>
  </property>
  <property fmtid="{D5CDD505-2E9C-101B-9397-08002B2CF9AE}" pid="3" name="KSOProductBuildVer">
    <vt:lpwstr>1033-12.2.0.21179</vt:lpwstr>
  </property>
</Properties>
</file>